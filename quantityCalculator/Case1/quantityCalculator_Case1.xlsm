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1\"/>
    </mc:Choice>
  </mc:AlternateContent>
  <xr:revisionPtr revIDLastSave="0" documentId="13_ncr:1_{4D122827-C7D8-4A08-84F8-5A2406551CF6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數量計算總表" sheetId="2322" r:id="rId1"/>
    <sheet name="表4_工程數量統計表1" sheetId="2327" r:id="rId2"/>
    <sheet name="表5_元件數量計算表" sheetId="2328" r:id="rId3"/>
    <sheet name="斷面數量(原有)" sheetId="2329" r:id="rId4"/>
    <sheet name="斷面數量" sheetId="2330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2" hidden="1">表5_元件數量計算表!$B$5:$B$54</definedName>
    <definedName name="a.wkr.pro" localSheetId="4">[1]預算明細表!#REF!</definedName>
    <definedName name="a.wkr.pro" localSheetId="3">[1]預算明細表!#REF!</definedName>
    <definedName name="a.wkr.pro">[1]預算明細表!#REF!</definedName>
    <definedName name="acc.a.eva" localSheetId="4">#REF!</definedName>
    <definedName name="acc.a.eva" localSheetId="3">#REF!</definedName>
    <definedName name="acc.a.eva">#REF!</definedName>
    <definedName name="ACC.A.EVAL" localSheetId="4">#REF!</definedName>
    <definedName name="ACC.A.EVAL" localSheetId="3">#REF!</definedName>
    <definedName name="ACC.A.EVAL">#REF!</definedName>
    <definedName name="acc.ae">[2]結算明細!$I$20</definedName>
    <definedName name="acc.b" localSheetId="4">[3]預算明細表!#REF!</definedName>
    <definedName name="acc.b" localSheetId="3">[3]預算明細表!#REF!</definedName>
    <definedName name="acc.b">[3]預算明細表!#REF!</definedName>
    <definedName name="acc.ce" localSheetId="4">[3]預算明細表!#REF!</definedName>
    <definedName name="acc.ce" localSheetId="3">[3]預算明細表!#REF!</definedName>
    <definedName name="acc.ce">[3]預算明細表!#REF!</definedName>
    <definedName name="acc.mat" localSheetId="4">[3]預算明細表!#REF!</definedName>
    <definedName name="acc.mat" localSheetId="3">[3]預算明細表!#REF!</definedName>
    <definedName name="acc.mat">[3]預算明細表!#REF!</definedName>
    <definedName name="acc.stl" localSheetId="4">[3]預算明細表!#REF!</definedName>
    <definedName name="acc.stl" localSheetId="3">[3]預算明細表!#REF!</definedName>
    <definedName name="acc.stl">[3]預算明細表!#REF!</definedName>
    <definedName name="amt.3∮P.V.C.洩水管">'[4]數量(含竣工)'!$E$67</definedName>
    <definedName name="amt.3∮T型排水管">'[4]數量(含竣工)'!$E$68</definedName>
    <definedName name="amt.area1" localSheetId="4">#REF!</definedName>
    <definedName name="amt.area1" localSheetId="3">#REF!</definedName>
    <definedName name="amt.area1">#REF!</definedName>
    <definedName name="amt.area2" localSheetId="4">#REF!</definedName>
    <definedName name="amt.area2" localSheetId="3">#REF!</definedName>
    <definedName name="amt.area2">#REF!</definedName>
    <definedName name="amt.avg.dis" localSheetId="4">#REF!</definedName>
    <definedName name="amt.avg.dis" localSheetId="3">#REF!</definedName>
    <definedName name="amt.avg.dis">#REF!</definedName>
    <definedName name="amt.bckfil" localSheetId="4">#REF!</definedName>
    <definedName name="amt.bckfil" localSheetId="3">#REF!</definedName>
    <definedName name="amt.bckfil">#REF!</definedName>
    <definedName name="amt.brush" localSheetId="4">#REF!</definedName>
    <definedName name="amt.brush" localSheetId="3">#REF!</definedName>
    <definedName name="amt.brush">#REF!</definedName>
    <definedName name="amt.cem" localSheetId="4">[3]材料表!#REF!</definedName>
    <definedName name="amt.cem" localSheetId="3">[3]材料表!#REF!</definedName>
    <definedName name="amt.cem">[3]材料表!#REF!</definedName>
    <definedName name="amt.cobbox2" localSheetId="4">#REF!</definedName>
    <definedName name="amt.cobbox2" localSheetId="3">#REF!</definedName>
    <definedName name="amt.cobbox2">#REF!</definedName>
    <definedName name="amt.con140" localSheetId="4">#REF!</definedName>
    <definedName name="amt.con140" localSheetId="3">#REF!</definedName>
    <definedName name="amt.con140">#REF!</definedName>
    <definedName name="amt.con210" localSheetId="4">#REF!</definedName>
    <definedName name="amt.con210" localSheetId="3">#REF!</definedName>
    <definedName name="amt.con210">#REF!</definedName>
    <definedName name="amt.crs.dtch" localSheetId="4">#REF!</definedName>
    <definedName name="amt.crs.dtch" localSheetId="3">#REF!</definedName>
    <definedName name="amt.crs.dtch">#REF!</definedName>
    <definedName name="amt.cut" localSheetId="4">#REF!</definedName>
    <definedName name="amt.cut" localSheetId="3">#REF!</definedName>
    <definedName name="amt.cut">#REF!</definedName>
    <definedName name="amt.cut1" localSheetId="4">#REF!</definedName>
    <definedName name="amt.cut1" localSheetId="3">#REF!</definedName>
    <definedName name="amt.cut1">#REF!</definedName>
    <definedName name="amt.discard" localSheetId="4">#REF!</definedName>
    <definedName name="amt.discard" localSheetId="3">#REF!</definedName>
    <definedName name="amt.discard">#REF!</definedName>
    <definedName name="amt.dwn.dtch" localSheetId="4">#REF!</definedName>
    <definedName name="amt.dwn.dtch" localSheetId="3">#REF!</definedName>
    <definedName name="amt.dwn.dtch">#REF!</definedName>
    <definedName name="amt.formwk" localSheetId="4">#REF!</definedName>
    <definedName name="amt.formwk" localSheetId="3">#REF!</definedName>
    <definedName name="amt.formwk">#REF!</definedName>
    <definedName name="amt.gra1" localSheetId="4">#REF!</definedName>
    <definedName name="amt.gra1" localSheetId="3">#REF!</definedName>
    <definedName name="amt.gra1">#REF!</definedName>
    <definedName name="amt.gra2" localSheetId="4">#REF!</definedName>
    <definedName name="amt.gra2" localSheetId="3">#REF!</definedName>
    <definedName name="amt.gra2">#REF!</definedName>
    <definedName name="amt.grad" localSheetId="4">#REF!</definedName>
    <definedName name="amt.grad" localSheetId="3">#REF!</definedName>
    <definedName name="amt.grad">#REF!</definedName>
    <definedName name="amt.grv.fil" localSheetId="4">#REF!</definedName>
    <definedName name="amt.grv.fil" localSheetId="3">#REF!</definedName>
    <definedName name="amt.grv.fil">#REF!</definedName>
    <definedName name="amt.grv.pav" localSheetId="4">#REF!</definedName>
    <definedName name="amt.grv.pav" localSheetId="3">#REF!</definedName>
    <definedName name="amt.grv.pav">#REF!</definedName>
    <definedName name="amt.H型鋼">'[4]數量(含竣工)'!$E$57</definedName>
    <definedName name="amt.jet.area" localSheetId="4">#REF!</definedName>
    <definedName name="amt.jet.area" localSheetId="3">#REF!</definedName>
    <definedName name="amt.jet.area">#REF!</definedName>
    <definedName name="amt.keyst1" localSheetId="4">#REF!</definedName>
    <definedName name="amt.keyst1" localSheetId="3">#REF!</definedName>
    <definedName name="amt.keyst1">#REF!</definedName>
    <definedName name="amt.keyst2" localSheetId="4">#REF!</definedName>
    <definedName name="amt.keyst2" localSheetId="3">#REF!</definedName>
    <definedName name="amt.keyst2">#REF!</definedName>
    <definedName name="amt.line" localSheetId="4">#REF!</definedName>
    <definedName name="amt.line" localSheetId="3">#REF!</definedName>
    <definedName name="amt.line">#REF!</definedName>
    <definedName name="amt.paint" localSheetId="4">#REF!</definedName>
    <definedName name="amt.paint" localSheetId="3">#REF!</definedName>
    <definedName name="amt.paint">#REF!</definedName>
    <definedName name="amt.pave" localSheetId="4">#REF!</definedName>
    <definedName name="amt.pave" localSheetId="3">#REF!</definedName>
    <definedName name="amt.pave">#REF!</definedName>
    <definedName name="amt.pipe" localSheetId="4">#REF!</definedName>
    <definedName name="amt.pipe" localSheetId="3">#REF!</definedName>
    <definedName name="amt.pipe">#REF!</definedName>
    <definedName name="amt.pool" localSheetId="4">#REF!</definedName>
    <definedName name="amt.pool" localSheetId="3">#REF!</definedName>
    <definedName name="amt.pool">#REF!</definedName>
    <definedName name="amt.sformwk" localSheetId="4">#REF!</definedName>
    <definedName name="amt.sformwk" localSheetId="3">#REF!</definedName>
    <definedName name="amt.sformwk">#REF!</definedName>
    <definedName name="amt.steel" localSheetId="4">#REF!</definedName>
    <definedName name="amt.steel" localSheetId="3">#REF!</definedName>
    <definedName name="amt.steel">#REF!</definedName>
    <definedName name="amt.sub.riv" localSheetId="4">#REF!</definedName>
    <definedName name="amt.sub.riv" localSheetId="3">#REF!</definedName>
    <definedName name="amt.sub.riv">#REF!</definedName>
    <definedName name="amt.不織布">'[4]數量(含竣工)'!$E$60</definedName>
    <definedName name="amt.透層">'[4]數量(含竣工)'!$E$42</definedName>
    <definedName name="amt.黏層">'[4]數量(含竣工)'!$E$43</definedName>
    <definedName name="amt.瀝青">'[4]數量(含竣工)'!$E$41</definedName>
    <definedName name="bp.tck0" localSheetId="4">[5]單價!$H$17</definedName>
    <definedName name="bp.tck0" localSheetId="3">[5]單價!$H$17</definedName>
    <definedName name="bp.tck0">[6]單價!$H$17</definedName>
    <definedName name="bp.tck1" localSheetId="4">[5]單價!$H$14</definedName>
    <definedName name="bp.tck1" localSheetId="3">[5]單價!$H$14</definedName>
    <definedName name="bp.tck1">[6]單價!$H$14</definedName>
    <definedName name="bp.tck3" localSheetId="4">[5]單價!$H$16</definedName>
    <definedName name="bp.tck3" localSheetId="3">[5]單價!$H$16</definedName>
    <definedName name="bp.tck3">[6]單價!$H$16</definedName>
    <definedName name="bp.wker1" localSheetId="4">[5]單價!$H$8</definedName>
    <definedName name="bp.wker1" localSheetId="3">[5]單價!$H$8</definedName>
    <definedName name="bp.wker1">[6]單價!$H$8</definedName>
    <definedName name="bp.wker3" localSheetId="4">[5]單價!$H$10</definedName>
    <definedName name="bp.wker3" localSheetId="3">[5]單價!$H$10</definedName>
    <definedName name="bp.wker3">[6]單價!$H$10</definedName>
    <definedName name="bp.wker4" localSheetId="4">[5]單價!$H$11</definedName>
    <definedName name="bp.wker4" localSheetId="3">[5]單價!$H$11</definedName>
    <definedName name="bp.wker4">[6]單價!$H$11</definedName>
    <definedName name="ce.mat" localSheetId="4">[3]材料表!#REF!</definedName>
    <definedName name="ce.mat" localSheetId="3">[3]材料表!#REF!</definedName>
    <definedName name="ce.mat">[3]材料表!#REF!</definedName>
    <definedName name="ce.tran" localSheetId="4">[5]單價!#REF!</definedName>
    <definedName name="ce.tran" localSheetId="3">[5]單價!#REF!</definedName>
    <definedName name="ce.tran">[6]單價!#REF!</definedName>
    <definedName name="ce.trn.sto" localSheetId="4">[5]單價!$J$32</definedName>
    <definedName name="ce.trn.sto" localSheetId="3">[5]單價!$J$32</definedName>
    <definedName name="ce.trn.sto">[6]單價!$J$32</definedName>
    <definedName name="D" localSheetId="4">#REF!</definedName>
    <definedName name="D" localSheetId="3">#REF!</definedName>
    <definedName name="D">#REF!</definedName>
    <definedName name="E" localSheetId="4">#REF!</definedName>
    <definedName name="E" localSheetId="3">#REF!</definedName>
    <definedName name="E">#REF!</definedName>
    <definedName name="eng.airplu" localSheetId="4">[3]預算明細表!#REF!</definedName>
    <definedName name="eng.airplu" localSheetId="3">[3]預算明細表!#REF!</definedName>
    <definedName name="eng.airplu">[3]預算明細表!#REF!</definedName>
    <definedName name="eval">EVALUATE</definedName>
    <definedName name="F" localSheetId="4">#REF!</definedName>
    <definedName name="F" localSheetId="3">#REF!</definedName>
    <definedName name="F">#REF!</definedName>
    <definedName name="km_土場→翠峰林道" localSheetId="4">#REF!</definedName>
    <definedName name="km_土場→翠峰林道" localSheetId="3">#REF!</definedName>
    <definedName name="km_土場→翠峰林道">#REF!</definedName>
    <definedName name="km_再連→土場" localSheetId="4">#REF!</definedName>
    <definedName name="km_再連→土場" localSheetId="3">#REF!</definedName>
    <definedName name="km_再連→土場">#REF!</definedName>
    <definedName name="km_羅東→土場" localSheetId="4">#REF!</definedName>
    <definedName name="km_羅東→土場" localSheetId="3">#REF!</definedName>
    <definedName name="km_羅東→土場">#REF!</definedName>
    <definedName name="km_蘇澳→土場" localSheetId="4">#REF!</definedName>
    <definedName name="km_蘇澳→土場" localSheetId="3">#REF!</definedName>
    <definedName name="km_蘇澳→土場">#REF!</definedName>
    <definedName name="mch.tran">[4]單價!$J$223</definedName>
    <definedName name="_xlnm.Print_Area" localSheetId="1">表4_工程數量統計表1!$A$3:$L$13</definedName>
    <definedName name="_xlnm.Print_Area" localSheetId="2">表5_元件數量計算表!$A$1:$I$54</definedName>
    <definedName name="_xlnm.Print_Area" localSheetId="0">數量計算總表!$A$1:$G$33</definedName>
    <definedName name="_xlnm.Print_Area" localSheetId="4">斷面數量!$A$1:$N$27</definedName>
    <definedName name="_xlnm.Print_Area" localSheetId="3">'斷面數量(原有)'!$A$1:$N$27</definedName>
    <definedName name="_xlnm.Print_Titles" localSheetId="1">表4_工程數量統計表1!$A:$C</definedName>
    <definedName name="_xlnm.Print_Titles" localSheetId="2">表5_元件數量計算表!$1:$5</definedName>
    <definedName name="_xlnm.Print_Titles" localSheetId="0">數量計算總表!$1:$5</definedName>
    <definedName name="Rate1" localSheetId="4">#REF!</definedName>
    <definedName name="Rate1" localSheetId="3">#REF!</definedName>
    <definedName name="Rate1">#REF!</definedName>
    <definedName name="RATIO">[3]預算明細表!$K$44</definedName>
    <definedName name="st.mat" localSheetId="4">[3]材料表!#REF!</definedName>
    <definedName name="st.mat" localSheetId="3">[3]材料表!#REF!</definedName>
    <definedName name="st.mat">[3]材料表!#REF!</definedName>
    <definedName name="st.ton" localSheetId="4">[3]預算明細表!#REF!</definedName>
    <definedName name="st.ton" localSheetId="3">[3]預算明細表!#REF!</definedName>
    <definedName name="st.ton">[3]預算明細表!#REF!</definedName>
    <definedName name="sup.cem" localSheetId="4">[3]預算明細表!#REF!</definedName>
    <definedName name="sup.cem" localSheetId="3">[3]預算明細表!#REF!</definedName>
    <definedName name="sup.cem">[3]預算明細表!#REF!</definedName>
    <definedName name="totl" localSheetId="4">[3]預算明細表!#REF!</definedName>
    <definedName name="totl" localSheetId="3">[3]預算明細表!#REF!</definedName>
    <definedName name="totl">[3]預算明細表!#REF!</definedName>
    <definedName name="tpc.rcpipe" localSheetId="4">[5]單價!#REF!</definedName>
    <definedName name="tpc.rcpipe" localSheetId="3">[5]單價!#REF!</definedName>
    <definedName name="tpc.rcpipe">[6]單價!#REF!</definedName>
    <definedName name="tpcm.ac" localSheetId="4">[5]單價!#REF!</definedName>
    <definedName name="tpcm.ac" localSheetId="3">[5]單價!#REF!</definedName>
    <definedName name="tpcm.ac">[6]單價!#REF!</definedName>
    <definedName name="tpsm.form" localSheetId="4">[5]單價!$G$19</definedName>
    <definedName name="tpsm.form" localSheetId="3">[5]單價!$G$19</definedName>
    <definedName name="tpsm.form">[6]單價!$G$19</definedName>
    <definedName name="TPSM.S.FORM" localSheetId="4">[5]單價!#REF!</definedName>
    <definedName name="TPSM.S.FORM" localSheetId="3">[5]單價!#REF!</definedName>
    <definedName name="TPSM.S.FORM">[6]單價!#REF!</definedName>
    <definedName name="tra.tree" localSheetId="4">[3]預算明細表!#REF!</definedName>
    <definedName name="tra.tree" localSheetId="3">[3]預算明細表!#REF!</definedName>
    <definedName name="tra.tree">[3]預算明細表!#REF!</definedName>
    <definedName name="tran.gra.t" localSheetId="4">[5]單價!$J$28</definedName>
    <definedName name="tran.gra.t" localSheetId="3">[5]單價!$J$28</definedName>
    <definedName name="tran.gra.t">[6]單價!$J$28</definedName>
    <definedName name="tran.mat" localSheetId="4">[5]單價!$J$23</definedName>
    <definedName name="tran.mat" localSheetId="3">[5]單價!$J$23</definedName>
    <definedName name="tran.mat">[6]單價!$J$23</definedName>
    <definedName name="up.gra20" localSheetId="4">[5]單價!$J$48</definedName>
    <definedName name="up.gra20" localSheetId="3">[5]單價!$J$48</definedName>
    <definedName name="up.gra20">[6]單價!$J$48</definedName>
    <definedName name="up.grad" localSheetId="4">[5]單價!#REF!</definedName>
    <definedName name="up.grad" localSheetId="3">[5]單價!#REF!</definedName>
    <definedName name="up.grad">[6]單價!#REF!</definedName>
    <definedName name="up.grav" localSheetId="4">[5]單價!$J$44</definedName>
    <definedName name="up.grav" localSheetId="3">[5]單價!$J$44</definedName>
    <definedName name="up.grav">[6]單價!$J$44</definedName>
    <definedName name="up.sand" localSheetId="4">[5]單價!$J$39</definedName>
    <definedName name="up.sand" localSheetId="3">[5]單價!$J$39</definedName>
    <definedName name="up.sand">[6]單價!$J$39</definedName>
    <definedName name="up.soil" localSheetId="4">[5]單價!#REF!</definedName>
    <definedName name="up.soil" localSheetId="3">[5]單價!#REF!</definedName>
    <definedName name="up.soil">[6]單價!#REF!</definedName>
    <definedName name="up.stl" localSheetId="4">[5]單價!#REF!</definedName>
    <definedName name="up.stl" localSheetId="3">[5]單價!#REF!</definedName>
    <definedName name="up.stl">[6]單價!#REF!</definedName>
    <definedName name="upi.1\2Km" localSheetId="4">[5]單價!#REF!</definedName>
    <definedName name="upi.1\2Km" localSheetId="3">[5]單價!#REF!</definedName>
    <definedName name="upi.1\2Km">[6]單價!#REF!</definedName>
    <definedName name="upi.AC" localSheetId="4">[5]單價!#REF!</definedName>
    <definedName name="upi.AC" localSheetId="3">[5]單價!#REF!</definedName>
    <definedName name="upi.AC">[6]單價!#REF!</definedName>
    <definedName name="upi.ac.a" localSheetId="4">[5]單價!#REF!</definedName>
    <definedName name="upi.ac.a" localSheetId="3">[5]單價!#REF!</definedName>
    <definedName name="upi.ac.a">[6]單價!#REF!</definedName>
    <definedName name="upi.ac.emu" localSheetId="4">[5]單價!#REF!</definedName>
    <definedName name="upi.ac.emu" localSheetId="3">[5]單價!#REF!</definedName>
    <definedName name="upi.ac.emu">[6]單價!#REF!</definedName>
    <definedName name="upi.ac.m3" localSheetId="4">[5]單價!#REF!</definedName>
    <definedName name="upi.ac.m3" localSheetId="3">[5]單價!#REF!</definedName>
    <definedName name="upi.ac.m3">[6]單價!#REF!</definedName>
    <definedName name="upi.acre" localSheetId="4">[5]單價!#REF!</definedName>
    <definedName name="upi.acre" localSheetId="3">[5]單價!#REF!</definedName>
    <definedName name="upi.acre">[6]單價!#REF!</definedName>
    <definedName name="upi.bbeng" localSheetId="4">[5]單價!#REF!</definedName>
    <definedName name="upi.bbeng" localSheetId="3">[5]單價!#REF!</definedName>
    <definedName name="upi.bbeng">[6]單價!#REF!</definedName>
    <definedName name="upi.bbeng.a" localSheetId="4">[5]單價!#REF!</definedName>
    <definedName name="upi.bbeng.a" localSheetId="3">[5]單價!#REF!</definedName>
    <definedName name="upi.bbeng.a">[6]單價!#REF!</definedName>
    <definedName name="upi.bcp" localSheetId="4">[5]單價!#REF!</definedName>
    <definedName name="upi.bcp" localSheetId="3">[5]單價!#REF!</definedName>
    <definedName name="upi.bcp">[6]單價!#REF!</definedName>
    <definedName name="upi.bcp.a" localSheetId="4">[5]單價!#REF!</definedName>
    <definedName name="upi.bcp.a" localSheetId="3">[5]單價!#REF!</definedName>
    <definedName name="upi.bcp.a">[6]單價!#REF!</definedName>
    <definedName name="upi.board" localSheetId="4">[5]單價!#REF!</definedName>
    <definedName name="upi.board" localSheetId="3">[5]單價!#REF!</definedName>
    <definedName name="upi.board">[6]單價!#REF!</definedName>
    <definedName name="upi.box" localSheetId="4">[5]單價!#REF!</definedName>
    <definedName name="upi.box" localSheetId="3">[5]單價!#REF!</definedName>
    <definedName name="upi.box">[6]單價!#REF!</definedName>
    <definedName name="upi.brush" localSheetId="4">[5]單價!#REF!</definedName>
    <definedName name="upi.brush" localSheetId="3">[5]單價!#REF!</definedName>
    <definedName name="upi.brush">[6]單價!#REF!</definedName>
    <definedName name="upi.cabwk" localSheetId="4">[5]單價!#REF!</definedName>
    <definedName name="upi.cabwk" localSheetId="3">[5]單價!#REF!</definedName>
    <definedName name="upi.cabwk">[6]單價!#REF!</definedName>
    <definedName name="UPI.CL" localSheetId="4">[5]單價!#REF!</definedName>
    <definedName name="UPI.CL" localSheetId="3">[5]單價!#REF!</definedName>
    <definedName name="UPI.CL">[6]單價!#REF!</definedName>
    <definedName name="upi.cobbas" localSheetId="4">[5]單價!#REF!</definedName>
    <definedName name="upi.cobbas" localSheetId="3">[5]單價!#REF!</definedName>
    <definedName name="upi.cobbas">[6]單價!#REF!</definedName>
    <definedName name="upi.cobbox2" localSheetId="4">[5]單價!#REF!</definedName>
    <definedName name="upi.cobbox2" localSheetId="3">[5]單價!#REF!</definedName>
    <definedName name="upi.cobbox2">[6]單價!#REF!</definedName>
    <definedName name="upi.con140.a" localSheetId="4">[5]單價!#REF!</definedName>
    <definedName name="upi.con140.a" localSheetId="3">[5]單價!#REF!</definedName>
    <definedName name="upi.con140.a">[6]單價!#REF!</definedName>
    <definedName name="upi.crs.dtch" localSheetId="4">[5]單價!#REF!</definedName>
    <definedName name="upi.crs.dtch" localSheetId="3">[5]單價!#REF!</definedName>
    <definedName name="upi.crs.dtch">[6]單價!#REF!</definedName>
    <definedName name="upi.cut.a" localSheetId="4">[5]單價!#REF!</definedName>
    <definedName name="upi.cut.a" localSheetId="3">[5]單價!#REF!</definedName>
    <definedName name="upi.cut.a">[6]單價!#REF!</definedName>
    <definedName name="upi.cutface" localSheetId="4">[5]單價!#REF!</definedName>
    <definedName name="upi.cutface" localSheetId="3">[5]單價!#REF!</definedName>
    <definedName name="upi.cutface">[6]單價!#REF!</definedName>
    <definedName name="upi.discard.a" localSheetId="4">[5]單價!#REF!</definedName>
    <definedName name="upi.discard.a" localSheetId="3">[5]單價!#REF!</definedName>
    <definedName name="upi.discard.a">[6]單價!#REF!</definedName>
    <definedName name="upi.dran.fender" localSheetId="4">[5]單價!#REF!</definedName>
    <definedName name="upi.dran.fender" localSheetId="3">[5]單價!#REF!</definedName>
    <definedName name="upi.dran.fender">[6]單價!#REF!</definedName>
    <definedName name="upi.dran.fender.a" localSheetId="4">[5]單價!#REF!</definedName>
    <definedName name="upi.dran.fender.a" localSheetId="3">[5]單價!#REF!</definedName>
    <definedName name="upi.dran.fender.a">[6]單價!#REF!</definedName>
    <definedName name="UPI.DRG" localSheetId="4">[5]單價!#REF!</definedName>
    <definedName name="UPI.DRG" localSheetId="3">[5]單價!#REF!</definedName>
    <definedName name="UPI.DRG">[6]單價!#REF!</definedName>
    <definedName name="upi.dwn.dtch" localSheetId="4">[5]單價!#REF!</definedName>
    <definedName name="upi.dwn.dtch" localSheetId="3">[5]單價!#REF!</definedName>
    <definedName name="upi.dwn.dtch">[6]單價!#REF!</definedName>
    <definedName name="upi.emuac" localSheetId="4">[5]單價!#REF!</definedName>
    <definedName name="upi.emuac" localSheetId="3">[5]單價!#REF!</definedName>
    <definedName name="upi.emuac">[6]單價!#REF!</definedName>
    <definedName name="upi.emuac.a" localSheetId="4">[5]單價!#REF!</definedName>
    <definedName name="upi.emuac.a" localSheetId="3">[5]單價!#REF!</definedName>
    <definedName name="upi.emuac.a">[6]單價!#REF!</definedName>
    <definedName name="UPI.FILL" localSheetId="4">[5]單價!#REF!</definedName>
    <definedName name="UPI.FILL" localSheetId="3">[5]單價!#REF!</definedName>
    <definedName name="UPI.FILL">[6]單價!#REF!</definedName>
    <definedName name="upi.fill.a" localSheetId="4">[5]單價!#REF!</definedName>
    <definedName name="upi.fill.a" localSheetId="3">[5]單價!#REF!</definedName>
    <definedName name="upi.fill.a">[6]單價!#REF!</definedName>
    <definedName name="upi.form.a" localSheetId="4">[5]單價!#REF!</definedName>
    <definedName name="upi.form.a" localSheetId="3">[5]單價!#REF!</definedName>
    <definedName name="upi.form.a">[6]單價!#REF!</definedName>
    <definedName name="upi.form.n" localSheetId="4">[5]單價!#REF!</definedName>
    <definedName name="upi.form.n" localSheetId="3">[5]單價!#REF!</definedName>
    <definedName name="upi.form.n">[6]單價!#REF!</definedName>
    <definedName name="upi.form.s" localSheetId="4">[5]單價!#REF!</definedName>
    <definedName name="upi.form.s" localSheetId="3">[5]單價!#REF!</definedName>
    <definedName name="upi.form.s">[6]單價!#REF!</definedName>
    <definedName name="upi.gra.fil" localSheetId="4">[5]單價!#REF!</definedName>
    <definedName name="upi.gra.fil" localSheetId="3">[5]單價!#REF!</definedName>
    <definedName name="upi.gra.fil">[6]單價!#REF!</definedName>
    <definedName name="upi.grad" localSheetId="4">[5]單價!#REF!</definedName>
    <definedName name="upi.grad" localSheetId="3">[5]單價!#REF!</definedName>
    <definedName name="upi.grad">[6]單價!#REF!</definedName>
    <definedName name="upi.grad.a" localSheetId="4">[5]單價!#REF!</definedName>
    <definedName name="upi.grad.a" localSheetId="3">[5]單價!#REF!</definedName>
    <definedName name="upi.grad.a">[6]單價!#REF!</definedName>
    <definedName name="upi.grid" localSheetId="4">[5]單價!#REF!</definedName>
    <definedName name="upi.grid" localSheetId="3">[5]單價!#REF!</definedName>
    <definedName name="upi.grid">[6]單價!#REF!</definedName>
    <definedName name="upi.H型鋼">[4]單價!$J$169</definedName>
    <definedName name="upi.jetwk" localSheetId="4">[5]單價!#REF!</definedName>
    <definedName name="upi.jetwk" localSheetId="3">[5]單價!#REF!</definedName>
    <definedName name="upi.jetwk">[6]單價!#REF!</definedName>
    <definedName name="upi.keyst2" localSheetId="4">[5]單價!#REF!</definedName>
    <definedName name="upi.keyst2" localSheetId="3">[5]單價!#REF!</definedName>
    <definedName name="upi.keyst2">[6]單價!#REF!</definedName>
    <definedName name="upi.Km" localSheetId="4">[5]單價!#REF!</definedName>
    <definedName name="upi.Km" localSheetId="3">[5]單價!#REF!</definedName>
    <definedName name="upi.Km">[6]單價!#REF!</definedName>
    <definedName name="upi.L" localSheetId="4">[5]單價!#REF!</definedName>
    <definedName name="upi.L" localSheetId="3">[5]單價!#REF!</definedName>
    <definedName name="upi.L">[6]單價!#REF!</definedName>
    <definedName name="upi.L.a" localSheetId="4">[5]單價!#REF!</definedName>
    <definedName name="upi.L.a" localSheetId="3">[5]單價!#REF!</definedName>
    <definedName name="upi.L.a">[6]單價!#REF!</definedName>
    <definedName name="upi.line" localSheetId="4">[5]單價!#REF!</definedName>
    <definedName name="upi.line" localSheetId="3">[5]單價!#REF!</definedName>
    <definedName name="upi.line">[6]單價!#REF!</definedName>
    <definedName name="upi.line.a" localSheetId="4">[5]單價!#REF!</definedName>
    <definedName name="upi.line.a" localSheetId="3">[5]單價!#REF!</definedName>
    <definedName name="upi.line.a">[6]單價!#REF!</definedName>
    <definedName name="UPI.MATTRN" localSheetId="4">[5]單價!#REF!</definedName>
    <definedName name="UPI.MATTRN" localSheetId="3">[5]單價!#REF!</definedName>
    <definedName name="UPI.MATTRN">[6]單價!#REF!</definedName>
    <definedName name="upi.mc1" localSheetId="4">[5]單價!#REF!</definedName>
    <definedName name="upi.mc1" localSheetId="3">[5]單價!#REF!</definedName>
    <definedName name="upi.mc1">[6]單價!#REF!</definedName>
    <definedName name="upi.mc1.a" localSheetId="4">[5]單價!#REF!</definedName>
    <definedName name="upi.mc1.a" localSheetId="3">[5]單價!#REF!</definedName>
    <definedName name="upi.mc1.a">[6]單價!#REF!</definedName>
    <definedName name="UPI.MOTAR" localSheetId="4">[5]單價!#REF!</definedName>
    <definedName name="UPI.MOTAR" localSheetId="3">[5]單價!#REF!</definedName>
    <definedName name="UPI.MOTAR">[6]單價!#REF!</definedName>
    <definedName name="upi.motar.a" localSheetId="4">[5]單價!#REF!</definedName>
    <definedName name="upi.motar.a" localSheetId="3">[5]單價!#REF!</definedName>
    <definedName name="upi.motar.a">[6]單價!#REF!</definedName>
    <definedName name="upi.nj.defnd" localSheetId="4">[5]單價!#REF!</definedName>
    <definedName name="upi.nj.defnd" localSheetId="3">[5]單價!#REF!</definedName>
    <definedName name="upi.nj.defnd">[6]單價!#REF!</definedName>
    <definedName name="upi.nj.fnd" localSheetId="4">[5]單價!#REF!</definedName>
    <definedName name="upi.nj.fnd" localSheetId="3">[5]單價!#REF!</definedName>
    <definedName name="upi.nj.fnd">[6]單價!#REF!</definedName>
    <definedName name="UPI.PAINT" localSheetId="4">[5]單價!#REF!</definedName>
    <definedName name="UPI.PAINT" localSheetId="3">[5]單價!#REF!</definedName>
    <definedName name="UPI.PAINT">[6]單價!#REF!</definedName>
    <definedName name="upi.paint.a" localSheetId="4">[5]單價!#REF!</definedName>
    <definedName name="upi.paint.a" localSheetId="3">[5]單價!#REF!</definedName>
    <definedName name="upi.paint.a">[6]單價!#REF!</definedName>
    <definedName name="upi.panel" localSheetId="4">[5]單價!#REF!</definedName>
    <definedName name="upi.panel" localSheetId="3">[5]單價!#REF!</definedName>
    <definedName name="upi.panel">[6]單價!#REF!</definedName>
    <definedName name="upi.panel.a" localSheetId="4">[5]單價!#REF!</definedName>
    <definedName name="upi.panel.a" localSheetId="3">[5]單價!#REF!</definedName>
    <definedName name="upi.panel.a">[6]單價!#REF!</definedName>
    <definedName name="upi.peat" localSheetId="4">[5]單價!#REF!</definedName>
    <definedName name="upi.peat" localSheetId="3">[5]單價!#REF!</definedName>
    <definedName name="upi.peat">[6]單價!#REF!</definedName>
    <definedName name="upi.peats" localSheetId="4">[5]單價!#REF!</definedName>
    <definedName name="upi.peats" localSheetId="3">[5]單價!#REF!</definedName>
    <definedName name="upi.peats">[6]單價!#REF!</definedName>
    <definedName name="upi.pipe" localSheetId="4">[5]單價!#REF!</definedName>
    <definedName name="upi.pipe" localSheetId="3">[5]單價!#REF!</definedName>
    <definedName name="upi.pipe">[6]單價!#REF!</definedName>
    <definedName name="upi.pool" localSheetId="4">[5]單價!#REF!</definedName>
    <definedName name="upi.pool" localSheetId="3">[5]單價!#REF!</definedName>
    <definedName name="upi.pool">[6]單價!#REF!</definedName>
    <definedName name="upi.reflec" localSheetId="4">[5]單價!#REF!</definedName>
    <definedName name="upi.reflec" localSheetId="3">[5]單價!#REF!</definedName>
    <definedName name="upi.reflec">[6]單價!#REF!</definedName>
    <definedName name="upi.rep" localSheetId="4">[5]單價!#REF!</definedName>
    <definedName name="upi.rep" localSheetId="3">[5]單價!#REF!</definedName>
    <definedName name="upi.rep">[6]單價!#REF!</definedName>
    <definedName name="UPI.ROCK" localSheetId="4">[5]單價!#REF!</definedName>
    <definedName name="UPI.ROCK" localSheetId="3">[5]單價!#REF!</definedName>
    <definedName name="UPI.ROCK">[6]單價!#REF!</definedName>
    <definedName name="UPI.S.FORM" localSheetId="4">[5]單價!#REF!</definedName>
    <definedName name="UPI.S.FORM" localSheetId="3">[5]單價!#REF!</definedName>
    <definedName name="UPI.S.FORM">[6]單價!#REF!</definedName>
    <definedName name="upi.saf.cab" localSheetId="4">[5]單價!#REF!</definedName>
    <definedName name="upi.saf.cab" localSheetId="3">[5]單價!#REF!</definedName>
    <definedName name="upi.saf.cab">[6]單價!#REF!</definedName>
    <definedName name="upi.smo" localSheetId="4">[5]單價!#REF!</definedName>
    <definedName name="upi.smo" localSheetId="3">[5]單價!#REF!</definedName>
    <definedName name="upi.smo">[6]單價!#REF!</definedName>
    <definedName name="upi.sp.mo.mch" localSheetId="4">[5]單價!#REF!</definedName>
    <definedName name="upi.sp.mo.mch" localSheetId="3">[5]單價!#REF!</definedName>
    <definedName name="upi.sp.mo.mch">[6]單價!#REF!</definedName>
    <definedName name="upi.steel.a" localSheetId="4">[5]單價!#REF!</definedName>
    <definedName name="upi.steel.a" localSheetId="3">[5]單價!#REF!</definedName>
    <definedName name="upi.steel.a">[6]單價!#REF!</definedName>
    <definedName name="upi.sub.riv" localSheetId="4">[5]單價!#REF!</definedName>
    <definedName name="upi.sub.riv" localSheetId="3">[5]單價!#REF!</definedName>
    <definedName name="upi.sub.riv">[6]單價!#REF!</definedName>
    <definedName name="upi.test" localSheetId="4">[5]單價!#REF!</definedName>
    <definedName name="upi.test" localSheetId="3">[5]單價!#REF!</definedName>
    <definedName name="upi.test">[6]單價!#REF!</definedName>
    <definedName name="upi.test.a" localSheetId="4">[5]單價!#REF!</definedName>
    <definedName name="upi.test.a" localSheetId="3">[5]單價!#REF!</definedName>
    <definedName name="upi.test.a">[6]單價!#REF!</definedName>
    <definedName name="upi.trough1" localSheetId="4">[5]單價!#REF!</definedName>
    <definedName name="upi.trough1" localSheetId="3">[5]單價!#REF!</definedName>
    <definedName name="upi.trough1">[6]單價!#REF!</definedName>
    <definedName name="upi.trough1.5" localSheetId="4">[5]單價!#REF!</definedName>
    <definedName name="upi.trough1.5" localSheetId="3">[5]單價!#REF!</definedName>
    <definedName name="upi.trough1.5">[6]單價!#REF!</definedName>
    <definedName name="upi.trough1.5.a" localSheetId="4">[5]單價!#REF!</definedName>
    <definedName name="upi.trough1.5.a" localSheetId="3">[5]單價!#REF!</definedName>
    <definedName name="upi.trough1.5.a">[6]單價!#REF!</definedName>
    <definedName name="upi.trough1.a" localSheetId="4">[5]單價!#REF!</definedName>
    <definedName name="upi.trough1.a" localSheetId="3">[5]單價!#REF!</definedName>
    <definedName name="upi.trough1.a">[6]單價!#REF!</definedName>
    <definedName name="upi.trough2" localSheetId="4">[5]單價!#REF!</definedName>
    <definedName name="upi.trough2" localSheetId="3">[5]單價!#REF!</definedName>
    <definedName name="upi.trough2">[6]單價!#REF!</definedName>
    <definedName name="upi.trough2.a" localSheetId="4">[5]單價!#REF!</definedName>
    <definedName name="upi.trough2.a" localSheetId="3">[5]單價!#REF!</definedName>
    <definedName name="upi.trough2.a">[6]單價!#REF!</definedName>
    <definedName name="upi.w.fnd" localSheetId="4">[5]單價!#REF!</definedName>
    <definedName name="upi.w.fnd" localSheetId="3">[5]單價!#REF!</definedName>
    <definedName name="upi.w.fnd">[6]單價!#REF!</definedName>
    <definedName name="upi.well" localSheetId="4">[5]單價!#REF!</definedName>
    <definedName name="upi.well" localSheetId="3">[5]單價!#REF!</definedName>
    <definedName name="upi.well">[6]單價!#REF!</definedName>
    <definedName name="upi.well.a" localSheetId="4">[5]單價!#REF!</definedName>
    <definedName name="upi.well.a" localSheetId="3">[5]單價!#REF!</definedName>
    <definedName name="upi.well.a">[6]單價!#REF!</definedName>
    <definedName name="upi.不織布">[4]單價!$J$194</definedName>
    <definedName name="upi.透層">[4]單價!$J$134</definedName>
    <definedName name="upi.黏層">[4]單價!$J$143</definedName>
    <definedName name="upi.瀝青">[4]單價!$J$121</definedName>
    <definedName name="v.cut" localSheetId="4">#REF!</definedName>
    <definedName name="v.cut" localSheetId="3">#REF!</definedName>
    <definedName name="v.cut">#REF!</definedName>
    <definedName name="大" localSheetId="4">#REF!</definedName>
    <definedName name="大" localSheetId="3">#REF!</definedName>
    <definedName name="大">#REF!</definedName>
    <definedName name="工資_一般技工" localSheetId="4">#REF!</definedName>
    <definedName name="工資_一般技工" localSheetId="3">#REF!</definedName>
    <definedName name="工資_一般技工">#REF!</definedName>
    <definedName name="工資_半技工" localSheetId="4">#REF!</definedName>
    <definedName name="工資_半技工" localSheetId="3">#REF!</definedName>
    <definedName name="工資_半技工">#REF!</definedName>
    <definedName name="工資_特種技工" localSheetId="4">#REF!</definedName>
    <definedName name="工資_特種技工" localSheetId="3">#REF!</definedName>
    <definedName name="工資_特種技工">#REF!</definedName>
    <definedName name="工資_普通工" localSheetId="4">#REF!</definedName>
    <definedName name="工資_普通工" localSheetId="3">#REF!</definedName>
    <definedName name="工資_普通工">#REF!</definedName>
    <definedName name="中華民國86年4月10日">#REF!</definedName>
    <definedName name="元件項目起始列" localSheetId="2">表5_元件數量計算表!$B$5</definedName>
    <definedName name="床2" localSheetId="4">[7]單價!$H$16</definedName>
    <definedName name="床2" localSheetId="3">[7]單價!$H$16</definedName>
    <definedName name="床2">[8]單價!$H$16</definedName>
    <definedName name="床3" localSheetId="4">[7]單價!$H$10</definedName>
    <definedName name="床3" localSheetId="3">[7]單價!$H$10</definedName>
    <definedName name="床3">[8]單價!$H$10</definedName>
    <definedName name="床廣" localSheetId="4">[7]單價!$J$32</definedName>
    <definedName name="床廣" localSheetId="3">[7]單價!$J$32</definedName>
    <definedName name="床廣">[8]單價!$J$32</definedName>
    <definedName name="倉儲費" localSheetId="4">#REF!</definedName>
    <definedName name="倉儲費" localSheetId="3">#REF!</definedName>
    <definedName name="倉儲費">#REF!</definedName>
    <definedName name="清單">#REF!</definedName>
    <definedName name="單價_∮3PVC管" localSheetId="4">#REF!</definedName>
    <definedName name="單價_∮3PVC管" localSheetId="3">#REF!</definedName>
    <definedName name="單價_∮3PVC管">#REF!</definedName>
    <definedName name="單價_210混凝土" localSheetId="4">#REF!</definedName>
    <definedName name="單價_210混凝土" localSheetId="3">#REF!</definedName>
    <definedName name="單價_210混凝土">#REF!</definedName>
    <definedName name="單價_一級工" localSheetId="4">#REF!</definedName>
    <definedName name="單價_一級工" localSheetId="3">#REF!</definedName>
    <definedName name="單價_一級工">#REF!</definedName>
    <definedName name="單價_一級路" localSheetId="4">#REF!</definedName>
    <definedName name="單價_一級路" localSheetId="3">#REF!</definedName>
    <definedName name="單價_一級路">#REF!</definedName>
    <definedName name="單價_二級工" localSheetId="4">#REF!</definedName>
    <definedName name="單價_二級工" localSheetId="3">#REF!</definedName>
    <definedName name="單價_二級工">#REF!</definedName>
    <definedName name="單價_二級路" localSheetId="4">#REF!</definedName>
    <definedName name="單價_二級路" localSheetId="3">#REF!</definedName>
    <definedName name="單價_二級路">#REF!</definedName>
    <definedName name="單價_三級路" localSheetId="4">#REF!</definedName>
    <definedName name="單價_三級路" localSheetId="3">#REF!</definedName>
    <definedName name="單價_三級路">#REF!</definedName>
    <definedName name="單價_水泥" localSheetId="4">#REF!</definedName>
    <definedName name="單價_水泥" localSheetId="3">#REF!</definedName>
    <definedName name="單價_水泥">#REF!</definedName>
    <definedName name="單價_回填方" localSheetId="4">#REF!</definedName>
    <definedName name="單價_回填方" localSheetId="3">#REF!</definedName>
    <definedName name="單價_回填方">#REF!</definedName>
    <definedName name="單價_卵石" localSheetId="4">[9]單價分析!#REF!</definedName>
    <definedName name="單價_卵石" localSheetId="3">[9]單價分析!#REF!</definedName>
    <definedName name="單價_卵石">[9]單價分析!#REF!</definedName>
    <definedName name="單價_挖方" localSheetId="4">#REF!</definedName>
    <definedName name="單價_挖方" localSheetId="3">#REF!</definedName>
    <definedName name="單價_挖方">#REF!</definedName>
    <definedName name="單價_級配" localSheetId="4">[9]單價分析!#REF!</definedName>
    <definedName name="單價_級配" localSheetId="3">[9]單價分析!#REF!</definedName>
    <definedName name="單價_級配">[9]單價分析!#REF!</definedName>
    <definedName name="單價_基礎挖填整平" localSheetId="4">#REF!</definedName>
    <definedName name="單價_基礎挖填整平" localSheetId="3">#REF!</definedName>
    <definedName name="單價_基礎挖填整平">#REF!</definedName>
    <definedName name="單價_排水器" localSheetId="4">#REF!</definedName>
    <definedName name="單價_排水器" localSheetId="3">#REF!</definedName>
    <definedName name="單價_排水器">#REF!</definedName>
    <definedName name="單價_棄土處理" localSheetId="4">#REF!</definedName>
    <definedName name="單價_棄土處理" localSheetId="3">#REF!</definedName>
    <definedName name="單價_棄土處理">#REF!</definedName>
    <definedName name="單價_淨石子" localSheetId="4">#REF!</definedName>
    <definedName name="單價_淨石子" localSheetId="3">#REF!</definedName>
    <definedName name="單價_淨石子">#REF!</definedName>
    <definedName name="單價_淨砂" localSheetId="4">#REF!</definedName>
    <definedName name="單價_淨砂" localSheetId="3">#REF!</definedName>
    <definedName name="單價_淨砂">#REF!</definedName>
    <definedName name="單價_混凝土">[9]單價分析!$J$90</definedName>
    <definedName name="單價_造型模板" localSheetId="4">#REF!</definedName>
    <definedName name="單價_造型模板" localSheetId="3">#REF!</definedName>
    <definedName name="單價_造型模板">#REF!</definedName>
    <definedName name="單價_普通模板" localSheetId="4">#REF!</definedName>
    <definedName name="單價_普通模板" localSheetId="3">#REF!</definedName>
    <definedName name="單價_普通模板">#REF!</definedName>
    <definedName name="單價_碎石級配" localSheetId="4">#REF!</definedName>
    <definedName name="單價_碎石級配" localSheetId="3">#REF!</definedName>
    <definedName name="單價_碎石級配">#REF!</definedName>
    <definedName name="單價_模板">[9]單價分析!$J$71</definedName>
    <definedName name="單價_橫溝鐵蓋" localSheetId="4">#REF!</definedName>
    <definedName name="單價_橫溝鐵蓋" localSheetId="3">#REF!</definedName>
    <definedName name="單價_橫溝鐵蓋">#REF!</definedName>
    <definedName name="單價_鋼筋加工組立" localSheetId="4">#REF!</definedName>
    <definedName name="單價_鋼筋加工組立" localSheetId="3">#REF!</definedName>
    <definedName name="單價_鋼筋加工組立">#REF!</definedName>
    <definedName name="裝卸費" localSheetId="4">#REF!</definedName>
    <definedName name="裝卸費" localSheetId="3">#REF!</definedName>
    <definedName name="裝卸費">#REF!</definedName>
    <definedName name="運費_土場→翠峰林道" localSheetId="4">#REF!</definedName>
    <definedName name="運費_土場→翠峰林道" localSheetId="3">#REF!</definedName>
    <definedName name="運費_土場→翠峰林道">#REF!</definedName>
    <definedName name="運費_水泥" localSheetId="4">#REF!</definedName>
    <definedName name="運費_水泥" localSheetId="3">#REF!</definedName>
    <definedName name="運費_水泥">#REF!</definedName>
    <definedName name="運費_再連→土場" localSheetId="4">#REF!</definedName>
    <definedName name="運費_再連→土場" localSheetId="3">#REF!</definedName>
    <definedName name="運費_再連→土場">#REF!</definedName>
    <definedName name="運費_砂石" localSheetId="4">#REF!</definedName>
    <definedName name="運費_砂石" localSheetId="3">#REF!</definedName>
    <definedName name="運費_砂石">#REF!</definedName>
    <definedName name="運費_鋼筋模板" localSheetId="4">#REF!</definedName>
    <definedName name="運費_鋼筋模板" localSheetId="3">#REF!</definedName>
    <definedName name="運費_鋼筋模板">#REF!</definedName>
    <definedName name="運費_羅東→土場" localSheetId="4">#REF!</definedName>
    <definedName name="運費_羅東→土場" localSheetId="3">#REF!</definedName>
    <definedName name="運費_羅東→土場">#REF!</definedName>
    <definedName name="運費_蘇澳→土場" localSheetId="4">#REF!</definedName>
    <definedName name="運費_蘇澳→土場" localSheetId="3">#REF!</definedName>
    <definedName name="運費_蘇澳→土場">#REF!</definedName>
    <definedName name="運資_一級路" localSheetId="4">#REF!</definedName>
    <definedName name="運資_一級路" localSheetId="3">#REF!</definedName>
    <definedName name="運資_一級路">#REF!</definedName>
    <definedName name="運資_二級路" localSheetId="4">#REF!</definedName>
    <definedName name="運資_二級路" localSheetId="3">#REF!</definedName>
    <definedName name="運資_二級路">#REF!</definedName>
    <definedName name="運資_三級路" localSheetId="4">#REF!</definedName>
    <definedName name="運資_三級路" localSheetId="3">#REF!</definedName>
    <definedName name="運資_三級路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2327" l="1"/>
  <c r="K11" i="2327"/>
  <c r="K10" i="2327"/>
  <c r="K7" i="2327"/>
  <c r="J10" i="2327"/>
  <c r="J7" i="2327"/>
  <c r="J6" i="2327"/>
  <c r="I10" i="2327"/>
  <c r="I8" i="2327"/>
  <c r="I7" i="2327"/>
  <c r="I6" i="2327"/>
  <c r="H10" i="2327"/>
  <c r="H9" i="2327"/>
  <c r="H8" i="2327"/>
  <c r="H7" i="2327"/>
  <c r="H6" i="2327"/>
  <c r="G10" i="2327"/>
  <c r="G8" i="2327"/>
  <c r="G7" i="2327"/>
  <c r="G6" i="2327"/>
  <c r="F10" i="2327"/>
  <c r="F9" i="2327"/>
  <c r="F8" i="2327"/>
  <c r="F7" i="2327"/>
  <c r="F6" i="2327"/>
  <c r="E10" i="2327"/>
  <c r="E8" i="2327"/>
  <c r="E7" i="2327"/>
  <c r="E6" i="2327"/>
  <c r="D10" i="2327"/>
  <c r="D9" i="2327"/>
  <c r="D8" i="2327"/>
  <c r="D7" i="2327"/>
  <c r="D6" i="2327"/>
  <c r="H18" i="2328" a="1"/>
  <c r="H18" i="2328" s="1"/>
  <c r="H25" i="2328" a="1"/>
  <c r="H25" i="2328" s="1"/>
  <c r="H31" i="2328" a="1"/>
  <c r="H31" i="2328" s="1"/>
  <c r="H38" i="2328" a="1"/>
  <c r="H38" i="2328" s="1"/>
  <c r="H44" i="2328" a="1"/>
  <c r="H44" i="2328" s="1"/>
  <c r="H49" i="2328" a="1"/>
  <c r="H49" i="2328" s="1"/>
  <c r="L13" i="2327"/>
  <c r="C8" i="2327"/>
  <c r="C9" i="2327"/>
  <c r="C10" i="2327"/>
  <c r="C11" i="2327"/>
  <c r="C12" i="2327"/>
  <c r="C13" i="2327"/>
  <c r="C6" i="2327"/>
  <c r="H15" i="2328" a="1"/>
  <c r="H13" i="2328" a="1"/>
  <c r="H28" i="2328" a="1"/>
  <c r="H34" i="2328" a="1"/>
  <c r="H19" i="2328" a="1"/>
  <c r="H35" i="2328" a="1"/>
  <c r="H42" i="2328" a="1"/>
  <c r="H14" i="2328" a="1"/>
  <c r="H7" i="2328" a="1"/>
  <c r="H41" i="2328" a="1"/>
  <c r="H22" i="2328" a="1"/>
  <c r="H47" i="2328" a="1"/>
  <c r="H20" i="2328" a="1"/>
  <c r="H29" i="2328" a="1"/>
  <c r="H40" i="2328" a="1"/>
  <c r="H53" i="2328" a="1"/>
  <c r="H17" i="2328" a="1"/>
  <c r="H51" i="2328" a="1"/>
  <c r="H50" i="2328" a="1"/>
  <c r="H46" i="2328" a="1"/>
  <c r="H8" i="2328" a="1"/>
  <c r="H26" i="2328" a="1"/>
  <c r="H27" i="2328" a="1"/>
  <c r="H32" i="2328" a="1"/>
  <c r="H45" i="2328" a="1"/>
  <c r="H48" i="2328" a="1"/>
  <c r="H10" i="2328" a="1"/>
  <c r="H52" i="2328" a="1"/>
  <c r="H24" i="2328" a="1"/>
  <c r="H33" i="2328" a="1"/>
  <c r="H37" i="2328" a="1"/>
  <c r="H36" i="2328" a="1"/>
  <c r="H30" i="2328" a="1"/>
  <c r="H39" i="2328" a="1"/>
  <c r="H54" i="2328" a="1"/>
  <c r="H11" i="2328" a="1"/>
  <c r="H23" i="2328" a="1"/>
  <c r="H16" i="2328" a="1"/>
  <c r="H43" i="2328" a="1"/>
  <c r="H21" i="2328" a="1"/>
  <c r="H9" i="2328" a="1"/>
  <c r="H13" i="2328" l="1"/>
  <c r="H26" i="2328"/>
  <c r="H20" i="2328"/>
  <c r="H14" i="2328"/>
  <c r="H8" i="2328"/>
  <c r="H32" i="2328"/>
  <c r="H43" i="2328"/>
  <c r="H54" i="2328"/>
  <c r="H48" i="2328"/>
  <c r="H42" i="2328"/>
  <c r="H36" i="2328"/>
  <c r="H30" i="2328"/>
  <c r="H24" i="2328"/>
  <c r="H53" i="2328"/>
  <c r="H41" i="2328"/>
  <c r="H35" i="2328"/>
  <c r="H29" i="2328"/>
  <c r="H23" i="2328"/>
  <c r="H17" i="2328"/>
  <c r="H11" i="2328"/>
  <c r="H50" i="2328"/>
  <c r="H37" i="2328"/>
  <c r="H19" i="2328"/>
  <c r="H52" i="2328"/>
  <c r="H46" i="2328"/>
  <c r="H40" i="2328"/>
  <c r="H34" i="2328"/>
  <c r="H28" i="2328"/>
  <c r="H22" i="2328"/>
  <c r="H16" i="2328"/>
  <c r="H10" i="2328"/>
  <c r="H47" i="2328"/>
  <c r="H51" i="2328"/>
  <c r="H45" i="2328"/>
  <c r="H39" i="2328"/>
  <c r="H33" i="2328"/>
  <c r="H27" i="2328"/>
  <c r="H21" i="2328"/>
  <c r="H15" i="2328"/>
  <c r="H9" i="2328"/>
  <c r="H7" i="2328"/>
  <c r="L6" i="2327" l="1"/>
  <c r="L12" i="2327"/>
  <c r="L11" i="2327"/>
  <c r="L10" i="2327"/>
  <c r="L7" i="2327"/>
  <c r="K4" i="2327"/>
  <c r="J4" i="2327"/>
  <c r="I4" i="2327"/>
  <c r="E4" i="2327"/>
  <c r="F4" i="2327"/>
  <c r="G4" i="2327"/>
  <c r="H4" i="2327"/>
  <c r="D4" i="2327"/>
  <c r="L12" i="2330"/>
  <c r="M12" i="2330"/>
  <c r="L13" i="2330"/>
  <c r="L14" i="2330"/>
  <c r="M14" i="2330"/>
  <c r="I12" i="2330"/>
  <c r="J12" i="2330"/>
  <c r="I13" i="2330"/>
  <c r="I14" i="2330"/>
  <c r="J14" i="2330"/>
  <c r="F12" i="2330"/>
  <c r="F13" i="2330"/>
  <c r="J13" i="2330" s="1"/>
  <c r="F14" i="2330"/>
  <c r="L11" i="2330"/>
  <c r="M11" i="2330" s="1"/>
  <c r="I11" i="2330"/>
  <c r="F11" i="2330"/>
  <c r="L10" i="2330"/>
  <c r="I10" i="2330"/>
  <c r="F10" i="2330"/>
  <c r="L9" i="2330"/>
  <c r="M9" i="2330" s="1"/>
  <c r="I9" i="2330"/>
  <c r="F9" i="2330"/>
  <c r="F24" i="2330" s="1"/>
  <c r="C2" i="2330"/>
  <c r="D19" i="2322"/>
  <c r="F19" i="2322" s="1"/>
  <c r="D28" i="2322"/>
  <c r="F28" i="2322" s="1"/>
  <c r="D21" i="2322"/>
  <c r="F21" i="2322" s="1"/>
  <c r="D10" i="2322"/>
  <c r="F10" i="2322" s="1"/>
  <c r="D20" i="2322"/>
  <c r="D18" i="2322"/>
  <c r="A7" i="2327"/>
  <c r="A8" i="2327" s="1"/>
  <c r="A9" i="2327" s="1"/>
  <c r="A10" i="2327" s="1"/>
  <c r="A11" i="2327" s="1"/>
  <c r="A12" i="2327" s="1"/>
  <c r="A13" i="2327" s="1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C7" i="2327"/>
  <c r="L10" i="2329"/>
  <c r="M10" i="2329" s="1"/>
  <c r="I10" i="2329"/>
  <c r="J10" i="2329" s="1"/>
  <c r="F10" i="2329"/>
  <c r="L11" i="2329"/>
  <c r="M11" i="2329" s="1"/>
  <c r="I11" i="2329"/>
  <c r="F11" i="2329"/>
  <c r="F9" i="2329"/>
  <c r="F24" i="2329" s="1"/>
  <c r="I9" i="2329"/>
  <c r="J9" i="2329" s="1"/>
  <c r="L9" i="2329"/>
  <c r="M9" i="2329" s="1"/>
  <c r="D22" i="2322"/>
  <c r="F22" i="2322" s="1"/>
  <c r="D33" i="2322"/>
  <c r="F33" i="2322" s="1"/>
  <c r="C2" i="2329"/>
  <c r="A1" i="2328"/>
  <c r="A1" i="2330" s="1"/>
  <c r="A4" i="2328"/>
  <c r="F20" i="2322"/>
  <c r="D24" i="2322"/>
  <c r="F24" i="2322" s="1"/>
  <c r="D25" i="2322"/>
  <c r="F25" i="2322" s="1"/>
  <c r="D26" i="2322"/>
  <c r="F26" i="2322" s="1"/>
  <c r="D27" i="2322"/>
  <c r="F27" i="2322" s="1"/>
  <c r="D29" i="2322"/>
  <c r="F29" i="2322" s="1"/>
  <c r="D30" i="2322"/>
  <c r="F30" i="2322" s="1"/>
  <c r="D31" i="2322"/>
  <c r="F31" i="2322" s="1"/>
  <c r="D32" i="2322"/>
  <c r="F32" i="2322" s="1"/>
  <c r="J11" i="2329"/>
  <c r="F18" i="2322"/>
  <c r="J11" i="2330"/>
  <c r="M10" i="2330"/>
  <c r="J10" i="2330"/>
  <c r="J9" i="2330"/>
  <c r="J25" i="2330" s="1"/>
  <c r="L8" i="2327" l="1"/>
  <c r="L9" i="2327"/>
  <c r="D14" i="2322" s="1"/>
  <c r="F14" i="2322" s="1"/>
  <c r="D12" i="2322"/>
  <c r="F12" i="2322" s="1"/>
  <c r="D15" i="2322"/>
  <c r="F15" i="2322" s="1"/>
  <c r="D17" i="2322"/>
  <c r="F17" i="2322" s="1"/>
  <c r="M25" i="2330"/>
  <c r="L29" i="2330" s="1"/>
  <c r="M24" i="2329"/>
  <c r="M25" i="2329"/>
  <c r="D8" i="2322" s="1"/>
  <c r="F8" i="2322" s="1"/>
  <c r="J24" i="2329"/>
  <c r="J25" i="2329"/>
  <c r="A1" i="2329"/>
  <c r="J24" i="2330"/>
  <c r="M13" i="2330"/>
  <c r="M24" i="2330" s="1"/>
  <c r="D13" i="2322" l="1"/>
  <c r="F13" i="2322" s="1"/>
  <c r="D16" i="2322"/>
  <c r="F16" i="2322" s="1"/>
  <c r="D11" i="2322"/>
  <c r="F11" i="2322" s="1"/>
  <c r="L29" i="2329"/>
  <c r="D7" i="2322"/>
  <c r="F7" i="2322" s="1"/>
  <c r="D9" i="2322" l="1"/>
  <c r="F9" i="2322" s="1"/>
  <c r="C9" i="23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<sst xmlns="http://schemas.openxmlformats.org/spreadsheetml/2006/main" count="350" uniqueCount="127">
  <si>
    <t>項次</t>
    <phoneticPr fontId="2" type="noConversion"/>
  </si>
  <si>
    <t>項目</t>
    <phoneticPr fontId="2" type="noConversion"/>
  </si>
  <si>
    <t>說明</t>
    <phoneticPr fontId="2" type="noConversion"/>
  </si>
  <si>
    <t>數量</t>
    <phoneticPr fontId="2" type="noConversion"/>
  </si>
  <si>
    <t>合計數量</t>
    <phoneticPr fontId="2" type="noConversion"/>
  </si>
  <si>
    <t>單位</t>
    <phoneticPr fontId="2" type="noConversion"/>
  </si>
  <si>
    <t>≒</t>
    <phoneticPr fontId="2" type="noConversion"/>
  </si>
  <si>
    <t>M3</t>
  </si>
  <si>
    <t>M2</t>
  </si>
  <si>
    <t>工程項目</t>
    <phoneticPr fontId="2" type="noConversion"/>
  </si>
  <si>
    <t>總計</t>
    <phoneticPr fontId="2" type="noConversion"/>
  </si>
  <si>
    <t>≒</t>
  </si>
  <si>
    <t>工 程 數 量 計 算 表</t>
    <phoneticPr fontId="2" type="noConversion"/>
  </si>
  <si>
    <t>一</t>
  </si>
  <si>
    <t>c</t>
    <phoneticPr fontId="2" type="noConversion"/>
  </si>
  <si>
    <t>d</t>
    <phoneticPr fontId="2" type="noConversion"/>
  </si>
  <si>
    <t>小計</t>
    <phoneticPr fontId="2" type="noConversion"/>
  </si>
  <si>
    <t>a</t>
    <phoneticPr fontId="2" type="noConversion"/>
  </si>
  <si>
    <t>b</t>
    <phoneticPr fontId="2" type="noConversion"/>
  </si>
  <si>
    <t>KG</t>
    <phoneticPr fontId="2" type="noConversion"/>
  </si>
  <si>
    <t>M2</t>
    <phoneticPr fontId="2" type="noConversion"/>
  </si>
  <si>
    <t>M3</t>
    <phoneticPr fontId="2" type="noConversion"/>
  </si>
  <si>
    <t>e</t>
    <phoneticPr fontId="2" type="noConversion"/>
  </si>
  <si>
    <t>支</t>
    <phoneticPr fontId="2" type="noConversion"/>
  </si>
  <si>
    <t>每M數量</t>
    <phoneticPr fontId="2" type="noConversion"/>
  </si>
  <si>
    <t>直接工程費</t>
    <phoneticPr fontId="2" type="noConversion"/>
  </si>
  <si>
    <t>m</t>
  </si>
  <si>
    <t>樁號</t>
    <phoneticPr fontId="45" type="noConversion"/>
  </si>
  <si>
    <t>距離</t>
    <phoneticPr fontId="45" type="noConversion"/>
  </si>
  <si>
    <t>斷面積</t>
    <phoneticPr fontId="45" type="noConversion"/>
  </si>
  <si>
    <t>平均斷面</t>
    <phoneticPr fontId="45" type="noConversion"/>
  </si>
  <si>
    <t>體積</t>
    <phoneticPr fontId="45" type="noConversion"/>
  </si>
  <si>
    <r>
      <t>m</t>
    </r>
    <r>
      <rPr>
        <vertAlign val="superscript"/>
        <sz val="12"/>
        <rFont val="新細明體"/>
        <family val="1"/>
        <charset val="136"/>
      </rPr>
      <t>3</t>
    </r>
    <r>
      <rPr>
        <sz val="12"/>
        <rFont val="新細明體"/>
        <family val="1"/>
        <charset val="136"/>
      </rPr>
      <t xml:space="preserve"> / m</t>
    </r>
    <phoneticPr fontId="41" type="noConversion"/>
  </si>
  <si>
    <r>
      <t>m</t>
    </r>
    <r>
      <rPr>
        <vertAlign val="superscript"/>
        <sz val="12"/>
        <rFont val="新細明體"/>
        <family val="1"/>
        <charset val="136"/>
      </rPr>
      <t>3</t>
    </r>
    <r>
      <rPr>
        <sz val="12"/>
        <rFont val="新細明體"/>
        <family val="1"/>
        <charset val="136"/>
      </rPr>
      <t xml:space="preserve"> </t>
    </r>
    <phoneticPr fontId="41" type="noConversion"/>
  </si>
  <si>
    <t>本頁小計</t>
    <phoneticPr fontId="45" type="noConversion"/>
  </si>
  <si>
    <t>合計</t>
    <phoneticPr fontId="41" type="noConversion"/>
  </si>
  <si>
    <t>計算</t>
    <phoneticPr fontId="41" type="noConversion"/>
  </si>
  <si>
    <t>複核</t>
    <phoneticPr fontId="41" type="noConversion"/>
  </si>
  <si>
    <t>-</t>
    <phoneticPr fontId="41" type="noConversion"/>
  </si>
  <si>
    <t>-</t>
    <phoneticPr fontId="41" type="noConversion"/>
  </si>
  <si>
    <t>二</t>
    <phoneticPr fontId="2" type="noConversion"/>
  </si>
  <si>
    <t>詳"土方計算表"</t>
    <phoneticPr fontId="2" type="noConversion"/>
  </si>
  <si>
    <t>詳"工程數量計算表"</t>
    <phoneticPr fontId="2" type="noConversion"/>
  </si>
  <si>
    <t>挖方</t>
    <phoneticPr fontId="45" type="noConversion"/>
  </si>
  <si>
    <t>乙種模版</t>
  </si>
  <si>
    <t>填方</t>
    <phoneticPr fontId="45" type="noConversion"/>
  </si>
  <si>
    <t>-</t>
    <phoneticPr fontId="41" type="noConversion"/>
  </si>
  <si>
    <t>每處數量</t>
    <phoneticPr fontId="2" type="noConversion"/>
  </si>
  <si>
    <t>構造物開挖</t>
  </si>
  <si>
    <t>鋼筋，SD280，連工帶料</t>
  </si>
  <si>
    <t>鋼筋，SD420W，連工帶料</t>
  </si>
  <si>
    <t>雜項工程</t>
  </si>
  <si>
    <t>交通維持設施及維持費</t>
  </si>
  <si>
    <t>竣工書圖製作</t>
  </si>
  <si>
    <t>周邊環境復舊費</t>
  </si>
  <si>
    <t>式</t>
  </si>
  <si>
    <t>（1)挖方CA與填方FA</t>
    <phoneticPr fontId="45" type="noConversion"/>
  </si>
  <si>
    <t>0k+</t>
    <phoneticPr fontId="41" type="noConversion"/>
  </si>
  <si>
    <t>紐澤西護欄</t>
    <phoneticPr fontId="2" type="noConversion"/>
  </si>
  <si>
    <t>構造物回填，餘方近運，含壓實</t>
  </si>
  <si>
    <t>結構用混凝土，預拌，140kgf/cm2，第1型水泥</t>
  </si>
  <si>
    <t>詳"工程數量計算表"</t>
    <phoneticPr fontId="2" type="noConversion"/>
  </si>
  <si>
    <t>結構用混凝土，預拌，210kgf/cm2，第1型水泥</t>
  </si>
  <si>
    <t>結構用混凝土，預拌，210kgf/cm2，第1型水泥</t>
    <phoneticPr fontId="2" type="noConversion"/>
  </si>
  <si>
    <t>產品，工程告示牌及工地標誌，工程告示牌</t>
    <phoneticPr fontId="2" type="noConversion"/>
  </si>
  <si>
    <t>施工測量，測量放樣</t>
  </si>
  <si>
    <t>袪水，臨時排水</t>
  </si>
  <si>
    <t>雜草、樹木及廢棄物清除</t>
  </si>
  <si>
    <t>式</t>
    <phoneticPr fontId="2" type="noConversion"/>
  </si>
  <si>
    <t>面</t>
    <phoneticPr fontId="2" type="noConversion"/>
  </si>
  <si>
    <t>現場材料吊運費用</t>
    <phoneticPr fontId="2" type="noConversion"/>
  </si>
  <si>
    <t>臨時設施，施工便道，含臨時填土，開挖</t>
    <phoneticPr fontId="2" type="noConversion"/>
  </si>
  <si>
    <t>KG</t>
  </si>
  <si>
    <t>組</t>
  </si>
  <si>
    <t>鋼筋，SD280，連工帶料</t>
    <phoneticPr fontId="2" type="noConversion"/>
  </si>
  <si>
    <t>結構用混凝土，預拌，140kgf/cm2，第1型水泥</t>
    <phoneticPr fontId="2" type="noConversion"/>
  </si>
  <si>
    <t>油漆，一底二度</t>
    <phoneticPr fontId="2" type="noConversion"/>
  </si>
  <si>
    <t>≒</t>
    <phoneticPr fontId="2" type="noConversion"/>
  </si>
  <si>
    <t>M2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</si>
  <si>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</si>
  <si>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</si>
  <si>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</si>
  <si>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鋼筋，SD420W，連工帶料</t>
    <phoneticPr fontId="2" type="noConversion"/>
  </si>
  <si>
    <t>M</t>
    <phoneticPr fontId="2" type="noConversion"/>
  </si>
  <si>
    <t>鋼製模板</t>
    <phoneticPr fontId="2" type="noConversion"/>
  </si>
  <si>
    <t>預壘樁，D=400mm，L=6M</t>
    <phoneticPr fontId="2" type="noConversion"/>
  </si>
  <si>
    <t>PC路面</t>
    <phoneticPr fontId="2" type="noConversion"/>
  </si>
  <si>
    <t>餘土處理(現場攤平)</t>
  </si>
  <si>
    <t>普通模板，乙種</t>
    <phoneticPr fontId="2" type="noConversion"/>
  </si>
  <si>
    <t>鋼製模板</t>
    <phoneticPr fontId="2" type="noConversion"/>
  </si>
  <si>
    <t>≒</t>
    <phoneticPr fontId="2" type="noConversion"/>
  </si>
  <si>
    <t>詳"工程數量計算表"</t>
    <phoneticPr fontId="2" type="noConversion"/>
  </si>
  <si>
    <t>油漆，一底二度</t>
    <phoneticPr fontId="2" type="noConversion"/>
  </si>
  <si>
    <t>3"PVC排水管(含排水器)</t>
    <phoneticPr fontId="2" type="noConversion"/>
  </si>
  <si>
    <t>填縫板，保麗龍</t>
    <phoneticPr fontId="2" type="noConversion"/>
  </si>
  <si>
    <t>≒</t>
    <phoneticPr fontId="2" type="noConversion"/>
  </si>
  <si>
    <t>D16(#5)鋼筋植筋</t>
    <phoneticPr fontId="2" type="noConversion"/>
  </si>
  <si>
    <t>36.0/2</t>
    <phoneticPr fontId="2" type="noConversion"/>
  </si>
  <si>
    <t>支</t>
    <phoneticPr fontId="2" type="noConversion"/>
  </si>
  <si>
    <t>18*2+17*2</t>
    <phoneticPr fontId="2" type="noConversion"/>
  </si>
  <si>
    <t>5.50*11.0</t>
    <phoneticPr fontId="2" type="noConversion"/>
  </si>
  <si>
    <t>5.50+3.00</t>
    <phoneticPr fontId="2" type="noConversion"/>
  </si>
  <si>
    <t>施工機具動員與工具損耗</t>
    <phoneticPr fontId="2" type="noConversion"/>
  </si>
  <si>
    <t>機械拆除，結構物拆除，鋼筋混凝
土，含裝運</t>
    <phoneticPr fontId="2" type="noConversion"/>
  </si>
  <si>
    <t>M2</t>
    <phoneticPr fontId="2" type="noConversion"/>
  </si>
  <si>
    <t>M</t>
    <phoneticPr fontId="2" type="noConversion"/>
  </si>
  <si>
    <t>鋼板樁，L=9m(含打拔運費，不含水平支撐)</t>
    <phoneticPr fontId="2" type="noConversion"/>
  </si>
  <si>
    <t>37.4*2+4.15*4</t>
    <phoneticPr fontId="2" type="noConversion"/>
  </si>
  <si>
    <t>1k+</t>
  </si>
  <si>
    <t>2k+</t>
  </si>
  <si>
    <t>3k+</t>
  </si>
  <si>
    <t>懸臂式擋土牆(h=2.0m)</t>
    <phoneticPr fontId="2" type="noConversion"/>
  </si>
  <si>
    <t>懸臂式擋土牆(h=3.0m)</t>
    <phoneticPr fontId="2" type="noConversion"/>
  </si>
  <si>
    <t>半重力式擋土牆(h=2.0m)</t>
    <phoneticPr fontId="2" type="noConversion"/>
  </si>
  <si>
    <t>半重力式擋土牆封牆</t>
    <phoneticPr fontId="2" type="noConversion"/>
  </si>
  <si>
    <t>懸臂式擋土牆封牆(h=3.0m)</t>
    <phoneticPr fontId="2" type="noConversion"/>
  </si>
  <si>
    <t>懸臂式擋土牆封牆(h=2.0m)</t>
    <phoneticPr fontId="2" type="noConversion"/>
  </si>
  <si>
    <t>手算小計</t>
    <phoneticPr fontId="2" type="noConversion"/>
  </si>
  <si>
    <t>處</t>
    <phoneticPr fontId="2" type="noConversion"/>
  </si>
  <si>
    <t>乙種模版</t>
    <phoneticPr fontId="2" type="noConversion"/>
  </si>
  <si>
    <t>10米一處</t>
    <phoneticPr fontId="2" type="noConversion"/>
  </si>
  <si>
    <t>25+30+1</t>
    <phoneticPr fontId="2" type="noConversion"/>
  </si>
  <si>
    <t>(0.25*120+1)+10.02</t>
    <phoneticPr fontId="2" type="noConversion"/>
  </si>
  <si>
    <t>OOO單位</t>
    <phoneticPr fontId="2" type="noConversion"/>
  </si>
  <si>
    <t>工程名稱:OOOO工程</t>
    <phoneticPr fontId="2" type="noConversion"/>
  </si>
  <si>
    <t>鋼製模板</t>
  </si>
  <si>
    <t>油漆，一底二度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</si>
</sst>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2" formatCode="_-&quot;$&quot;* #,##0_-;\-&quot;$&quot;* #,##0_-;_-&quot;$&quot;* &quot;-&quot;_-;_-@_-"/>
    <numFmt numFmtId="43" formatCode="_-* #,##0.00_-;\-* #,##0.00_-;_-* &quot;-&quot;??_-;_-@_-"/>
    <numFmt numFmtId="176" formatCode="_-* #,##0.0_-;\-* #,##0.0_-;_-* &quot;-&quot;??_-;_-@_-"/>
    <numFmt numFmtId="177" formatCode="0.000"/>
    <numFmt numFmtId="178" formatCode="0.00_);[Red]\(0.00\)"/>
    <numFmt numFmtId="179" formatCode="0.0_);[Red]\(0.0\)"/>
    <numFmt numFmtId="180" formatCode="#,##0.00_ "/>
    <numFmt numFmtId="181" formatCode="0.00_ "/>
    <numFmt numFmtId="182" formatCode="General_)"/>
    <numFmt numFmtId="183" formatCode="0.00_)"/>
    <numFmt numFmtId="184" formatCode="0.000_ "/>
    <numFmt numFmtId="185" formatCode="#,##0.00_);[Red]\(#,##0.00\)"/>
    <numFmt numFmtId="186" formatCode="#,##0.0_ "/>
    <numFmt numFmtId="187" formatCode="0&quot;m&quot;"/>
    <numFmt numFmtId="188" formatCode="0&quot;處&quot;"/>
  </numFmts>
  <fonts count="5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0"/>
      <name val="細明體"/>
      <family val="3"/>
    </font>
    <font>
      <sz val="12"/>
      <name val="新細明體"/>
      <family val="1"/>
      <charset val="136"/>
    </font>
    <font>
      <sz val="20"/>
      <name val="細明體"/>
      <family val="3"/>
    </font>
    <font>
      <sz val="12"/>
      <name val="細明體"/>
      <family val="3"/>
    </font>
    <font>
      <b/>
      <sz val="14"/>
      <name val="細明體"/>
      <family val="3"/>
    </font>
    <font>
      <sz val="11"/>
      <name val="細明體"/>
      <family val="3"/>
    </font>
    <font>
      <b/>
      <sz val="12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4"/>
      <name val="細明體"/>
      <family val="3"/>
    </font>
    <font>
      <b/>
      <sz val="11"/>
      <name val="細明體"/>
      <family val="3"/>
    </font>
    <font>
      <sz val="14"/>
      <name val="細明體"/>
      <family val="3"/>
    </font>
    <font>
      <sz val="16"/>
      <name val="經典楷書"/>
      <family val="1"/>
      <charset val="136"/>
    </font>
    <font>
      <b/>
      <sz val="20"/>
      <name val="新細明體"/>
      <family val="1"/>
      <charset val="136"/>
    </font>
    <font>
      <sz val="20"/>
      <name val="新細明體"/>
      <family val="1"/>
      <charset val="136"/>
    </font>
    <font>
      <sz val="18"/>
      <name val="新細明體"/>
      <family val="1"/>
      <charset val="136"/>
    </font>
    <font>
      <sz val="12"/>
      <name val="經典楷書"/>
      <family val="1"/>
      <charset val="136"/>
    </font>
    <font>
      <vertAlign val="superscript"/>
      <sz val="12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sz val="16"/>
      <name val="新細明體"/>
      <family val="1"/>
      <charset val="136"/>
    </font>
    <font>
      <sz val="10"/>
      <name val="細明體"/>
      <family val="3"/>
      <charset val="136"/>
    </font>
    <font>
      <sz val="11"/>
      <color theme="1"/>
      <name val="細明體"/>
      <family val="3"/>
    </font>
    <font>
      <sz val="10"/>
      <color theme="1"/>
      <name val="細明體"/>
      <family val="3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2">
    <xf numFmtId="0" fontId="0" fillId="0" borderId="0"/>
    <xf numFmtId="38" fontId="5" fillId="0" borderId="0" applyBorder="0" applyAlignment="0"/>
    <xf numFmtId="182" fontId="6" fillId="2" borderId="1" applyNumberFormat="0" applyFont="0" applyFill="0" applyBorder="0">
      <alignment horizontal="center" vertical="center"/>
    </xf>
    <xf numFmtId="183" fontId="7" fillId="0" borderId="0"/>
    <xf numFmtId="0" fontId="8" fillId="0" borderId="0"/>
    <xf numFmtId="0" fontId="8" fillId="0" borderId="0"/>
    <xf numFmtId="0" fontId="10" fillId="0" borderId="0"/>
    <xf numFmtId="0" fontId="10" fillId="0" borderId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211">
    <xf numFmtId="0" fontId="0" fillId="0" borderId="0" xfId="0"/>
    <xf numFmtId="0" fontId="9" fillId="0" borderId="1" xfId="0" applyFont="1" applyBorder="1" applyAlignment="1">
      <alignment horizontal="left" indent="1" shrinkToFit="1"/>
    </xf>
    <xf numFmtId="0" fontId="12" fillId="0" borderId="0" xfId="0" applyFont="1" applyAlignment="1">
      <alignment vertical="center"/>
    </xf>
    <xf numFmtId="0" fontId="15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178" fontId="15" fillId="2" borderId="1" xfId="0" applyNumberFormat="1" applyFont="1" applyFill="1" applyBorder="1" applyAlignment="1">
      <alignment horizontal="center" vertical="center"/>
    </xf>
    <xf numFmtId="179" fontId="15" fillId="2" borderId="1" xfId="0" applyNumberFormat="1" applyFont="1" applyFill="1" applyBorder="1" applyAlignment="1">
      <alignment horizontal="right" vertical="center"/>
    </xf>
    <xf numFmtId="0" fontId="12" fillId="2" borderId="0" xfId="0" applyFont="1" applyFill="1" applyAlignment="1">
      <alignment vertical="center"/>
    </xf>
    <xf numFmtId="0" fontId="14" fillId="2" borderId="0" xfId="0" applyFont="1" applyFill="1" applyAlignment="1">
      <alignment horizontal="left" vertical="center" wrapText="1" shrinkToFit="1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 wrapText="1"/>
    </xf>
    <xf numFmtId="0" fontId="14" fillId="0" borderId="0" xfId="11" applyFont="1" applyFill="1" applyBorder="1" applyAlignment="1" applyProtection="1">
      <alignment vertical="center"/>
    </xf>
    <xf numFmtId="0" fontId="14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9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178" fontId="12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179" fontId="12" fillId="0" borderId="0" xfId="0" applyNumberFormat="1" applyFont="1" applyAlignment="1">
      <alignment horizontal="right" vertical="center"/>
    </xf>
    <xf numFmtId="0" fontId="9" fillId="2" borderId="1" xfId="0" applyFont="1" applyFill="1" applyBorder="1" applyAlignment="1">
      <alignment horizontal="left" vertical="center" wrapText="1" shrinkToFit="1"/>
    </xf>
    <xf numFmtId="43" fontId="9" fillId="2" borderId="1" xfId="8" applyFont="1" applyFill="1" applyBorder="1" applyAlignment="1">
      <alignment horizontal="left" vertical="center" wrapText="1" shrinkToFit="1"/>
    </xf>
    <xf numFmtId="0" fontId="27" fillId="0" borderId="0" xfId="0" applyFont="1"/>
    <xf numFmtId="0" fontId="37" fillId="0" borderId="0" xfId="0" applyFont="1"/>
    <xf numFmtId="0" fontId="14" fillId="0" borderId="0" xfId="0" applyFont="1"/>
    <xf numFmtId="0" fontId="39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6" fillId="0" borderId="0" xfId="0" applyFont="1"/>
    <xf numFmtId="0" fontId="39" fillId="3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178" fontId="9" fillId="3" borderId="1" xfId="0" applyNumberFormat="1" applyFont="1" applyFill="1" applyBorder="1" applyAlignment="1">
      <alignment horizontal="right" vertical="center"/>
    </xf>
    <xf numFmtId="0" fontId="14" fillId="0" borderId="1" xfId="0" applyFont="1" applyBorder="1" applyAlignment="1">
      <alignment horizontal="right" vertical="center"/>
    </xf>
    <xf numFmtId="0" fontId="14" fillId="0" borderId="1" xfId="0" applyFont="1" applyBorder="1" applyAlignment="1">
      <alignment horizontal="center" vertical="center"/>
    </xf>
    <xf numFmtId="178" fontId="9" fillId="0" borderId="1" xfId="0" applyNumberFormat="1" applyFont="1" applyBorder="1" applyAlignment="1">
      <alignment horizontal="right" vertical="center"/>
    </xf>
    <xf numFmtId="0" fontId="14" fillId="0" borderId="0" xfId="0" applyFont="1" applyAlignment="1">
      <alignment vertical="top"/>
    </xf>
    <xf numFmtId="0" fontId="14" fillId="0" borderId="0" xfId="0" applyFont="1" applyAlignment="1">
      <alignment wrapText="1"/>
    </xf>
    <xf numFmtId="178" fontId="14" fillId="0" borderId="0" xfId="0" applyNumberFormat="1" applyFont="1" applyAlignment="1">
      <alignment vertical="top"/>
    </xf>
    <xf numFmtId="178" fontId="12" fillId="0" borderId="0" xfId="0" applyNumberFormat="1" applyFont="1" applyAlignment="1">
      <alignment vertical="top"/>
    </xf>
    <xf numFmtId="0" fontId="14" fillId="0" borderId="0" xfId="0" applyFont="1" applyAlignment="1">
      <alignment horizontal="center" vertical="top"/>
    </xf>
    <xf numFmtId="178" fontId="9" fillId="0" borderId="0" xfId="0" applyNumberFormat="1" applyFont="1" applyAlignment="1">
      <alignment horizontal="right" vertical="top"/>
    </xf>
    <xf numFmtId="0" fontId="12" fillId="0" borderId="0" xfId="0" applyFont="1"/>
    <xf numFmtId="0" fontId="40" fillId="0" borderId="1" xfId="0" applyFont="1" applyBorder="1"/>
    <xf numFmtId="0" fontId="40" fillId="0" borderId="0" xfId="0" applyFont="1"/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 shrinkToFit="1"/>
    </xf>
    <xf numFmtId="184" fontId="9" fillId="2" borderId="1" xfId="0" applyNumberFormat="1" applyFont="1" applyFill="1" applyBorder="1" applyAlignment="1">
      <alignment horizontal="left" vertical="center" wrapText="1" shrinkToFit="1"/>
    </xf>
    <xf numFmtId="0" fontId="12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shrinkToFit="1"/>
    </xf>
    <xf numFmtId="0" fontId="9" fillId="0" borderId="1" xfId="0" applyFont="1" applyBorder="1" applyAlignment="1">
      <alignment horizontal="center"/>
    </xf>
    <xf numFmtId="185" fontId="12" fillId="0" borderId="1" xfId="0" applyNumberFormat="1" applyFont="1" applyBorder="1" applyAlignment="1">
      <alignment horizontal="right" vertical="center"/>
    </xf>
    <xf numFmtId="0" fontId="14" fillId="2" borderId="1" xfId="0" applyFont="1" applyFill="1" applyBorder="1" applyAlignment="1">
      <alignment horizontal="left" vertical="center" wrapText="1" shrinkToFit="1"/>
    </xf>
    <xf numFmtId="0" fontId="12" fillId="0" borderId="1" xfId="0" applyFont="1" applyBorder="1"/>
    <xf numFmtId="43" fontId="9" fillId="2" borderId="1" xfId="8" applyFont="1" applyFill="1" applyBorder="1" applyAlignment="1">
      <alignment horizontal="right" vertical="center" wrapText="1" shrinkToFit="1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vertical="center"/>
    </xf>
    <xf numFmtId="0" fontId="10" fillId="0" borderId="0" xfId="7" applyAlignment="1">
      <alignment vertical="center"/>
    </xf>
    <xf numFmtId="177" fontId="10" fillId="0" borderId="0" xfId="7" applyNumberFormat="1" applyAlignment="1">
      <alignment vertical="center"/>
    </xf>
    <xf numFmtId="0" fontId="10" fillId="0" borderId="0" xfId="0" applyFont="1" applyAlignment="1">
      <alignment vertical="center"/>
    </xf>
    <xf numFmtId="0" fontId="10" fillId="0" borderId="2" xfId="7" applyBorder="1" applyAlignment="1">
      <alignment horizontal="center" vertical="center"/>
    </xf>
    <xf numFmtId="177" fontId="10" fillId="0" borderId="3" xfId="7" applyNumberFormat="1" applyBorder="1" applyAlignment="1">
      <alignment horizontal="center" vertical="center"/>
    </xf>
    <xf numFmtId="180" fontId="10" fillId="0" borderId="3" xfId="7" applyNumberFormat="1" applyBorder="1" applyAlignment="1">
      <alignment horizontal="center" vertical="center"/>
    </xf>
    <xf numFmtId="0" fontId="10" fillId="0" borderId="4" xfId="7" applyBorder="1" applyAlignment="1">
      <alignment horizontal="left" vertical="center"/>
    </xf>
    <xf numFmtId="0" fontId="10" fillId="0" borderId="0" xfId="7" applyAlignment="1">
      <alignment horizontal="right" vertical="center"/>
    </xf>
    <xf numFmtId="180" fontId="10" fillId="0" borderId="0" xfId="8" applyNumberFormat="1" applyFont="1" applyBorder="1" applyAlignment="1">
      <alignment horizontal="left" vertical="center"/>
    </xf>
    <xf numFmtId="0" fontId="10" fillId="0" borderId="5" xfId="7" applyBorder="1" applyAlignment="1">
      <alignment horizontal="left" vertical="center"/>
    </xf>
    <xf numFmtId="43" fontId="10" fillId="3" borderId="2" xfId="8" applyFont="1" applyFill="1" applyBorder="1" applyAlignment="1">
      <alignment horizontal="center" vertical="center"/>
    </xf>
    <xf numFmtId="43" fontId="10" fillId="0" borderId="2" xfId="8" applyFont="1" applyBorder="1" applyAlignment="1">
      <alignment horizontal="center" vertical="center"/>
    </xf>
    <xf numFmtId="0" fontId="10" fillId="0" borderId="4" xfId="7" applyBorder="1" applyAlignment="1">
      <alignment vertical="center"/>
    </xf>
    <xf numFmtId="0" fontId="10" fillId="0" borderId="0" xfId="6" applyAlignment="1">
      <alignment vertical="center"/>
    </xf>
    <xf numFmtId="0" fontId="48" fillId="0" borderId="0" xfId="0" applyFont="1" applyAlignment="1">
      <alignment vertical="center"/>
    </xf>
    <xf numFmtId="43" fontId="10" fillId="0" borderId="6" xfId="8" applyFont="1" applyBorder="1" applyAlignment="1">
      <alignment horizontal="right" vertical="center"/>
    </xf>
    <xf numFmtId="43" fontId="10" fillId="0" borderId="6" xfId="8" applyFont="1" applyBorder="1" applyAlignment="1">
      <alignment horizontal="center" vertical="center"/>
    </xf>
    <xf numFmtId="178" fontId="10" fillId="0" borderId="6" xfId="8" applyNumberFormat="1" applyFont="1" applyBorder="1" applyAlignment="1">
      <alignment horizontal="center" vertical="center"/>
    </xf>
    <xf numFmtId="176" fontId="10" fillId="0" borderId="7" xfId="8" applyNumberFormat="1" applyFont="1" applyBorder="1" applyAlignment="1">
      <alignment horizontal="right" vertical="center"/>
    </xf>
    <xf numFmtId="43" fontId="10" fillId="0" borderId="8" xfId="8" applyFont="1" applyBorder="1" applyAlignment="1">
      <alignment horizontal="right" vertical="center"/>
    </xf>
    <xf numFmtId="43" fontId="10" fillId="0" borderId="9" xfId="8" applyFont="1" applyBorder="1" applyAlignment="1">
      <alignment horizontal="center" vertical="center"/>
    </xf>
    <xf numFmtId="176" fontId="10" fillId="0" borderId="8" xfId="8" applyNumberFormat="1" applyFont="1" applyBorder="1" applyAlignment="1">
      <alignment horizontal="right" vertical="center"/>
    </xf>
    <xf numFmtId="43" fontId="10" fillId="0" borderId="8" xfId="8" applyFont="1" applyBorder="1" applyAlignment="1">
      <alignment horizontal="center" vertical="center"/>
    </xf>
    <xf numFmtId="43" fontId="10" fillId="0" borderId="10" xfId="8" applyFont="1" applyBorder="1" applyAlignment="1">
      <alignment horizontal="center" vertical="center"/>
    </xf>
    <xf numFmtId="178" fontId="10" fillId="0" borderId="9" xfId="8" applyNumberFormat="1" applyFont="1" applyBorder="1" applyAlignment="1">
      <alignment horizontal="center" vertical="center"/>
    </xf>
    <xf numFmtId="186" fontId="10" fillId="0" borderId="0" xfId="6" applyNumberFormat="1" applyAlignment="1">
      <alignment horizontal="center" vertical="center"/>
    </xf>
    <xf numFmtId="177" fontId="10" fillId="0" borderId="0" xfId="6" applyNumberFormat="1" applyAlignment="1">
      <alignment vertical="center"/>
    </xf>
    <xf numFmtId="0" fontId="14" fillId="0" borderId="1" xfId="0" applyFont="1" applyBorder="1" applyAlignment="1">
      <alignment vertical="center"/>
    </xf>
    <xf numFmtId="43" fontId="0" fillId="0" borderId="2" xfId="8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shrinkToFit="1"/>
    </xf>
    <xf numFmtId="178" fontId="12" fillId="0" borderId="1" xfId="0" applyNumberFormat="1" applyFont="1" applyBorder="1" applyAlignment="1">
      <alignment horizontal="center" vertical="center"/>
    </xf>
    <xf numFmtId="0" fontId="39" fillId="0" borderId="11" xfId="0" applyFont="1" applyBorder="1" applyAlignment="1">
      <alignment horizontal="center" vertical="center"/>
    </xf>
    <xf numFmtId="0" fontId="39" fillId="3" borderId="11" xfId="0" applyFont="1" applyFill="1" applyBorder="1" applyAlignment="1">
      <alignment vertical="center"/>
    </xf>
    <xf numFmtId="0" fontId="9" fillId="0" borderId="11" xfId="0" applyFont="1" applyBorder="1" applyAlignment="1">
      <alignment horizontal="left" vertical="center" wrapText="1"/>
    </xf>
    <xf numFmtId="0" fontId="0" fillId="0" borderId="0" xfId="6" applyFont="1" applyAlignment="1">
      <alignment vertical="center"/>
    </xf>
    <xf numFmtId="0" fontId="52" fillId="2" borderId="1" xfId="0" applyFont="1" applyFill="1" applyBorder="1" applyAlignment="1">
      <alignment horizontal="left" vertical="center" wrapText="1" shrinkToFit="1"/>
    </xf>
    <xf numFmtId="0" fontId="51" fillId="2" borderId="0" xfId="0" applyFont="1" applyFill="1" applyAlignment="1">
      <alignment horizontal="left" vertical="center" wrapText="1" shrinkToFit="1"/>
    </xf>
    <xf numFmtId="43" fontId="0" fillId="3" borderId="2" xfId="8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177" fontId="10" fillId="0" borderId="2" xfId="7" applyNumberFormat="1" applyBorder="1" applyAlignment="1">
      <alignment horizontal="center" vertical="center"/>
    </xf>
    <xf numFmtId="0" fontId="47" fillId="2" borderId="12" xfId="7" applyFont="1" applyFill="1" applyBorder="1" applyAlignment="1">
      <alignment horizontal="left" vertical="center"/>
    </xf>
    <xf numFmtId="0" fontId="47" fillId="2" borderId="13" xfId="7" applyFont="1" applyFill="1" applyBorder="1" applyAlignment="1">
      <alignment horizontal="left" vertical="center"/>
    </xf>
    <xf numFmtId="180" fontId="10" fillId="0" borderId="14" xfId="7" applyNumberFormat="1" applyBorder="1" applyAlignment="1">
      <alignment horizontal="center" vertical="center"/>
    </xf>
    <xf numFmtId="0" fontId="47" fillId="2" borderId="15" xfId="7" applyFont="1" applyFill="1" applyBorder="1" applyAlignment="1">
      <alignment horizontal="left" vertical="center"/>
    </xf>
    <xf numFmtId="43" fontId="0" fillId="0" borderId="16" xfId="8" applyFont="1" applyBorder="1" applyAlignment="1">
      <alignment horizontal="center" vertical="center"/>
    </xf>
    <xf numFmtId="43" fontId="10" fillId="0" borderId="17" xfId="8" applyFont="1" applyBorder="1" applyAlignment="1">
      <alignment horizontal="center" vertical="center"/>
    </xf>
    <xf numFmtId="176" fontId="10" fillId="0" borderId="18" xfId="8" applyNumberFormat="1" applyFont="1" applyBorder="1" applyAlignment="1">
      <alignment horizontal="center" vertical="center"/>
    </xf>
    <xf numFmtId="176" fontId="10" fillId="0" borderId="19" xfId="8" applyNumberFormat="1" applyFont="1" applyBorder="1" applyAlignment="1">
      <alignment horizontal="center" vertical="center"/>
    </xf>
    <xf numFmtId="43" fontId="10" fillId="0" borderId="20" xfId="8" applyFont="1" applyBorder="1" applyAlignment="1">
      <alignment horizontal="center" vertical="center"/>
    </xf>
    <xf numFmtId="0" fontId="12" fillId="0" borderId="1" xfId="0" applyFont="1" applyBorder="1" applyAlignment="1">
      <alignment horizontal="center" wrapText="1"/>
    </xf>
    <xf numFmtId="0" fontId="9" fillId="0" borderId="0" xfId="0" applyFont="1" applyAlignment="1">
      <alignment horizontal="left" vertical="center" wrapText="1"/>
    </xf>
    <xf numFmtId="181" fontId="9" fillId="2" borderId="1" xfId="0" applyNumberFormat="1" applyFont="1" applyFill="1" applyBorder="1" applyAlignment="1">
      <alignment horizontal="right" vertical="center" wrapText="1" shrinkToFit="1"/>
    </xf>
    <xf numFmtId="0" fontId="10" fillId="0" borderId="16" xfId="7" applyBorder="1" applyAlignment="1">
      <alignment horizontal="center" vertical="center"/>
    </xf>
    <xf numFmtId="0" fontId="49" fillId="2" borderId="0" xfId="7" applyFont="1" applyFill="1" applyAlignment="1">
      <alignment horizontal="left" vertical="center" wrapText="1"/>
    </xf>
    <xf numFmtId="187" fontId="12" fillId="3" borderId="1" xfId="0" applyNumberFormat="1" applyFont="1" applyFill="1" applyBorder="1" applyAlignment="1">
      <alignment horizontal="center"/>
    </xf>
    <xf numFmtId="188" fontId="12" fillId="3" borderId="1" xfId="0" applyNumberFormat="1" applyFont="1" applyFill="1" applyBorder="1" applyAlignment="1">
      <alignment horizontal="center"/>
    </xf>
    <xf numFmtId="0" fontId="50" fillId="0" borderId="3" xfId="0" applyFont="1" applyBorder="1" applyAlignment="1" applyProtection="1">
      <alignment horizontal="left" indent="1" shrinkToFit="1"/>
      <protection locked="0"/>
    </xf>
    <xf numFmtId="0" fontId="50" fillId="0" borderId="1" xfId="0" applyFont="1" applyBorder="1" applyAlignment="1" applyProtection="1">
      <alignment horizontal="left" indent="1" shrinkToFit="1"/>
      <protection locked="0"/>
    </xf>
    <xf numFmtId="0" fontId="50" fillId="0" borderId="1" xfId="0" applyFont="1" applyBorder="1" applyAlignment="1" applyProtection="1">
      <alignment horizontal="center" shrinkToFit="1"/>
      <protection locked="0"/>
    </xf>
    <xf numFmtId="0" fontId="0" fillId="0" borderId="0" xfId="7" applyFont="1" applyAlignment="1">
      <alignment horizontal="right" vertical="center"/>
    </xf>
    <xf numFmtId="0" fontId="9" fillId="0" borderId="1" xfId="0" applyFont="1" applyBorder="1" applyAlignment="1">
      <alignment horizontal="center" vertical="center" wrapText="1" shrinkToFit="1"/>
    </xf>
    <xf numFmtId="0" fontId="50" fillId="0" borderId="3" xfId="0" applyFont="1" applyBorder="1" applyAlignment="1" applyProtection="1">
      <alignment horizontal="center" shrinkToFit="1"/>
      <protection locked="0"/>
    </xf>
    <xf numFmtId="0" fontId="12" fillId="0" borderId="1" xfId="0" applyFont="1" applyBorder="1" applyAlignment="1">
      <alignment horizontal="left" wrapText="1" shrinkToFit="1"/>
    </xf>
    <xf numFmtId="4" fontId="10" fillId="0" borderId="21" xfId="8" applyNumberFormat="1" applyFont="1" applyBorder="1" applyAlignment="1">
      <alignment horizontal="center" vertical="center"/>
    </xf>
    <xf numFmtId="4" fontId="10" fillId="0" borderId="15" xfId="8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50" fillId="0" borderId="3" xfId="0" applyFont="1" applyBorder="1" applyAlignment="1" applyProtection="1">
      <alignment horizontal="left" wrapText="1" indent="1" shrinkToFit="1"/>
      <protection locked="0"/>
    </xf>
    <xf numFmtId="0" fontId="14" fillId="0" borderId="0" xfId="0" applyFont="1" applyAlignment="1">
      <alignment horizontal="right" vertical="center"/>
    </xf>
    <xf numFmtId="0" fontId="14" fillId="0" borderId="0" xfId="11" applyFont="1" applyFill="1" applyBorder="1" applyAlignment="1" applyProtection="1">
      <alignment horizontal="left" vertical="center" wrapText="1"/>
    </xf>
    <xf numFmtId="0" fontId="14" fillId="0" borderId="0" xfId="0" applyFont="1" applyAlignment="1">
      <alignment horizontal="center" vertical="center"/>
    </xf>
    <xf numFmtId="178" fontId="9" fillId="0" borderId="0" xfId="0" applyNumberFormat="1" applyFont="1" applyAlignment="1">
      <alignment horizontal="right" vertical="center"/>
    </xf>
    <xf numFmtId="0" fontId="39" fillId="4" borderId="1" xfId="0" applyFont="1" applyFill="1" applyBorder="1" applyAlignment="1">
      <alignment horizontal="center" vertical="center"/>
    </xf>
    <xf numFmtId="0" fontId="39" fillId="4" borderId="11" xfId="0" applyFont="1" applyFill="1" applyBorder="1" applyAlignment="1">
      <alignment vertical="center"/>
    </xf>
    <xf numFmtId="0" fontId="14" fillId="4" borderId="1" xfId="0" applyFont="1" applyFill="1" applyBorder="1" applyAlignment="1">
      <alignment horizontal="center" vertical="center"/>
    </xf>
    <xf numFmtId="178" fontId="9" fillId="4" borderId="1" xfId="0" applyNumberFormat="1" applyFont="1" applyFill="1" applyBorder="1" applyAlignment="1">
      <alignment horizontal="right" vertical="center"/>
    </xf>
    <xf numFmtId="0" fontId="14" fillId="4" borderId="0" xfId="0" applyFont="1" applyFill="1"/>
    <xf numFmtId="0" fontId="13" fillId="0" borderId="0" xfId="0" applyFont="1" applyAlignment="1">
      <alignment horizontal="center" vertical="center"/>
    </xf>
    <xf numFmtId="0" fontId="14" fillId="0" borderId="19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4" fillId="0" borderId="22" xfId="11" applyFont="1" applyFill="1" applyBorder="1" applyAlignment="1" applyProtection="1">
      <alignment horizontal="left" vertical="center" wrapText="1"/>
    </xf>
    <xf numFmtId="0" fontId="14" fillId="0" borderId="13" xfId="11" applyFont="1" applyFill="1" applyBorder="1" applyAlignment="1" applyProtection="1">
      <alignment horizontal="left" vertical="center" wrapText="1"/>
    </xf>
    <xf numFmtId="0" fontId="14" fillId="0" borderId="11" xfId="11" applyFont="1" applyFill="1" applyBorder="1" applyAlignment="1" applyProtection="1">
      <alignment horizontal="left" vertical="center" wrapText="1"/>
    </xf>
    <xf numFmtId="0" fontId="14" fillId="3" borderId="22" xfId="11" applyFont="1" applyFill="1" applyBorder="1" applyAlignment="1" applyProtection="1">
      <alignment horizontal="left" vertical="center"/>
    </xf>
    <xf numFmtId="0" fontId="14" fillId="3" borderId="13" xfId="11" applyFont="1" applyFill="1" applyBorder="1" applyAlignment="1" applyProtection="1">
      <alignment horizontal="left" vertical="center"/>
    </xf>
    <xf numFmtId="0" fontId="14" fillId="3" borderId="11" xfId="11" applyFont="1" applyFill="1" applyBorder="1" applyAlignment="1" applyProtection="1">
      <alignment horizontal="left" vertical="center"/>
    </xf>
    <xf numFmtId="0" fontId="14" fillId="0" borderId="22" xfId="11" quotePrefix="1" applyFont="1" applyFill="1" applyBorder="1" applyAlignment="1" applyProtection="1">
      <alignment horizontal="left" vertical="center"/>
    </xf>
    <xf numFmtId="0" fontId="14" fillId="0" borderId="13" xfId="11" quotePrefix="1" applyFont="1" applyFill="1" applyBorder="1" applyAlignment="1" applyProtection="1">
      <alignment horizontal="left" vertical="center"/>
    </xf>
    <xf numFmtId="0" fontId="14" fillId="0" borderId="11" xfId="11" quotePrefix="1" applyFont="1" applyFill="1" applyBorder="1" applyAlignment="1" applyProtection="1">
      <alignment horizontal="left" vertical="center"/>
    </xf>
    <xf numFmtId="2" fontId="14" fillId="0" borderId="22" xfId="11" quotePrefix="1" applyNumberFormat="1" applyFont="1" applyFill="1" applyBorder="1" applyAlignment="1" applyProtection="1">
      <alignment horizontal="left" vertical="center"/>
    </xf>
    <xf numFmtId="2" fontId="14" fillId="0" borderId="13" xfId="11" quotePrefix="1" applyNumberFormat="1" applyFont="1" applyFill="1" applyBorder="1" applyAlignment="1" applyProtection="1">
      <alignment horizontal="left" vertical="center"/>
    </xf>
    <xf numFmtId="2" fontId="14" fillId="0" borderId="11" xfId="11" quotePrefix="1" applyNumberFormat="1" applyFont="1" applyFill="1" applyBorder="1" applyAlignment="1" applyProtection="1">
      <alignment horizontal="left" vertical="center"/>
    </xf>
    <xf numFmtId="2" fontId="14" fillId="0" borderId="22" xfId="11" applyNumberFormat="1" applyFont="1" applyFill="1" applyBorder="1" applyAlignment="1" applyProtection="1">
      <alignment horizontal="left" vertical="center" wrapText="1"/>
    </xf>
    <xf numFmtId="2" fontId="14" fillId="0" borderId="13" xfId="11" applyNumberFormat="1" applyFont="1" applyFill="1" applyBorder="1" applyAlignment="1" applyProtection="1">
      <alignment horizontal="left" vertical="center" wrapText="1"/>
    </xf>
    <xf numFmtId="2" fontId="14" fillId="0" borderId="11" xfId="11" applyNumberFormat="1" applyFont="1" applyFill="1" applyBorder="1" applyAlignment="1" applyProtection="1">
      <alignment horizontal="left" vertical="center" wrapText="1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8" fillId="0" borderId="0" xfId="0" applyFont="1" applyAlignment="1">
      <alignment horizontal="center" vertical="top"/>
    </xf>
    <xf numFmtId="0" fontId="29" fillId="0" borderId="0" xfId="0" applyFont="1" applyAlignment="1">
      <alignment horizontal="center" vertical="top"/>
    </xf>
    <xf numFmtId="0" fontId="30" fillId="0" borderId="0" xfId="0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5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15" fillId="0" borderId="22" xfId="0" applyFont="1" applyBorder="1" applyAlignment="1">
      <alignment horizontal="center" wrapText="1"/>
    </xf>
    <xf numFmtId="0" fontId="15" fillId="0" borderId="13" xfId="0" applyFont="1" applyBorder="1" applyAlignment="1">
      <alignment horizontal="center" wrapText="1"/>
    </xf>
    <xf numFmtId="0" fontId="15" fillId="0" borderId="11" xfId="0" applyFont="1" applyBorder="1" applyAlignment="1">
      <alignment horizontal="center" wrapText="1"/>
    </xf>
    <xf numFmtId="0" fontId="14" fillId="4" borderId="22" xfId="11" applyFont="1" applyFill="1" applyBorder="1" applyAlignment="1" applyProtection="1">
      <alignment horizontal="left" vertical="center"/>
    </xf>
    <xf numFmtId="0" fontId="14" fillId="4" borderId="13" xfId="11" applyFont="1" applyFill="1" applyBorder="1" applyAlignment="1" applyProtection="1">
      <alignment horizontal="left" vertical="center"/>
    </xf>
    <xf numFmtId="0" fontId="14" fillId="4" borderId="11" xfId="11" applyFont="1" applyFill="1" applyBorder="1" applyAlignment="1" applyProtection="1">
      <alignment horizontal="left" vertical="center"/>
    </xf>
    <xf numFmtId="0" fontId="42" fillId="0" borderId="0" xfId="7" applyFont="1" applyAlignment="1">
      <alignment horizontal="center" vertical="center"/>
    </xf>
    <xf numFmtId="0" fontId="10" fillId="0" borderId="23" xfId="7" applyBorder="1" applyAlignment="1">
      <alignment horizontal="center" vertical="center"/>
    </xf>
    <xf numFmtId="0" fontId="10" fillId="0" borderId="9" xfId="7" applyBorder="1" applyAlignment="1">
      <alignment horizontal="center" vertical="center"/>
    </xf>
    <xf numFmtId="0" fontId="10" fillId="0" borderId="10" xfId="7" applyBorder="1" applyAlignment="1">
      <alignment horizontal="center" vertical="center"/>
    </xf>
    <xf numFmtId="43" fontId="10" fillId="0" borderId="24" xfId="8" applyFont="1" applyBorder="1" applyAlignment="1">
      <alignment horizontal="center" vertical="center"/>
    </xf>
    <xf numFmtId="43" fontId="10" fillId="0" borderId="5" xfId="8" applyFont="1" applyBorder="1" applyAlignment="1">
      <alignment horizontal="center" vertical="center"/>
    </xf>
    <xf numFmtId="43" fontId="10" fillId="0" borderId="7" xfId="8" applyFont="1" applyBorder="1" applyAlignment="1">
      <alignment horizontal="center" vertical="center"/>
    </xf>
    <xf numFmtId="43" fontId="10" fillId="0" borderId="25" xfId="8" applyFont="1" applyBorder="1" applyAlignment="1">
      <alignment horizontal="center" vertical="center"/>
    </xf>
    <xf numFmtId="0" fontId="0" fillId="0" borderId="26" xfId="7" applyFont="1" applyBorder="1" applyAlignment="1">
      <alignment horizontal="center" vertical="center"/>
    </xf>
    <xf numFmtId="0" fontId="0" fillId="0" borderId="27" xfId="7" applyFont="1" applyBorder="1" applyAlignment="1">
      <alignment horizontal="center" vertical="center"/>
    </xf>
    <xf numFmtId="0" fontId="0" fillId="0" borderId="28" xfId="7" applyFont="1" applyBorder="1" applyAlignment="1">
      <alignment horizontal="center" vertical="center"/>
    </xf>
    <xf numFmtId="0" fontId="10" fillId="0" borderId="29" xfId="7" applyBorder="1" applyAlignment="1">
      <alignment horizontal="center" vertical="center"/>
    </xf>
    <xf numFmtId="0" fontId="10" fillId="0" borderId="30" xfId="7" applyBorder="1" applyAlignment="1">
      <alignment horizontal="center" vertical="center"/>
    </xf>
    <xf numFmtId="0" fontId="10" fillId="0" borderId="24" xfId="7" applyBorder="1" applyAlignment="1">
      <alignment horizontal="center" vertical="center"/>
    </xf>
    <xf numFmtId="0" fontId="10" fillId="0" borderId="5" xfId="7" applyBorder="1" applyAlignment="1">
      <alignment horizontal="center" vertical="center"/>
    </xf>
    <xf numFmtId="43" fontId="10" fillId="0" borderId="22" xfId="8" applyFont="1" applyBorder="1" applyAlignment="1">
      <alignment horizontal="center" vertical="center"/>
    </xf>
    <xf numFmtId="43" fontId="10" fillId="0" borderId="11" xfId="8" applyFont="1" applyBorder="1" applyAlignment="1">
      <alignment horizontal="center" vertical="center"/>
    </xf>
    <xf numFmtId="0" fontId="10" fillId="0" borderId="12" xfId="7" applyBorder="1" applyAlignment="1">
      <alignment horizontal="center" vertical="center"/>
    </xf>
    <xf numFmtId="0" fontId="10" fillId="0" borderId="13" xfId="7" applyBorder="1" applyAlignment="1">
      <alignment horizontal="center" vertical="center"/>
    </xf>
    <xf numFmtId="0" fontId="10" fillId="0" borderId="11" xfId="7" applyBorder="1" applyAlignment="1">
      <alignment horizontal="center" vertical="center"/>
    </xf>
    <xf numFmtId="43" fontId="10" fillId="0" borderId="31" xfId="8" applyFont="1" applyBorder="1" applyAlignment="1">
      <alignment horizontal="center" vertical="center"/>
    </xf>
    <xf numFmtId="43" fontId="10" fillId="0" borderId="32" xfId="8" applyFont="1" applyBorder="1" applyAlignment="1">
      <alignment horizontal="center" vertical="center"/>
    </xf>
    <xf numFmtId="0" fontId="0" fillId="0" borderId="33" xfId="7" applyFont="1" applyBorder="1" applyAlignment="1">
      <alignment horizontal="center" vertical="center"/>
    </xf>
    <xf numFmtId="0" fontId="49" fillId="2" borderId="0" xfId="7" applyFont="1" applyFill="1" applyAlignment="1">
      <alignment horizontal="left" vertical="center" wrapText="1"/>
    </xf>
    <xf numFmtId="0" fontId="10" fillId="0" borderId="34" xfId="7" applyBorder="1" applyAlignment="1">
      <alignment horizontal="center" vertical="center"/>
    </xf>
    <xf numFmtId="0" fontId="10" fillId="0" borderId="35" xfId="7" applyBorder="1" applyAlignment="1">
      <alignment horizontal="center" vertical="center"/>
    </xf>
    <xf numFmtId="0" fontId="10" fillId="0" borderId="4" xfId="7" applyBorder="1" applyAlignment="1">
      <alignment horizontal="center" vertical="center"/>
    </xf>
    <xf numFmtId="0" fontId="10" fillId="0" borderId="0" xfId="7" applyAlignment="1">
      <alignment horizontal="center" vertical="center"/>
    </xf>
    <xf numFmtId="0" fontId="10" fillId="0" borderId="36" xfId="7" applyBorder="1" applyAlignment="1">
      <alignment horizontal="center" vertical="center"/>
    </xf>
    <xf numFmtId="0" fontId="10" fillId="0" borderId="19" xfId="7" applyBorder="1" applyAlignment="1">
      <alignment horizontal="center" vertical="center"/>
    </xf>
    <xf numFmtId="0" fontId="10" fillId="0" borderId="32" xfId="7" applyBorder="1" applyAlignment="1">
      <alignment horizontal="center" vertical="center"/>
    </xf>
    <xf numFmtId="0" fontId="10" fillId="0" borderId="31" xfId="7" applyBorder="1" applyAlignment="1">
      <alignment horizontal="center" vertical="center"/>
    </xf>
  </cellXfs>
  <cellStyles count="12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2" xfId="5" xr:uid="{00000000-0005-0000-0000-000005000000}"/>
    <cellStyle name="一般_東澳北溪預算書234-6" xfId="6" xr:uid="{00000000-0005-0000-0000-000006000000}"/>
    <cellStyle name="一般_概算書206-2" xfId="7" xr:uid="{00000000-0005-0000-0000-000007000000}"/>
    <cellStyle name="千分位" xfId="8" builtinId="3"/>
    <cellStyle name="千分位 2" xfId="9" xr:uid="{00000000-0005-0000-0000-000009000000}"/>
    <cellStyle name="貨幣[0]_Apply" xfId="10" xr:uid="{00000000-0005-0000-0000-00000A000000}"/>
    <cellStyle name="超連結" xfId="11" builtinId="8"/>
  </cellStyles>
  <dxfs count="0"/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5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31</xdr:row>
      <xdr:rowOff>0</xdr:rowOff>
    </xdr:from>
    <xdr:to>
      <xdr:col>2</xdr:col>
      <xdr:colOff>361950</xdr:colOff>
      <xdr:row>31</xdr:row>
      <xdr:rowOff>0</xdr:rowOff>
    </xdr:to>
    <xdr:sp macro="" textlink="">
      <xdr:nvSpPr>
        <xdr:cNvPr id="1573" name="Line 1">
          <a:extLst>
            <a:ext uri="{FF2B5EF4-FFF2-40B4-BE49-F238E27FC236}">
              <a16:creationId xmlns:a16="http://schemas.microsoft.com/office/drawing/2014/main" id="{A723701C-C597-DC16-7CB9-414E836D07B0}"/>
            </a:ext>
          </a:extLst>
        </xdr:cNvPr>
        <xdr:cNvSpPr>
          <a:spLocks noChangeShapeType="1"/>
        </xdr:cNvSpPr>
      </xdr:nvSpPr>
      <xdr:spPr bwMode="auto">
        <a:xfrm>
          <a:off x="2867025" y="80200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2&#26954;&#24950;&#28304;\Excel\89&#32645;&#36947;2-8(810-77)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2&#26954;&#24950;&#28304;\Excel\&#32736;&#23792;&#26519;&#36947;13,14,15K&#26893;&#29983;&#32160;&#21270;&#24037;&#31243;en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5)\C\&#24373;&#25991;&#21746;\89&#21644;&#24179;&#26519;&#36947;&#24037;&#31243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1)\HCH\HCH\02_&#38928;&#27770;&#31639;\88&#32645;&#36947;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&#20061;&#20108;&#24180;&#24230;\&#23560;&#19968;&#32173;&#35703;\&#38928;&#31639;&#2636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en\&#26412;&#27231;&#30913;&#30879;%20(f)\&#20061;&#20108;&#24180;&#24230;\&#23560;&#19968;&#32173;&#35703;\&#38928;&#31639;&#26360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&#20061;&#19968;&#23478;&#28304;&#27211;&#33267;&#22826;&#24179;&#23665;\&#20161;&#28580;1k\&#20161;&#28580;1k&#38928;&#31639;&#26360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en\&#26412;&#27231;&#30913;&#30879;%20(f)\&#20061;&#19968;&#23478;&#28304;&#27211;&#33267;&#22826;&#24179;&#23665;\&#20161;&#28580;1k\&#20161;&#28580;1k&#38928;&#31639;&#26360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27835;&#23665;&#35506;(1)\02_&#38928;&#27770;&#31639;\HCH\02_&#38928;&#27770;&#31639;\88&#24180;\880921&#38663;&#28797;\88&#32645;&#36947;&#24489;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明細表"/>
      <sheetName val="預算單價"/>
      <sheetName val="數量表"/>
      <sheetName val="土石方"/>
      <sheetName val="投標標價清單"/>
      <sheetName val="包商單價"/>
      <sheetName val="材料表"/>
      <sheetName val="施工明細表 "/>
      <sheetName val="結算明細"/>
      <sheetName val="施工明細二"/>
      <sheetName val="施工明細三"/>
      <sheetName val="變更明細"/>
      <sheetName val="付款表"/>
      <sheetName val="進度表"/>
      <sheetName val="竣工數量明細"/>
      <sheetName val="結算驗收"/>
      <sheetName val="決算明細"/>
      <sheetName val="決算表"/>
      <sheetName val="土木"/>
      <sheetName val="單價表"/>
      <sheetName val="資料表"/>
      <sheetName val="單價分析表(1-11)"/>
      <sheetName val="數量表A"/>
      <sheetName val="工程預算書"/>
      <sheetName val="R&amp;C&amp;T"/>
      <sheetName val="U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投標標價清單"/>
      <sheetName val="預算明細表"/>
      <sheetName val="單價原稿"/>
      <sheetName val="單價"/>
      <sheetName val="空白單價"/>
      <sheetName val="數量表"/>
      <sheetName val="土石方"/>
      <sheetName val="材料表"/>
      <sheetName val="估驗明細"/>
      <sheetName val="結算明細"/>
      <sheetName val="變更明細"/>
      <sheetName val="竣工明細"/>
      <sheetName val="付款表"/>
      <sheetName val="進度表"/>
      <sheetName val="結算驗收"/>
      <sheetName val="決算表"/>
      <sheetName val="決算明細"/>
      <sheetName val="結算明細表 (2)"/>
      <sheetName val="數量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災害查報"/>
      <sheetName val="概要"/>
      <sheetName val="預算表"/>
      <sheetName val="預算明細表"/>
      <sheetName val="單價原稿"/>
      <sheetName val="單價"/>
      <sheetName val="投標標價清單"/>
      <sheetName val="空白單價"/>
      <sheetName val="數量表"/>
      <sheetName val="土石方"/>
      <sheetName val="增減數量明細"/>
      <sheetName val="預算表 (變)"/>
      <sheetName val="變更明細"/>
      <sheetName val="單價 (變)"/>
      <sheetName val="投標標價清單 (變)"/>
      <sheetName val="包商單價 (變)"/>
      <sheetName val="數量表 (變)"/>
      <sheetName val="土石方(變)"/>
      <sheetName val="進度表"/>
      <sheetName val="材料表"/>
      <sheetName val="估驗請款單"/>
      <sheetName val="估驗明細"/>
      <sheetName val="付款表"/>
      <sheetName val="結算明細"/>
      <sheetName val="竣工明細"/>
      <sheetName val="決算表"/>
      <sheetName val="決算明細"/>
      <sheetName val="[89和平林道工程.xls][89和平林道工程.xls][89"/>
      <sheetName val="[89和平林道工程.xls]_89_______xls__13"/>
      <sheetName val="[89和平林道工程.xls]_89_______xls___2"/>
      <sheetName val="[89和平林道工程.xls]_89_______xls___3"/>
      <sheetName val="[89和平林道工程.xls]_89_______xls___4"/>
      <sheetName val="[89和平林道工程.xls]_89_______xls___5"/>
      <sheetName val="[89和平林道工程.xls]_89_______xls___6"/>
      <sheetName val="[89和平林道工程.xls]_89_______xls___7"/>
      <sheetName val="[89和平林道工程.xls][89和平林道工程.xls]__2"/>
      <sheetName val="[89和平林道工程.xls]_89_______xls___8"/>
      <sheetName val="[89和平林道工程.xls][89和平林道工程.xls]__3"/>
      <sheetName val="[89和平林道工程.xls]_89_______xls___9"/>
      <sheetName val="[89和平林道工程.xls][89和平林道工程.xls]__4"/>
      <sheetName val="[89和平林道工程.xls]_89_______xls__10"/>
      <sheetName val="[89和平林道工程.xls][89和平林道工程.xls]__5"/>
      <sheetName val="[89和平林道工程.xls][89和平林道工程.xls]__6"/>
      <sheetName val="[89和平林道工程.xls][89和平林道工程.xls]__9"/>
      <sheetName val="[89和平林道工程.xls][89和平林道工程.xls]__7"/>
      <sheetName val="[89和平林道工程.xls][89和平林道工程.xls]__8"/>
      <sheetName val="[89和平林道工程.xls]_89_______xls__11"/>
      <sheetName val="[89和平林道工程.xls][89和平林道工程.xls]_10"/>
      <sheetName val="[89和平林道工程.xls]_89_______xls__12"/>
      <sheetName val="[89和平林道工程.xls][89和平林道工程.xls]_11"/>
      <sheetName val="[89和平林道工程.xls]_89_______xls__14"/>
      <sheetName val="[89和平林道工程.xls][89和平林道工程.xls]_12"/>
    </sheetNames>
    <sheetDataSet>
      <sheetData sheetId="0"/>
      <sheetData sheetId="1"/>
      <sheetData sheetId="2"/>
      <sheetData sheetId="3" refreshError="1">
        <row r="44">
          <cell r="K44">
            <v>0.96166499999999999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書"/>
      <sheetName val="預算(估價)"/>
      <sheetName val="單價"/>
      <sheetName val="數量(含竣工)"/>
      <sheetName val="土石方 (1)"/>
      <sheetName val="土石方 (2)"/>
      <sheetName val="進度表"/>
      <sheetName val="結算驗收"/>
      <sheetName val="結算明細"/>
      <sheetName val="竣工明細"/>
      <sheetName val="付款表"/>
      <sheetName val="決算書"/>
      <sheetName val="決算明細"/>
      <sheetName val="竣工土石方 (2)"/>
      <sheetName val="Sheet2"/>
      <sheetName val="Sheet3"/>
      <sheetName val="單價分析表(1-11)"/>
      <sheetName val="項目分析"/>
      <sheetName val="材料表"/>
      <sheetName val="預算明細表"/>
      <sheetName val="資料庫"/>
      <sheetName val="單價表"/>
      <sheetName val="數量計算資料"/>
      <sheetName val="機關名稱資料"/>
      <sheetName val="單價分析資料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單價明細"/>
      <sheetName val="預算明細 "/>
      <sheetName val="預算設計書"/>
      <sheetName val="預算單價設計書"/>
      <sheetName val="單價分析"/>
      <sheetName val="包商單價分析"/>
      <sheetName val="標單"/>
      <sheetName val="標單 (2)"/>
      <sheetName val="標單 (3)"/>
      <sheetName val="數量1"/>
      <sheetName val="數量2"/>
      <sheetName val="第一期"/>
      <sheetName val="第2期 "/>
      <sheetName val="請款單(1)"/>
      <sheetName val="請款單(2)"/>
      <sheetName val="付款表(1)"/>
      <sheetName val="付款表(2)"/>
      <sheetName val="單價協議"/>
      <sheetName val="剩餘土處理)"/>
      <sheetName val="空白分析"/>
      <sheetName val="數量計算表"/>
      <sheetName val="測量表"/>
      <sheetName val="進度表"/>
      <sheetName val="土方表"/>
      <sheetName val="結算驗收"/>
      <sheetName val="結算明細"/>
      <sheetName val="總變更明細"/>
      <sheetName val="變更新增部分明細"/>
      <sheetName val="變更數量計算表 "/>
      <sheetName val="變更新增減表"/>
      <sheetName val="變更數量增減表"/>
      <sheetName val="變更明細"/>
      <sheetName val="變更預算表"/>
      <sheetName val="變更單價分析."/>
      <sheetName val="決算明細"/>
      <sheetName val="決算表"/>
      <sheetName val="單價"/>
      <sheetName val="保證金"/>
      <sheetName val="竣工數量計算"/>
      <sheetName val="竣工數量明細"/>
      <sheetName val="竣工土石方"/>
      <sheetName val="工程估價單(新增)"/>
      <sheetName val="增減預算表"/>
      <sheetName val="變更明細包商"/>
      <sheetName val="估驗(1)"/>
      <sheetName val="估驗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>
        <row r="8">
          <cell r="H8">
            <v>703.94</v>
          </cell>
        </row>
        <row r="10">
          <cell r="H10">
            <v>934.74</v>
          </cell>
        </row>
        <row r="11">
          <cell r="H11">
            <v>1096.3</v>
          </cell>
        </row>
        <row r="14">
          <cell r="H14">
            <v>6.4</v>
          </cell>
        </row>
        <row r="16">
          <cell r="H16">
            <v>13.95</v>
          </cell>
        </row>
        <row r="17">
          <cell r="H17">
            <v>57.7</v>
          </cell>
        </row>
        <row r="19">
          <cell r="G19">
            <v>0.04</v>
          </cell>
        </row>
        <row r="23">
          <cell r="J23">
            <v>969</v>
          </cell>
        </row>
        <row r="28">
          <cell r="J28">
            <v>854</v>
          </cell>
        </row>
        <row r="32">
          <cell r="J32">
            <v>43</v>
          </cell>
        </row>
        <row r="39">
          <cell r="J39">
            <v>1027</v>
          </cell>
        </row>
        <row r="44">
          <cell r="J44">
            <v>989</v>
          </cell>
        </row>
        <row r="48">
          <cell r="J48">
            <v>327</v>
          </cell>
        </row>
      </sheetData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預算單價明細"/>
      <sheetName val="預算明細 "/>
      <sheetName val="預算設計書"/>
      <sheetName val="預算單價設計書"/>
      <sheetName val="單價分析"/>
      <sheetName val="包商單價分析"/>
      <sheetName val="標單"/>
      <sheetName val="標單 (2)"/>
      <sheetName val="標單 (3)"/>
      <sheetName val="數量1"/>
      <sheetName val="數量2"/>
      <sheetName val="第一期"/>
      <sheetName val="第2期 "/>
      <sheetName val="請款單(1)"/>
      <sheetName val="請款單(2)"/>
      <sheetName val="付款表(1)"/>
      <sheetName val="付款表(2)"/>
      <sheetName val="單價協議"/>
      <sheetName val="剩餘土處理)"/>
      <sheetName val="空白分析"/>
      <sheetName val="數量計算表"/>
      <sheetName val="測量表"/>
      <sheetName val="進度表"/>
      <sheetName val="土方表"/>
      <sheetName val="結算驗收"/>
      <sheetName val="結算明細"/>
      <sheetName val="總變更明細"/>
      <sheetName val="變更新增部分明細"/>
      <sheetName val="變更數量計算表 "/>
      <sheetName val="變更新增減表"/>
      <sheetName val="變更數量增減表"/>
      <sheetName val="變更明細"/>
      <sheetName val="變更預算表"/>
      <sheetName val="變更單價分析."/>
      <sheetName val="決算明細"/>
      <sheetName val="決算表"/>
      <sheetName val="單價"/>
      <sheetName val="保證金"/>
      <sheetName val="竣工數量計算"/>
      <sheetName val="竣工數量明細"/>
      <sheetName val="竣工土石方"/>
      <sheetName val="工程估價單(新增)"/>
      <sheetName val="增減預算表"/>
      <sheetName val="變更明細包商"/>
      <sheetName val="估驗(1)"/>
      <sheetName val="估驗(2)"/>
      <sheetName val="單價分析表(1-11)"/>
      <sheetName val="數量(含竣工)"/>
      <sheetName val="數量計算"/>
      <sheetName val="鋼筋數量"/>
      <sheetName val="預算明細"/>
      <sheetName val="預算書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>
        <row r="8">
          <cell r="H8">
            <v>703.94</v>
          </cell>
        </row>
        <row r="10">
          <cell r="H10">
            <v>934.74</v>
          </cell>
        </row>
        <row r="11">
          <cell r="H11">
            <v>1096.3</v>
          </cell>
        </row>
        <row r="14">
          <cell r="H14">
            <v>6.4</v>
          </cell>
        </row>
        <row r="16">
          <cell r="H16">
            <v>13.95</v>
          </cell>
        </row>
        <row r="17">
          <cell r="H17">
            <v>57.7</v>
          </cell>
        </row>
        <row r="19">
          <cell r="G19">
            <v>0.04</v>
          </cell>
        </row>
        <row r="23">
          <cell r="J23">
            <v>969</v>
          </cell>
        </row>
        <row r="28">
          <cell r="J28">
            <v>854</v>
          </cell>
        </row>
        <row r="32">
          <cell r="J32">
            <v>43</v>
          </cell>
        </row>
        <row r="39">
          <cell r="J39">
            <v>1027</v>
          </cell>
        </row>
        <row r="44">
          <cell r="J44">
            <v>989</v>
          </cell>
        </row>
        <row r="48">
          <cell r="J48">
            <v>327</v>
          </cell>
        </row>
      </sheetData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發包預算明細"/>
      <sheetName val="單價分析(包商用)"/>
      <sheetName val="和平標價清單"/>
      <sheetName val="預算明細 "/>
      <sheetName val="數量計算表 "/>
      <sheetName val="單價分析"/>
      <sheetName val="0K+150岩方"/>
      <sheetName val="1K土方"/>
      <sheetName val="碎"/>
      <sheetName val="床"/>
      <sheetName val="床 (2)"/>
      <sheetName val="R"/>
      <sheetName val="模鋼"/>
      <sheetName val="AC標"/>
      <sheetName val="護坡"/>
      <sheetName val="結算明細"/>
      <sheetName val="結算驗收"/>
      <sheetName val="決算明細"/>
      <sheetName val="決算表"/>
      <sheetName val="單價"/>
      <sheetName val="保證金"/>
      <sheetName val="數量計算表"/>
      <sheetName val="數量計算表 (2)"/>
      <sheetName val="竣工數量計算"/>
      <sheetName val="竣工數量明細"/>
      <sheetName val="竣工土石方"/>
      <sheetName val="工程估價單(新增)"/>
      <sheetName val="進度表"/>
      <sheetName val="增減預算表"/>
      <sheetName val="增減明細(包商)"/>
      <sheetName val="增減明細"/>
      <sheetName val="估驗(1)"/>
      <sheetName val="估驗(2)"/>
      <sheetName val="估驗(3)"/>
      <sheetName val="請款單(1)"/>
      <sheetName val="請款單(2)"/>
      <sheetName val="請款單(3)"/>
      <sheetName val="付款表(1)"/>
      <sheetName val="付款表(2)"/>
      <sheetName val="付款表(3)"/>
      <sheetName val="付款表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0">
          <cell r="H10">
            <v>934.74</v>
          </cell>
        </row>
        <row r="16">
          <cell r="H16">
            <v>13.95</v>
          </cell>
        </row>
        <row r="32">
          <cell r="J32">
            <v>43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發包預算明細"/>
      <sheetName val="單價分析(包商用)"/>
      <sheetName val="和平標價清單"/>
      <sheetName val="預算明細 "/>
      <sheetName val="數量計算表 "/>
      <sheetName val="單價分析"/>
      <sheetName val="0K+150岩方"/>
      <sheetName val="1K土方"/>
      <sheetName val="碎"/>
      <sheetName val="床"/>
      <sheetName val="床 (2)"/>
      <sheetName val="R"/>
      <sheetName val="模鋼"/>
      <sheetName val="AC標"/>
      <sheetName val="護坡"/>
      <sheetName val="結算明細"/>
      <sheetName val="結算驗收"/>
      <sheetName val="決算明細"/>
      <sheetName val="決算表"/>
      <sheetName val="單價"/>
      <sheetName val="保證金"/>
      <sheetName val="數量計算表"/>
      <sheetName val="數量計算表 (2)"/>
      <sheetName val="竣工數量計算"/>
      <sheetName val="竣工數量明細"/>
      <sheetName val="竣工土石方"/>
      <sheetName val="工程估價單(新增)"/>
      <sheetName val="進度表"/>
      <sheetName val="增減預算表"/>
      <sheetName val="增減明細(包商)"/>
      <sheetName val="增減明細"/>
      <sheetName val="估驗(1)"/>
      <sheetName val="估驗(2)"/>
      <sheetName val="估驗(3)"/>
      <sheetName val="請款單(1)"/>
      <sheetName val="請款單(2)"/>
      <sheetName val="請款單(3)"/>
      <sheetName val="付款表(1)"/>
      <sheetName val="付款表(2)"/>
      <sheetName val="付款表(3)"/>
      <sheetName val="付款表(4)"/>
      <sheetName val="工程預算書"/>
      <sheetName val="數量表"/>
      <sheetName val="數量(含竣工)"/>
      <sheetName val="基本單價"/>
      <sheetName val="單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>
        <row r="10">
          <cell r="H10">
            <v>934.74</v>
          </cell>
        </row>
        <row r="16">
          <cell r="H16">
            <v>13.95</v>
          </cell>
        </row>
        <row r="32">
          <cell r="J32">
            <v>43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概要"/>
      <sheetName val="預算表"/>
      <sheetName val="標價清單"/>
      <sheetName val="預算明細"/>
      <sheetName val="土石方"/>
      <sheetName val="數量計算表"/>
      <sheetName val="單價分析"/>
      <sheetName val="結算明細"/>
      <sheetName val="竣工數量計算"/>
      <sheetName val="竣工數量明細"/>
      <sheetName val="竣工土石方"/>
      <sheetName val="單價分析(包商用)"/>
      <sheetName val="工程估價單(新增)"/>
      <sheetName val="進度表"/>
      <sheetName val="增減預算表"/>
      <sheetName val="增減明細(包商)"/>
      <sheetName val="增減明細"/>
      <sheetName val="決算明細"/>
      <sheetName val="決算表"/>
      <sheetName val="估驗(1)"/>
      <sheetName val="請款單(1)"/>
      <sheetName val="付款表(1)"/>
      <sheetName val="單價"/>
      <sheetName val="預2"/>
      <sheetName val="接法(估驗)"/>
      <sheetName val="數量表"/>
      <sheetName val="input"/>
      <sheetName val="輸入資料"/>
      <sheetName val="工程預算書 "/>
      <sheetName val="變更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71">
          <cell r="J71">
            <v>425</v>
          </cell>
        </row>
        <row r="90">
          <cell r="J90">
            <v>196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46"/>
  <sheetViews>
    <sheetView view="pageBreakPreview" zoomScale="130" zoomScaleNormal="115" zoomScaleSheetLayoutView="130" workbookViewId="0">
      <selection activeCell="I11" sqref="I11"/>
    </sheetView>
  </sheetViews>
  <sheetFormatPr defaultColWidth="9" defaultRowHeight="16.5"/>
  <cols>
    <col min="1" max="1" width="6" style="2" bestFit="1" customWidth="1"/>
    <col min="2" max="2" width="30.875" style="16" customWidth="1"/>
    <col min="3" max="3" width="25.625" style="17" customWidth="1"/>
    <col min="4" max="4" width="10.625" style="18" customWidth="1"/>
    <col min="5" max="5" width="3.625" style="19" customWidth="1"/>
    <col min="6" max="6" width="10.625" style="20" customWidth="1"/>
    <col min="7" max="7" width="5.625" style="19" customWidth="1"/>
    <col min="8" max="16384" width="9" style="2"/>
  </cols>
  <sheetData>
    <row r="1" spans="1:7" ht="16.5" customHeight="1">
      <c r="A1" s="134" t="s">
        <v>123</v>
      </c>
      <c r="B1" s="134"/>
      <c r="C1" s="134"/>
      <c r="D1" s="134"/>
      <c r="E1" s="134"/>
      <c r="F1" s="134"/>
      <c r="G1" s="134"/>
    </row>
    <row r="2" spans="1:7" ht="16.5" customHeight="1">
      <c r="A2" s="134"/>
      <c r="B2" s="134"/>
      <c r="C2" s="134"/>
      <c r="D2" s="134"/>
      <c r="E2" s="134"/>
      <c r="F2" s="134"/>
      <c r="G2" s="134"/>
    </row>
    <row r="3" spans="1:7" ht="24.95" customHeight="1">
      <c r="A3" s="132" t="s">
        <v>12</v>
      </c>
      <c r="B3" s="132"/>
      <c r="C3" s="132"/>
      <c r="D3" s="132"/>
      <c r="E3" s="132"/>
      <c r="F3" s="132"/>
      <c r="G3" s="132"/>
    </row>
    <row r="4" spans="1:7" ht="24.95" customHeight="1">
      <c r="A4" s="133" t="s">
        <v>124</v>
      </c>
      <c r="B4" s="133"/>
      <c r="C4" s="133"/>
      <c r="D4" s="133"/>
      <c r="E4" s="133"/>
      <c r="F4" s="133"/>
      <c r="G4" s="133"/>
    </row>
    <row r="5" spans="1:7" s="8" customFormat="1" ht="27" customHeight="1">
      <c r="A5" s="3" t="s">
        <v>0</v>
      </c>
      <c r="B5" s="4" t="s">
        <v>1</v>
      </c>
      <c r="C5" s="5" t="s">
        <v>2</v>
      </c>
      <c r="D5" s="6" t="s">
        <v>3</v>
      </c>
      <c r="E5" s="3"/>
      <c r="F5" s="7" t="s">
        <v>4</v>
      </c>
      <c r="G5" s="3" t="s">
        <v>5</v>
      </c>
    </row>
    <row r="6" spans="1:7" s="9" customFormat="1" ht="20.100000000000001" customHeight="1">
      <c r="A6" s="48" t="s">
        <v>13</v>
      </c>
      <c r="B6" s="1" t="s">
        <v>25</v>
      </c>
      <c r="C6" s="21"/>
      <c r="D6" s="21"/>
      <c r="E6" s="21"/>
      <c r="F6" s="21"/>
      <c r="G6" s="49"/>
    </row>
    <row r="7" spans="1:7" s="9" customFormat="1" ht="20.100000000000001" customHeight="1">
      <c r="A7" s="48">
        <v>1</v>
      </c>
      <c r="B7" s="112" t="s">
        <v>48</v>
      </c>
      <c r="C7" s="46" t="s">
        <v>41</v>
      </c>
      <c r="D7" s="107">
        <f>'斷面數量(原有)'!J25</f>
        <v>1082</v>
      </c>
      <c r="E7" s="21" t="s">
        <v>6</v>
      </c>
      <c r="F7" s="53">
        <f t="shared" ref="F7:F13" si="0">ROUND(D7,0)</f>
        <v>1082</v>
      </c>
      <c r="G7" s="117" t="s">
        <v>7</v>
      </c>
    </row>
    <row r="8" spans="1:7" s="9" customFormat="1" ht="20.100000000000001" customHeight="1">
      <c r="A8" s="85">
        <f>A7+1</f>
        <v>2</v>
      </c>
      <c r="B8" s="112" t="s">
        <v>59</v>
      </c>
      <c r="C8" s="46" t="s">
        <v>41</v>
      </c>
      <c r="D8" s="107">
        <f>'斷面數量(原有)'!M25</f>
        <v>617</v>
      </c>
      <c r="E8" s="21" t="s">
        <v>6</v>
      </c>
      <c r="F8" s="53">
        <f t="shared" si="0"/>
        <v>617</v>
      </c>
      <c r="G8" s="117" t="s">
        <v>7</v>
      </c>
    </row>
    <row r="9" spans="1:7" s="9" customFormat="1" ht="20.100000000000001" customHeight="1">
      <c r="A9" s="85">
        <f t="shared" ref="A9:A22" si="1">A8+1</f>
        <v>3</v>
      </c>
      <c r="B9" s="112" t="s">
        <v>87</v>
      </c>
      <c r="C9" s="46" t="str">
        <f>""&amp;F7&amp;"-"&amp;F8&amp;""</f>
        <v>1082-617</v>
      </c>
      <c r="D9" s="107">
        <f>F7-F8</f>
        <v>465</v>
      </c>
      <c r="E9" s="21" t="s">
        <v>6</v>
      </c>
      <c r="F9" s="53">
        <f t="shared" si="0"/>
        <v>465</v>
      </c>
      <c r="G9" s="117" t="s">
        <v>7</v>
      </c>
    </row>
    <row r="10" spans="1:7" s="9" customFormat="1" ht="30.75" customHeight="1">
      <c r="A10" s="85">
        <f t="shared" si="1"/>
        <v>4</v>
      </c>
      <c r="B10" s="122" t="s">
        <v>103</v>
      </c>
      <c r="C10" s="46" t="s">
        <v>100</v>
      </c>
      <c r="D10" s="107">
        <f>5.5*11</f>
        <v>60.5</v>
      </c>
      <c r="E10" s="21" t="s">
        <v>6</v>
      </c>
      <c r="F10" s="53">
        <f t="shared" si="0"/>
        <v>61</v>
      </c>
      <c r="G10" s="117" t="s">
        <v>7</v>
      </c>
    </row>
    <row r="11" spans="1:7" s="9" customFormat="1" ht="20.100000000000001" customHeight="1">
      <c r="A11" s="85">
        <f t="shared" si="1"/>
        <v>5</v>
      </c>
      <c r="B11" s="112" t="s">
        <v>88</v>
      </c>
      <c r="C11" s="46" t="s">
        <v>42</v>
      </c>
      <c r="D11" s="107">
        <f>表4_工程數量統計表1!L6</f>
        <v>534.98</v>
      </c>
      <c r="E11" s="21" t="s">
        <v>90</v>
      </c>
      <c r="F11" s="53">
        <f t="shared" si="0"/>
        <v>535</v>
      </c>
      <c r="G11" s="117" t="s">
        <v>104</v>
      </c>
    </row>
    <row r="12" spans="1:7" s="9" customFormat="1" ht="20.100000000000001" customHeight="1">
      <c r="A12" s="85">
        <f t="shared" si="1"/>
        <v>6</v>
      </c>
      <c r="B12" s="112" t="s">
        <v>89</v>
      </c>
      <c r="C12" s="46" t="s">
        <v>42</v>
      </c>
      <c r="D12" s="107">
        <f>表4_工程數量統計表1!L7</f>
        <v>3774.76</v>
      </c>
      <c r="E12" s="21" t="s">
        <v>6</v>
      </c>
      <c r="F12" s="53">
        <f t="shared" si="0"/>
        <v>3775</v>
      </c>
      <c r="G12" s="117" t="s">
        <v>104</v>
      </c>
    </row>
    <row r="13" spans="1:7" s="9" customFormat="1" ht="20.100000000000001" customHeight="1">
      <c r="A13" s="85">
        <f t="shared" si="1"/>
        <v>7</v>
      </c>
      <c r="B13" s="112" t="s">
        <v>74</v>
      </c>
      <c r="C13" s="46" t="s">
        <v>42</v>
      </c>
      <c r="D13" s="107">
        <f>表4_工程數量統計表1!L8</f>
        <v>4819.2699999999995</v>
      </c>
      <c r="E13" s="21" t="s">
        <v>6</v>
      </c>
      <c r="F13" s="53">
        <f t="shared" si="0"/>
        <v>4819</v>
      </c>
      <c r="G13" s="117" t="s">
        <v>72</v>
      </c>
    </row>
    <row r="14" spans="1:7" s="9" customFormat="1" ht="20.100000000000001" customHeight="1">
      <c r="A14" s="85">
        <f t="shared" si="1"/>
        <v>8</v>
      </c>
      <c r="B14" s="112" t="s">
        <v>82</v>
      </c>
      <c r="C14" s="46" t="s">
        <v>42</v>
      </c>
      <c r="D14" s="107">
        <f>表4_工程數量統計表1!L9</f>
        <v>1116.72</v>
      </c>
      <c r="E14" s="21" t="s">
        <v>6</v>
      </c>
      <c r="F14" s="53">
        <f t="shared" ref="F14:F20" si="2">ROUND(D14,0)</f>
        <v>1117</v>
      </c>
      <c r="G14" s="117" t="s">
        <v>72</v>
      </c>
    </row>
    <row r="15" spans="1:7" s="9" customFormat="1" ht="30.75" customHeight="1">
      <c r="A15" s="85">
        <f t="shared" si="1"/>
        <v>9</v>
      </c>
      <c r="B15" s="122" t="s">
        <v>75</v>
      </c>
      <c r="C15" s="46" t="s">
        <v>42</v>
      </c>
      <c r="D15" s="107">
        <f>表4_工程數量統計表1!L10</f>
        <v>229.22000000000003</v>
      </c>
      <c r="E15" s="21" t="s">
        <v>6</v>
      </c>
      <c r="F15" s="53">
        <f t="shared" si="2"/>
        <v>229</v>
      </c>
      <c r="G15" s="117" t="s">
        <v>7</v>
      </c>
    </row>
    <row r="16" spans="1:7" s="9" customFormat="1" ht="30.75" customHeight="1">
      <c r="A16" s="85">
        <f t="shared" si="1"/>
        <v>10</v>
      </c>
      <c r="B16" s="122" t="s">
        <v>63</v>
      </c>
      <c r="C16" s="46" t="s">
        <v>91</v>
      </c>
      <c r="D16" s="107">
        <f>表4_工程數量統計表1!L11</f>
        <v>83.42</v>
      </c>
      <c r="E16" s="21" t="s">
        <v>6</v>
      </c>
      <c r="F16" s="53">
        <f t="shared" si="2"/>
        <v>83</v>
      </c>
      <c r="G16" s="117" t="s">
        <v>7</v>
      </c>
    </row>
    <row r="17" spans="1:7" s="9" customFormat="1" ht="29.25" customHeight="1">
      <c r="A17" s="85">
        <f t="shared" si="1"/>
        <v>11</v>
      </c>
      <c r="B17" s="112" t="s">
        <v>92</v>
      </c>
      <c r="C17" s="46" t="s">
        <v>61</v>
      </c>
      <c r="D17" s="107">
        <f>表4_工程數量統計表1!L12</f>
        <v>83.42</v>
      </c>
      <c r="E17" s="21" t="s">
        <v>6</v>
      </c>
      <c r="F17" s="53">
        <f t="shared" si="2"/>
        <v>83</v>
      </c>
      <c r="G17" s="117" t="s">
        <v>104</v>
      </c>
    </row>
    <row r="18" spans="1:7" s="9" customFormat="1" ht="29.25" customHeight="1">
      <c r="A18" s="85">
        <f t="shared" si="1"/>
        <v>12</v>
      </c>
      <c r="B18" s="112" t="s">
        <v>85</v>
      </c>
      <c r="C18" s="21" t="s">
        <v>97</v>
      </c>
      <c r="D18" s="107">
        <f>36/2</f>
        <v>18</v>
      </c>
      <c r="E18" s="21" t="s">
        <v>6</v>
      </c>
      <c r="F18" s="53">
        <f>ROUND(D18,0)</f>
        <v>18</v>
      </c>
      <c r="G18" s="117" t="s">
        <v>23</v>
      </c>
    </row>
    <row r="19" spans="1:7" s="9" customFormat="1" ht="30.75" customHeight="1">
      <c r="A19" s="85">
        <f t="shared" si="1"/>
        <v>13</v>
      </c>
      <c r="B19" s="122" t="s">
        <v>106</v>
      </c>
      <c r="C19" s="46" t="s">
        <v>107</v>
      </c>
      <c r="D19" s="107">
        <f>37.4*2+4.15*4</f>
        <v>91.4</v>
      </c>
      <c r="E19" s="21" t="s">
        <v>95</v>
      </c>
      <c r="F19" s="53">
        <f t="shared" si="2"/>
        <v>91</v>
      </c>
      <c r="G19" s="117" t="s">
        <v>105</v>
      </c>
    </row>
    <row r="20" spans="1:7" s="92" customFormat="1" ht="20.100000000000001" customHeight="1">
      <c r="A20" s="85">
        <f t="shared" si="1"/>
        <v>14</v>
      </c>
      <c r="B20" s="112" t="s">
        <v>93</v>
      </c>
      <c r="C20" s="46" t="s">
        <v>99</v>
      </c>
      <c r="D20" s="107">
        <f>18*2+17*2</f>
        <v>70</v>
      </c>
      <c r="E20" s="91" t="s">
        <v>6</v>
      </c>
      <c r="F20" s="53">
        <f t="shared" si="2"/>
        <v>70</v>
      </c>
      <c r="G20" s="117" t="s">
        <v>73</v>
      </c>
    </row>
    <row r="21" spans="1:7" s="92" customFormat="1" ht="20.100000000000001" customHeight="1">
      <c r="A21" s="85">
        <f t="shared" si="1"/>
        <v>15</v>
      </c>
      <c r="B21" s="112" t="s">
        <v>94</v>
      </c>
      <c r="C21" s="46" t="s">
        <v>101</v>
      </c>
      <c r="D21" s="107">
        <f>5.5+3</f>
        <v>8.5</v>
      </c>
      <c r="E21" s="91" t="s">
        <v>6</v>
      </c>
      <c r="F21" s="53">
        <f>ROUND(D21,0)</f>
        <v>9</v>
      </c>
      <c r="G21" s="117" t="s">
        <v>8</v>
      </c>
    </row>
    <row r="22" spans="1:7" s="92" customFormat="1" ht="20.100000000000001" customHeight="1">
      <c r="A22" s="85">
        <f t="shared" si="1"/>
        <v>16</v>
      </c>
      <c r="B22" s="112" t="s">
        <v>96</v>
      </c>
      <c r="C22" s="46" t="s">
        <v>42</v>
      </c>
      <c r="D22" s="107">
        <f>表4_工程數量統計表1!L13</f>
        <v>0</v>
      </c>
      <c r="E22" s="91" t="s">
        <v>6</v>
      </c>
      <c r="F22" s="53">
        <f>ROUND(D22,0)</f>
        <v>0</v>
      </c>
      <c r="G22" s="117" t="s">
        <v>98</v>
      </c>
    </row>
    <row r="23" spans="1:7" s="9" customFormat="1" ht="20.100000000000001" customHeight="1">
      <c r="A23" s="48" t="s">
        <v>40</v>
      </c>
      <c r="B23" s="112" t="s">
        <v>51</v>
      </c>
      <c r="C23" s="51"/>
      <c r="D23" s="107"/>
      <c r="E23" s="21"/>
      <c r="F23" s="22"/>
      <c r="G23" s="85"/>
    </row>
    <row r="24" spans="1:7" s="9" customFormat="1" ht="29.25" customHeight="1">
      <c r="A24" s="116">
        <v>1</v>
      </c>
      <c r="B24" s="122" t="s">
        <v>64</v>
      </c>
      <c r="C24" s="46">
        <v>1</v>
      </c>
      <c r="D24" s="107">
        <f>C24</f>
        <v>1</v>
      </c>
      <c r="E24" s="21" t="s">
        <v>6</v>
      </c>
      <c r="F24" s="53">
        <f>ROUNDUP(D24,0)</f>
        <v>1</v>
      </c>
      <c r="G24" s="116" t="s">
        <v>69</v>
      </c>
    </row>
    <row r="25" spans="1:7" s="9" customFormat="1" ht="20.100000000000001" customHeight="1">
      <c r="A25" s="116">
        <v>2</v>
      </c>
      <c r="B25" s="112" t="s">
        <v>65</v>
      </c>
      <c r="C25" s="46">
        <v>1</v>
      </c>
      <c r="D25" s="107">
        <f t="shared" ref="D25:D32" si="3">C25</f>
        <v>1</v>
      </c>
      <c r="E25" s="21" t="s">
        <v>6</v>
      </c>
      <c r="F25" s="53">
        <f t="shared" ref="F25:F32" si="4">ROUNDUP(D25,0)</f>
        <v>1</v>
      </c>
      <c r="G25" s="114" t="s">
        <v>55</v>
      </c>
    </row>
    <row r="26" spans="1:7" s="9" customFormat="1" ht="20.100000000000001" customHeight="1">
      <c r="A26" s="116">
        <v>3</v>
      </c>
      <c r="B26" s="112" t="s">
        <v>71</v>
      </c>
      <c r="C26" s="46">
        <v>1</v>
      </c>
      <c r="D26" s="107">
        <f t="shared" si="3"/>
        <v>1</v>
      </c>
      <c r="E26" s="21" t="s">
        <v>6</v>
      </c>
      <c r="F26" s="53">
        <f t="shared" si="4"/>
        <v>1</v>
      </c>
      <c r="G26" s="114" t="s">
        <v>68</v>
      </c>
    </row>
    <row r="27" spans="1:7" s="9" customFormat="1" ht="20.100000000000001" customHeight="1">
      <c r="A27" s="116">
        <v>4</v>
      </c>
      <c r="B27" s="112" t="s">
        <v>70</v>
      </c>
      <c r="C27" s="46">
        <v>1</v>
      </c>
      <c r="D27" s="107">
        <f t="shared" si="3"/>
        <v>1</v>
      </c>
      <c r="E27" s="21" t="s">
        <v>6</v>
      </c>
      <c r="F27" s="53">
        <f t="shared" si="4"/>
        <v>1</v>
      </c>
      <c r="G27" s="114" t="s">
        <v>55</v>
      </c>
    </row>
    <row r="28" spans="1:7" s="9" customFormat="1" ht="20.100000000000001" customHeight="1">
      <c r="A28" s="116">
        <v>5</v>
      </c>
      <c r="B28" s="112" t="s">
        <v>102</v>
      </c>
      <c r="C28" s="46">
        <v>1</v>
      </c>
      <c r="D28" s="107">
        <f t="shared" si="3"/>
        <v>1</v>
      </c>
      <c r="E28" s="21" t="s">
        <v>6</v>
      </c>
      <c r="F28" s="53">
        <f t="shared" si="4"/>
        <v>1</v>
      </c>
      <c r="G28" s="114" t="s">
        <v>55</v>
      </c>
    </row>
    <row r="29" spans="1:7" s="9" customFormat="1" ht="20.100000000000001" customHeight="1">
      <c r="A29" s="116">
        <v>6</v>
      </c>
      <c r="B29" s="112" t="s">
        <v>66</v>
      </c>
      <c r="C29" s="46">
        <v>1</v>
      </c>
      <c r="D29" s="107">
        <f t="shared" si="3"/>
        <v>1</v>
      </c>
      <c r="E29" s="21" t="s">
        <v>6</v>
      </c>
      <c r="F29" s="53">
        <f t="shared" si="4"/>
        <v>1</v>
      </c>
      <c r="G29" s="114" t="s">
        <v>55</v>
      </c>
    </row>
    <row r="30" spans="1:7" s="9" customFormat="1" ht="20.100000000000001" customHeight="1">
      <c r="A30" s="116">
        <v>7</v>
      </c>
      <c r="B30" s="112" t="s">
        <v>67</v>
      </c>
      <c r="C30" s="46">
        <v>1</v>
      </c>
      <c r="D30" s="107">
        <f t="shared" si="3"/>
        <v>1</v>
      </c>
      <c r="E30" s="21" t="s">
        <v>6</v>
      </c>
      <c r="F30" s="53">
        <f t="shared" si="4"/>
        <v>1</v>
      </c>
      <c r="G30" s="114" t="s">
        <v>55</v>
      </c>
    </row>
    <row r="31" spans="1:7" s="9" customFormat="1" ht="20.100000000000001" customHeight="1">
      <c r="A31" s="116">
        <v>8</v>
      </c>
      <c r="B31" s="112" t="s">
        <v>52</v>
      </c>
      <c r="C31" s="46">
        <v>1</v>
      </c>
      <c r="D31" s="107">
        <f t="shared" si="3"/>
        <v>1</v>
      </c>
      <c r="E31" s="21" t="s">
        <v>6</v>
      </c>
      <c r="F31" s="53">
        <f t="shared" si="4"/>
        <v>1</v>
      </c>
      <c r="G31" s="114" t="s">
        <v>55</v>
      </c>
    </row>
    <row r="32" spans="1:7" s="9" customFormat="1" ht="20.100000000000001" customHeight="1">
      <c r="A32" s="116">
        <v>9</v>
      </c>
      <c r="B32" s="112" t="s">
        <v>53</v>
      </c>
      <c r="C32" s="46">
        <v>1</v>
      </c>
      <c r="D32" s="107">
        <f t="shared" si="3"/>
        <v>1</v>
      </c>
      <c r="E32" s="21" t="s">
        <v>6</v>
      </c>
      <c r="F32" s="53">
        <f t="shared" si="4"/>
        <v>1</v>
      </c>
      <c r="G32" s="114" t="s">
        <v>55</v>
      </c>
    </row>
    <row r="33" spans="1:7" s="9" customFormat="1" ht="20.100000000000001" customHeight="1">
      <c r="A33" s="116">
        <v>10</v>
      </c>
      <c r="B33" s="113" t="s">
        <v>54</v>
      </c>
      <c r="C33" s="46">
        <v>1</v>
      </c>
      <c r="D33" s="107">
        <f>C33</f>
        <v>1</v>
      </c>
      <c r="E33" s="21" t="s">
        <v>6</v>
      </c>
      <c r="F33" s="53">
        <f>ROUNDUP(D33,0)</f>
        <v>1</v>
      </c>
      <c r="G33" s="114" t="s">
        <v>55</v>
      </c>
    </row>
    <row r="34" spans="1:7" s="9" customFormat="1" ht="15" customHeight="1"/>
    <row r="35" spans="1:7" s="9" customFormat="1" ht="15" customHeight="1"/>
    <row r="36" spans="1:7" s="9" customFormat="1" ht="15" customHeight="1"/>
    <row r="37" spans="1:7" s="9" customFormat="1" ht="15" customHeight="1"/>
    <row r="38" spans="1:7" s="9" customFormat="1" ht="30" customHeight="1"/>
    <row r="39" spans="1:7" s="9" customFormat="1" ht="30" customHeight="1"/>
    <row r="40" spans="1:7" s="9" customFormat="1" ht="30" customHeight="1"/>
    <row r="41" spans="1:7" s="9" customFormat="1" ht="30" customHeight="1"/>
    <row r="42" spans="1:7" s="9" customFormat="1" ht="15" customHeight="1"/>
    <row r="43" spans="1:7" s="9" customFormat="1" ht="15" customHeight="1"/>
    <row r="44" spans="1:7" s="9" customFormat="1" ht="15" customHeight="1"/>
    <row r="45" spans="1:7" s="9" customFormat="1" ht="15" customHeight="1"/>
    <row r="46" spans="1:7" s="9" customFormat="1" ht="15" customHeight="1"/>
    <row r="47" spans="1:7" s="9" customFormat="1" ht="30" customHeight="1"/>
    <row r="48" spans="1:7" s="9" customFormat="1" ht="31.15" customHeight="1"/>
    <row r="49" s="9" customFormat="1" ht="15" customHeight="1"/>
    <row r="50" s="9" customFormat="1" ht="15" customHeight="1"/>
    <row r="51" s="9" customFormat="1" ht="15" customHeight="1"/>
    <row r="52" s="9" customFormat="1" ht="30.6" customHeight="1"/>
    <row r="53" s="9" customFormat="1" ht="30" customHeight="1"/>
    <row r="54" s="9" customFormat="1" ht="15" customHeight="1"/>
    <row r="55" s="9" customFormat="1" ht="15" customHeight="1"/>
    <row r="56" s="9" customFormat="1" ht="15" customHeight="1"/>
    <row r="57" s="9" customFormat="1" ht="30" customHeight="1"/>
    <row r="58" s="9" customFormat="1" ht="30.6" customHeight="1"/>
    <row r="59" s="9" customFormat="1" ht="15" customHeight="1"/>
    <row r="60" s="9" customFormat="1" ht="15" customHeight="1"/>
    <row r="61" s="9" customFormat="1" ht="29.45" customHeight="1"/>
    <row r="62" s="9" customFormat="1" ht="32.450000000000003" customHeight="1"/>
    <row r="63" s="9" customFormat="1" ht="30" customHeight="1"/>
    <row r="64" s="9" customFormat="1" ht="15" customHeight="1"/>
    <row r="65" spans="2:7" s="9" customFormat="1" ht="15" customHeight="1"/>
    <row r="66" spans="2:7" s="9" customFormat="1" ht="15" customHeight="1"/>
    <row r="67" spans="2:7" s="9" customFormat="1" ht="15" customHeight="1"/>
    <row r="68" spans="2:7" s="9" customFormat="1" ht="15" customHeight="1"/>
    <row r="69" spans="2:7" s="9" customFormat="1" ht="15" customHeight="1"/>
    <row r="70" spans="2:7" s="9" customFormat="1" ht="15" customHeight="1"/>
    <row r="71" spans="2:7" s="9" customFormat="1" ht="15" customHeight="1">
      <c r="B71" s="2"/>
      <c r="C71" s="2"/>
      <c r="D71" s="10"/>
      <c r="E71" s="10"/>
      <c r="F71" s="10"/>
      <c r="G71" s="2"/>
    </row>
    <row r="72" spans="2:7" s="9" customFormat="1" ht="15" customHeight="1">
      <c r="B72" s="2"/>
      <c r="C72" s="2"/>
      <c r="D72" s="10"/>
      <c r="E72" s="10"/>
      <c r="F72" s="10"/>
      <c r="G72" s="2"/>
    </row>
    <row r="73" spans="2:7" s="9" customFormat="1" ht="15" customHeight="1">
      <c r="B73" s="2"/>
      <c r="C73" s="2"/>
      <c r="D73" s="11"/>
      <c r="E73" s="11"/>
      <c r="F73" s="11"/>
      <c r="G73" s="2"/>
    </row>
    <row r="74" spans="2:7" s="9" customFormat="1" ht="15" customHeight="1">
      <c r="B74" s="2"/>
      <c r="C74" s="2"/>
      <c r="D74" s="12"/>
      <c r="E74" s="12"/>
      <c r="F74" s="12"/>
      <c r="G74" s="2"/>
    </row>
    <row r="75" spans="2:7" s="8" customFormat="1">
      <c r="B75" s="2"/>
      <c r="C75" s="2"/>
      <c r="D75" s="13"/>
      <c r="E75" s="13"/>
      <c r="F75" s="13"/>
      <c r="G75" s="2"/>
    </row>
    <row r="76" spans="2:7" s="8" customFormat="1">
      <c r="B76" s="2"/>
      <c r="C76" s="2"/>
      <c r="D76" s="13"/>
      <c r="E76" s="13"/>
      <c r="F76" s="13"/>
      <c r="G76" s="2"/>
    </row>
    <row r="77" spans="2:7">
      <c r="B77" s="2"/>
      <c r="C77" s="2"/>
      <c r="D77" s="13"/>
      <c r="E77" s="13"/>
      <c r="F77" s="13"/>
      <c r="G77" s="2"/>
    </row>
    <row r="78" spans="2:7">
      <c r="B78" s="2"/>
      <c r="C78" s="2"/>
      <c r="D78" s="13"/>
      <c r="E78" s="13"/>
      <c r="F78" s="13"/>
      <c r="G78" s="2"/>
    </row>
    <row r="79" spans="2:7">
      <c r="B79" s="2"/>
      <c r="C79" s="2"/>
      <c r="D79" s="10"/>
      <c r="E79" s="10"/>
      <c r="F79" s="10"/>
      <c r="G79" s="2"/>
    </row>
    <row r="80" spans="2:7">
      <c r="B80" s="2"/>
      <c r="C80" s="2"/>
      <c r="D80" s="10"/>
      <c r="E80" s="10"/>
      <c r="F80" s="10"/>
      <c r="G80" s="2"/>
    </row>
    <row r="81" spans="2:7">
      <c r="B81" s="2"/>
      <c r="C81" s="2"/>
      <c r="D81" s="11"/>
      <c r="E81" s="11"/>
      <c r="F81" s="11"/>
      <c r="G81" s="2"/>
    </row>
    <row r="82" spans="2:7">
      <c r="B82" s="2"/>
      <c r="C82" s="2"/>
      <c r="D82" s="12"/>
      <c r="E82" s="12"/>
      <c r="F82" s="12"/>
      <c r="G82" s="2"/>
    </row>
    <row r="83" spans="2:7">
      <c r="B83" s="2"/>
      <c r="C83" s="2"/>
      <c r="D83" s="13"/>
      <c r="E83" s="13"/>
      <c r="F83" s="13"/>
      <c r="G83" s="2"/>
    </row>
    <row r="84" spans="2:7">
      <c r="B84" s="2"/>
      <c r="C84" s="2"/>
      <c r="D84" s="13"/>
      <c r="E84" s="13"/>
      <c r="F84" s="13"/>
      <c r="G84" s="2"/>
    </row>
    <row r="85" spans="2:7">
      <c r="B85" s="2"/>
      <c r="C85" s="2"/>
      <c r="D85" s="10"/>
      <c r="E85" s="10"/>
      <c r="F85" s="10"/>
      <c r="G85" s="2"/>
    </row>
    <row r="86" spans="2:7">
      <c r="B86" s="2"/>
      <c r="C86" s="2"/>
      <c r="D86" s="14"/>
      <c r="E86" s="14"/>
      <c r="F86" s="14"/>
      <c r="G86" s="2"/>
    </row>
    <row r="87" spans="2:7">
      <c r="B87" s="2"/>
      <c r="C87" s="2"/>
      <c r="D87" s="10"/>
      <c r="E87" s="10"/>
      <c r="F87" s="10"/>
      <c r="G87" s="2"/>
    </row>
    <row r="88" spans="2:7">
      <c r="B88" s="2"/>
      <c r="C88" s="2"/>
      <c r="D88" s="10"/>
      <c r="E88" s="10"/>
      <c r="F88" s="10"/>
      <c r="G88" s="2"/>
    </row>
    <row r="89" spans="2:7">
      <c r="B89" s="2"/>
      <c r="C89" s="2"/>
      <c r="D89" s="10"/>
      <c r="E89" s="10"/>
      <c r="F89" s="10"/>
      <c r="G89" s="2"/>
    </row>
    <row r="90" spans="2:7">
      <c r="B90" s="2"/>
      <c r="C90" s="2"/>
      <c r="D90" s="10"/>
      <c r="E90" s="10"/>
      <c r="F90" s="10"/>
      <c r="G90" s="2"/>
    </row>
    <row r="91" spans="2:7">
      <c r="B91" s="2"/>
      <c r="C91" s="2"/>
      <c r="D91" s="14"/>
      <c r="E91" s="14"/>
      <c r="F91" s="14"/>
      <c r="G91" s="2"/>
    </row>
    <row r="92" spans="2:7">
      <c r="B92" s="2"/>
      <c r="C92" s="2"/>
      <c r="D92" s="10"/>
      <c r="E92" s="10"/>
      <c r="F92" s="10"/>
      <c r="G92" s="2"/>
    </row>
    <row r="93" spans="2:7">
      <c r="B93" s="2"/>
      <c r="C93" s="2"/>
      <c r="D93" s="10"/>
      <c r="E93" s="10"/>
      <c r="F93" s="10"/>
      <c r="G93" s="2"/>
    </row>
    <row r="94" spans="2:7">
      <c r="B94" s="2"/>
      <c r="C94" s="2"/>
      <c r="D94" s="10"/>
      <c r="E94" s="10"/>
      <c r="F94" s="10"/>
      <c r="G94" s="2"/>
    </row>
    <row r="95" spans="2:7">
      <c r="B95" s="2"/>
      <c r="C95" s="2"/>
      <c r="D95" s="10"/>
      <c r="E95" s="10"/>
      <c r="F95" s="10"/>
      <c r="G95" s="2"/>
    </row>
    <row r="96" spans="2:7">
      <c r="B96" s="2"/>
      <c r="C96" s="2"/>
      <c r="D96" s="15"/>
      <c r="E96" s="15"/>
      <c r="F96" s="15"/>
      <c r="G96" s="2"/>
    </row>
    <row r="97" spans="2:7">
      <c r="B97" s="2"/>
      <c r="C97" s="2"/>
      <c r="D97" s="13"/>
      <c r="E97" s="13"/>
      <c r="F97" s="13"/>
      <c r="G97" s="2"/>
    </row>
    <row r="98" spans="2:7">
      <c r="B98" s="2"/>
      <c r="C98" s="2"/>
      <c r="D98" s="13"/>
      <c r="E98" s="13"/>
      <c r="F98" s="13"/>
      <c r="G98" s="2"/>
    </row>
    <row r="99" spans="2:7">
      <c r="B99" s="2"/>
      <c r="C99" s="2"/>
      <c r="D99" s="13"/>
      <c r="E99" s="13"/>
      <c r="F99" s="13"/>
      <c r="G99" s="2"/>
    </row>
    <row r="131" ht="16.149999999999999" customHeight="1"/>
    <row r="144" ht="16.149999999999999" customHeight="1"/>
    <row r="145" ht="16.149999999999999" customHeight="1"/>
    <row r="146" ht="16.149999999999999" customHeight="1"/>
  </sheetData>
  <mergeCells count="3">
    <mergeCell ref="A3:G3"/>
    <mergeCell ref="A4:G4"/>
    <mergeCell ref="A1:G2"/>
  </mergeCells>
  <phoneticPr fontId="2" type="noConversion"/>
  <printOptions horizontalCentered="1"/>
  <pageMargins left="0.51181102362204722" right="0.27559055118110237" top="0.59055118110236227" bottom="0.39370078740157483" header="0.78740157480314965" footer="0.27559055118110237"/>
  <pageSetup paperSize="9" scale="95" orientation="portrait" r:id="rId1"/>
  <headerFooter alignWithMargins="0">
    <oddHeader xml:space="preserve">&amp;R
</oddHeader>
    <oddFooter>&amp;L計算:&amp;C總表-&amp;P&amp;R&amp;"標楷體,標準"&amp;11松陽工程顧問有限公司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3:L13"/>
  <sheetViews>
    <sheetView tabSelected="1" view="pageBreakPreview" zoomScale="85" zoomScaleNormal="100" zoomScaleSheetLayoutView="85" workbookViewId="0">
      <selection activeCell="H10" sqref="H10"/>
    </sheetView>
  </sheetViews>
  <sheetFormatPr defaultColWidth="9" defaultRowHeight="16.5"/>
  <cols>
    <col min="1" max="1" width="6.625" style="41" customWidth="1"/>
    <col min="2" max="2" width="30.125" style="41" customWidth="1"/>
    <col min="3" max="3" width="6.625" style="41" customWidth="1"/>
    <col min="4" max="4" width="18.125" style="41" customWidth="1"/>
    <col min="5" max="5" width="15.625" style="41" customWidth="1"/>
    <col min="6" max="6" width="14.5" style="41" customWidth="1"/>
    <col min="7" max="7" width="14.875" style="41" customWidth="1"/>
    <col min="8" max="8" width="17.125" style="41" customWidth="1"/>
    <col min="9" max="9" width="14.5" style="41" customWidth="1"/>
    <col min="10" max="10" width="14.875" style="41" customWidth="1"/>
    <col min="11" max="11" width="17.125" style="41" customWidth="1"/>
    <col min="12" max="12" width="13.25" style="41" customWidth="1"/>
    <col min="13" max="16384" width="9" style="41"/>
  </cols>
  <sheetData>
    <row r="3" spans="1:12" s="43" customFormat="1" ht="19.5">
      <c r="A3" s="135" t="s">
        <v>0</v>
      </c>
      <c r="B3" s="135" t="s">
        <v>9</v>
      </c>
      <c r="C3" s="135" t="s">
        <v>5</v>
      </c>
      <c r="D3" s="44">
        <v>1</v>
      </c>
      <c r="E3" s="44">
        <v>2</v>
      </c>
      <c r="F3" s="44">
        <v>3</v>
      </c>
      <c r="G3" s="44">
        <v>4</v>
      </c>
      <c r="H3" s="44">
        <v>5</v>
      </c>
      <c r="I3" s="44">
        <v>6</v>
      </c>
      <c r="J3" s="44">
        <v>7</v>
      </c>
      <c r="K3" s="44">
        <v>8</v>
      </c>
      <c r="L3" s="42"/>
    </row>
    <row r="4" spans="1:12" ht="32.25" customHeight="1">
      <c r="A4" s="135"/>
      <c r="B4" s="135"/>
      <c r="C4" s="135"/>
      <c r="D4" s="105" t="str">
        <f>VLOOKUP(D3,表5_元件數量計算表!$A$5:$B$54,2)</f>
        <v>懸臂式擋土牆(h=2.0m)</v>
      </c>
      <c r="E4" s="105" t="str">
        <f>VLOOKUP(E3,表5_元件數量計算表!$A$5:$B$54,2)</f>
        <v>懸臂式擋土牆封牆(h=2.0m)</v>
      </c>
      <c r="F4" s="105" t="str">
        <f>VLOOKUP(F3,表5_元件數量計算表!$A$5:$B$54,2)</f>
        <v>懸臂式擋土牆(h=3.0m)</v>
      </c>
      <c r="G4" s="105" t="str">
        <f>VLOOKUP(G3,表5_元件數量計算表!$A$5:$B$54,2)</f>
        <v>懸臂式擋土牆封牆(h=3.0m)</v>
      </c>
      <c r="H4" s="105" t="str">
        <f>VLOOKUP(H3,表5_元件數量計算表!$A$5:$B$54,2)</f>
        <v>半重力式擋土牆(h=2.0m)</v>
      </c>
      <c r="I4" s="105" t="str">
        <f>VLOOKUP(I3,表5_元件數量計算表!$A$5:$B$54,2)</f>
        <v>半重力式擋土牆封牆</v>
      </c>
      <c r="J4" s="105" t="str">
        <f>VLOOKUP(J3,表5_元件數量計算表!$A$5:$B$54,2)</f>
        <v>PC路面</v>
      </c>
      <c r="K4" s="105" t="str">
        <f>VLOOKUP(K3,表5_元件數量計算表!$A$5:$B$54,2)</f>
        <v>紐澤西護欄</v>
      </c>
      <c r="L4" s="136" t="s">
        <v>10</v>
      </c>
    </row>
    <row r="5" spans="1:12" ht="16.5" customHeight="1">
      <c r="A5" s="135"/>
      <c r="B5" s="135"/>
      <c r="C5" s="135"/>
      <c r="D5" s="110">
        <v>27</v>
      </c>
      <c r="E5" s="111">
        <v>1</v>
      </c>
      <c r="F5" s="110">
        <v>10</v>
      </c>
      <c r="G5" s="111">
        <v>1</v>
      </c>
      <c r="H5" s="110">
        <v>37</v>
      </c>
      <c r="I5" s="111">
        <v>1</v>
      </c>
      <c r="J5" s="110">
        <v>43</v>
      </c>
      <c r="K5" s="110">
        <v>43</v>
      </c>
      <c r="L5" s="137"/>
    </row>
    <row r="6" spans="1:12" ht="16.5" customHeight="1">
      <c r="A6" s="44">
        <v>1</v>
      </c>
      <c r="B6" s="52" t="s">
        <v>44</v>
      </c>
      <c r="C6" s="47" t="str">
        <f>VLOOKUP(B6,表5_元件數量計算表!$B$5:$I$54,8,)</f>
        <v>M2</v>
      </c>
      <c r="D6" s="86">
        <f>$D$5*表5_元件數量計算表!$H$7</f>
        <v>183.86999999999998</v>
      </c>
      <c r="E6" s="86">
        <f>$E$5*表5_元件數量計算表!$H$14</f>
        <v>5</v>
      </c>
      <c r="F6" s="86">
        <f>$F$5*表5_元件數量計算表!$H$20</f>
        <v>88.2</v>
      </c>
      <c r="G6" s="86">
        <f>$G$5*表5_元件數量計算表!$H$27</f>
        <v>7</v>
      </c>
      <c r="H6" s="86">
        <f>$H$5*表5_元件數量計算表!$H$33</f>
        <v>226.81</v>
      </c>
      <c r="I6" s="86">
        <f>$I$5*表5_元件數量計算表!$H$40</f>
        <v>6.9</v>
      </c>
      <c r="J6" s="86">
        <f>$J$5*表5_元件數量計算表!$H$46</f>
        <v>17.2</v>
      </c>
      <c r="K6" s="86"/>
      <c r="L6" s="50">
        <f>SUM(D6:K6)</f>
        <v>534.98</v>
      </c>
    </row>
    <row r="7" spans="1:12">
      <c r="A7" s="44">
        <f>A6+1</f>
        <v>2</v>
      </c>
      <c r="B7" s="52" t="s">
        <v>49</v>
      </c>
      <c r="C7" s="47" t="str">
        <f>VLOOKUP(B7,表5_元件數量計算表!$B$5:$I$54,8,)</f>
        <v>KG</v>
      </c>
      <c r="D7" s="86">
        <f>$D$5*表5_元件數量計算表!$H$8</f>
        <v>270</v>
      </c>
      <c r="E7" s="86">
        <f>$E$5*表5_元件數量計算表!$H$15</f>
        <v>29.45</v>
      </c>
      <c r="F7" s="86">
        <f>$F$5*表5_元件數量計算表!$H$21</f>
        <v>660.1</v>
      </c>
      <c r="G7" s="86">
        <f>$G$5*表5_元件數量計算表!$H$28</f>
        <v>40.78</v>
      </c>
      <c r="H7" s="86">
        <f>$H$5*表5_元件數量計算表!$H$34</f>
        <v>663.78000000000009</v>
      </c>
      <c r="I7" s="86">
        <f>$I$5*表5_元件數量計算表!$H$41</f>
        <v>69.44</v>
      </c>
      <c r="J7" s="86">
        <f>$J$5*表5_元件數量計算表!$H$47</f>
        <v>1240.1199999999999</v>
      </c>
      <c r="K7" s="86">
        <f>$K$5*表5_元件數量計算表!$H$52</f>
        <v>801.08999999999992</v>
      </c>
      <c r="L7" s="50">
        <f t="shared" ref="L7:L13" si="0">SUM(D7:K7)</f>
        <v>3774.76</v>
      </c>
    </row>
    <row r="8" spans="1:12">
      <c r="A8" s="44">
        <f t="shared" ref="A8:A13" si="1">A7+1</f>
        <v>3</v>
      </c>
      <c r="B8" s="45" t="s">
        <v>50</v>
      </c>
      <c r="C8" s="47" t="str">
        <f>VLOOKUP(B8,表5_元件數量計算表!$B$5:$I$54,8,)</f>
        <v>KG</v>
      </c>
      <c r="D8" s="86">
        <f>$D$5*表5_元件數量計算表!$H$9</f>
        <v>1512</v>
      </c>
      <c r="E8" s="86">
        <f>$E$5*表5_元件數量計算表!$H$16</f>
        <v>74.88</v>
      </c>
      <c r="F8" s="86">
        <f>$F$5*表5_元件數量計算表!$H$22</f>
        <v>1664.5</v>
      </c>
      <c r="G8" s="86">
        <f>$G$5*表5_元件數量計算表!$H$29</f>
        <v>104.83</v>
      </c>
      <c r="H8" s="86">
        <f>$H$5*表5_元件數量計算表!$H$35</f>
        <v>1389.35</v>
      </c>
      <c r="I8" s="86">
        <f>$I$5*表5_元件數量計算表!$H$42</f>
        <v>73.709999999999994</v>
      </c>
      <c r="J8" s="86"/>
      <c r="K8" s="86"/>
      <c r="L8" s="50">
        <f t="shared" si="0"/>
        <v>4819.2699999999995</v>
      </c>
    </row>
    <row r="9" spans="1:12">
      <c r="A9" s="44">
        <f t="shared" si="1"/>
        <v>4</v>
      </c>
      <c r="B9" s="45" t="s">
        <v>60</v>
      </c>
      <c r="C9" s="47" t="str">
        <f>VLOOKUP(B9,表5_元件數量計算表!$B$5:$I$54,8,)</f>
        <v>M3</v>
      </c>
      <c r="D9" s="86">
        <f>$D$5*表5_元件數量計算表!$H$10</f>
        <v>1107.54</v>
      </c>
      <c r="E9" s="86"/>
      <c r="F9" s="86">
        <f>$F$5*表5_元件數量計算表!$H$23</f>
        <v>4</v>
      </c>
      <c r="G9" s="86"/>
      <c r="H9" s="86">
        <f>$H$5*表5_元件數量計算表!$H$36</f>
        <v>5.1800000000000006</v>
      </c>
      <c r="I9" s="86"/>
      <c r="J9" s="86"/>
      <c r="K9" s="86"/>
      <c r="L9" s="50">
        <f t="shared" si="0"/>
        <v>1116.72</v>
      </c>
    </row>
    <row r="10" spans="1:12" ht="33">
      <c r="A10" s="44">
        <f t="shared" si="1"/>
        <v>5</v>
      </c>
      <c r="B10" s="118" t="s">
        <v>62</v>
      </c>
      <c r="C10" s="47" t="str">
        <f>VLOOKUP(B10,表5_元件數量計算表!$B$5:$I$54,8,)</f>
        <v>M3</v>
      </c>
      <c r="D10" s="86">
        <f>$D$5*表5_元件數量計算表!$H$11</f>
        <v>66.690000000000012</v>
      </c>
      <c r="E10" s="86">
        <f>$E$5*表5_元件數量計算表!$H$17</f>
        <v>1.25</v>
      </c>
      <c r="F10" s="86">
        <f>$F$5*表5_元件數量計算表!$H$24</f>
        <v>30.7</v>
      </c>
      <c r="G10" s="86">
        <f>$G$5*表5_元件數量計算表!$H$30</f>
        <v>1.75</v>
      </c>
      <c r="H10" s="86">
        <f>$H$5*表5_元件數量計算表!$H$37</f>
        <v>83.25</v>
      </c>
      <c r="I10" s="86">
        <f>$I$5*表5_元件數量計算表!$H$43</f>
        <v>1.72</v>
      </c>
      <c r="J10" s="86">
        <f>$J$5*表5_元件數量計算表!$H$48</f>
        <v>34.4</v>
      </c>
      <c r="K10" s="86">
        <f>$K$5*表5_元件數量計算表!$H$54</f>
        <v>9.4600000000000009</v>
      </c>
      <c r="L10" s="50">
        <f t="shared" si="0"/>
        <v>229.22000000000003</v>
      </c>
    </row>
    <row r="11" spans="1:12">
      <c r="A11" s="44">
        <f t="shared" si="1"/>
        <v>6</v>
      </c>
      <c r="B11" s="118" t="s">
        <v>125</v>
      </c>
      <c r="C11" s="47" t="str">
        <f>VLOOKUP(B11,表5_元件數量計算表!$B$5:$I$54,8,)</f>
        <v>M2</v>
      </c>
      <c r="D11" s="86"/>
      <c r="E11" s="86"/>
      <c r="F11" s="86"/>
      <c r="G11" s="86"/>
      <c r="H11" s="86"/>
      <c r="I11" s="86"/>
      <c r="J11" s="86"/>
      <c r="K11" s="86">
        <f>$K$5*表5_元件數量計算表!$H$51</f>
        <v>83.42</v>
      </c>
      <c r="L11" s="50">
        <f t="shared" si="0"/>
        <v>83.42</v>
      </c>
    </row>
    <row r="12" spans="1:12">
      <c r="A12" s="44">
        <f t="shared" si="1"/>
        <v>7</v>
      </c>
      <c r="B12" s="52" t="s">
        <v>126</v>
      </c>
      <c r="C12" s="47" t="str">
        <f>VLOOKUP(B12,表5_元件數量計算表!$B$5:$I$54,8,)</f>
        <v>M2</v>
      </c>
      <c r="D12" s="86"/>
      <c r="E12" s="86"/>
      <c r="F12" s="86"/>
      <c r="G12" s="86"/>
      <c r="H12" s="86"/>
      <c r="I12" s="86"/>
      <c r="J12" s="86"/>
      <c r="K12" s="86">
        <f>$K$5*表5_元件數量計算表!$H$53</f>
        <v>83.42</v>
      </c>
      <c r="L12" s="50">
        <f t="shared" si="0"/>
        <v>83.42</v>
      </c>
    </row>
    <row r="13" spans="1:12">
      <c r="A13" s="44">
        <f t="shared" si="1"/>
        <v>8</v>
      </c>
      <c r="B13" s="52"/>
      <c r="C13" s="47" t="e">
        <f>VLOOKUP(B13,表5_元件數量計算表!$B$5:$I$54,8,)</f>
        <v>#N/A</v>
      </c>
      <c r="D13" s="86"/>
      <c r="E13" s="86"/>
      <c r="F13" s="86"/>
      <c r="G13" s="86"/>
      <c r="H13" s="86"/>
      <c r="I13" s="86"/>
      <c r="J13" s="86"/>
      <c r="K13" s="86"/>
      <c r="L13" s="50">
        <f t="shared" si="0"/>
        <v>0</v>
      </c>
    </row>
  </sheetData>
  <mergeCells count="4">
    <mergeCell ref="A3:A5"/>
    <mergeCell ref="L4:L5"/>
    <mergeCell ref="B3:B5"/>
    <mergeCell ref="C3:C5"/>
  </mergeCells>
  <phoneticPr fontId="2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headerFooter alignWithMargins="0">
    <oddHeader>&amp;L110年度7月及8月豪雨左鎮區中正里牛港嶺農路(50-1號附近牛港嶺高枝14右11)災後復建工程&amp;C&amp;16
&amp;R臺南市政府農業局
工程數量計算表</oddHeader>
    <oddFooter>&amp;L&amp;"標楷體,標準"計算：&amp;C&amp;"標楷體,標準"表1-1&amp;R&amp;"標楷體,標準"松陽工程顧問有限公司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J55"/>
  <sheetViews>
    <sheetView view="pageBreakPreview" zoomScale="89" zoomScaleNormal="115" zoomScaleSheetLayoutView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C8" sqref="C8:F8"/>
    </sheetView>
  </sheetViews>
  <sheetFormatPr defaultColWidth="9" defaultRowHeight="16.5"/>
  <cols>
    <col min="1" max="1" width="4.625" style="83" customWidth="1"/>
    <col min="2" max="2" width="28.25" style="35" bestFit="1" customWidth="1"/>
    <col min="3" max="3" width="7" style="36" customWidth="1"/>
    <col min="4" max="4" width="5.75" style="37" customWidth="1"/>
    <col min="5" max="5" width="6.75" style="37" customWidth="1"/>
    <col min="6" max="6" width="21.875" style="38" customWidth="1"/>
    <col min="7" max="7" width="2.375" style="39" customWidth="1"/>
    <col min="8" max="8" width="10.625" style="40" customWidth="1"/>
    <col min="9" max="9" width="4" style="121" customWidth="1"/>
    <col min="10" max="16384" width="9" style="25"/>
  </cols>
  <sheetData>
    <row r="1" spans="1:10" s="23" customFormat="1" ht="16.5" customHeight="1">
      <c r="A1" s="153" t="str">
        <f>數量計算總表!A1</f>
        <v>OOO單位</v>
      </c>
      <c r="B1" s="154"/>
      <c r="C1" s="155"/>
      <c r="D1" s="156"/>
      <c r="E1" s="157"/>
      <c r="F1" s="158"/>
      <c r="G1" s="159"/>
      <c r="H1" s="160"/>
      <c r="I1" s="161"/>
    </row>
    <row r="2" spans="1:10" s="24" customFormat="1" ht="15.75">
      <c r="A2" s="162"/>
      <c r="B2" s="163"/>
      <c r="C2" s="164"/>
      <c r="D2" s="165"/>
      <c r="E2" s="166"/>
      <c r="F2" s="167"/>
      <c r="G2" s="168"/>
      <c r="H2" s="169"/>
      <c r="I2" s="170"/>
    </row>
    <row r="3" spans="1:10" ht="24.95" customHeight="1">
      <c r="A3" s="171" t="s">
        <v>12</v>
      </c>
      <c r="B3" s="172"/>
      <c r="C3" s="172"/>
      <c r="D3" s="172"/>
      <c r="E3" s="172"/>
      <c r="F3" s="172"/>
      <c r="G3" s="172"/>
      <c r="H3" s="172"/>
      <c r="I3" s="172"/>
    </row>
    <row r="4" spans="1:10" s="10" customFormat="1" ht="24.95" customHeight="1">
      <c r="A4" s="133" t="str">
        <f>數量計算總表!A4</f>
        <v>工程名稱:OOOO工程</v>
      </c>
      <c r="B4" s="133"/>
      <c r="C4" s="133"/>
      <c r="D4" s="133"/>
      <c r="E4" s="133"/>
      <c r="F4" s="133"/>
      <c r="G4" s="133"/>
      <c r="H4" s="133"/>
      <c r="I4" s="133"/>
    </row>
    <row r="5" spans="1:10" s="28" customFormat="1" ht="17.45" customHeight="1">
      <c r="A5" s="26" t="s">
        <v>0</v>
      </c>
      <c r="B5" s="87" t="s">
        <v>1</v>
      </c>
      <c r="C5" s="173" t="s">
        <v>2</v>
      </c>
      <c r="D5" s="174"/>
      <c r="E5" s="174"/>
      <c r="F5" s="175"/>
      <c r="G5" s="26"/>
      <c r="H5" s="27" t="s">
        <v>16</v>
      </c>
      <c r="I5" s="27" t="s">
        <v>5</v>
      </c>
      <c r="J5" s="25" t="s">
        <v>117</v>
      </c>
    </row>
    <row r="6" spans="1:10" s="131" customFormat="1" ht="17.45" customHeight="1">
      <c r="A6" s="127">
        <v>1</v>
      </c>
      <c r="B6" s="128" t="s">
        <v>111</v>
      </c>
      <c r="C6" s="176" t="s">
        <v>24</v>
      </c>
      <c r="D6" s="177"/>
      <c r="E6" s="177"/>
      <c r="F6" s="178"/>
      <c r="G6" s="129"/>
      <c r="H6" s="130"/>
      <c r="I6" s="129" t="s">
        <v>83</v>
      </c>
      <c r="J6" s="130"/>
    </row>
    <row r="7" spans="1:10" ht="17.45" customHeight="1">
      <c r="A7" s="32" t="s">
        <v>17</v>
      </c>
      <c r="B7" s="89" t="s">
        <v>119</v>
      </c>
      <c r="C7" s="144">
        <v>6.81</v>
      </c>
      <c r="D7" s="145"/>
      <c r="E7" s="145"/>
      <c r="F7" s="146"/>
      <c r="G7" s="33" t="s">
        <v>11</v>
      </c>
      <c r="H7" s="34" cm="1">
        <f t="array" ref="H7">IF(ISBLANK(C7),"",IFERROR(eValue(C7),IF(ISBLANK(J7),"",J7)))</f>
        <v>6.81</v>
      </c>
      <c r="I7" s="33" t="s">
        <v>20</v>
      </c>
    </row>
    <row r="8" spans="1:10" ht="17.45" customHeight="1">
      <c r="A8" s="32" t="s">
        <v>18</v>
      </c>
      <c r="B8" s="89" t="s">
        <v>74</v>
      </c>
      <c r="C8" s="138" t="s">
        <v>120</v>
      </c>
      <c r="D8" s="139"/>
      <c r="E8" s="139"/>
      <c r="F8" s="140"/>
      <c r="G8" s="33" t="s">
        <v>11</v>
      </c>
      <c r="H8" s="34" cm="1">
        <f t="array" ref="H8">IF(ISBLANK(C8),"",IFERROR(eValue(C8),IF(ISBLANK(J8),"",J8)))</f>
        <v>10</v>
      </c>
      <c r="I8" s="33" t="s">
        <v>19</v>
      </c>
      <c r="J8" s="25">
        <v>10</v>
      </c>
    </row>
    <row r="9" spans="1:10" ht="17.45" customHeight="1">
      <c r="A9" s="32" t="s">
        <v>14</v>
      </c>
      <c r="B9" s="89" t="s">
        <v>50</v>
      </c>
      <c r="C9" s="138" t="s">
        <v>121</v>
      </c>
      <c r="D9" s="139"/>
      <c r="E9" s="139"/>
      <c r="F9" s="140"/>
      <c r="G9" s="33" t="s">
        <v>11</v>
      </c>
      <c r="H9" s="34" cm="1">
        <f t="array" ref="H9">IF(ISBLANK(C9),"",IFERROR(eValue(C9),IF(ISBLANK(J9),"",J9)))</f>
        <v>56</v>
      </c>
      <c r="I9" s="33" t="s">
        <v>19</v>
      </c>
    </row>
    <row r="10" spans="1:10" ht="29.25" customHeight="1">
      <c r="A10" s="32" t="s">
        <v>15</v>
      </c>
      <c r="B10" s="89" t="s">
        <v>60</v>
      </c>
      <c r="C10" s="138" t="s">
        <v>122</v>
      </c>
      <c r="D10" s="139"/>
      <c r="E10" s="139"/>
      <c r="F10" s="140"/>
      <c r="G10" s="33" t="s">
        <v>11</v>
      </c>
      <c r="H10" s="34" cm="1">
        <f t="array" ref="H10">IF(ISBLANK(C10),"",IFERROR(eValue(C10),IF(ISBLANK(J10),"",J10)))</f>
        <v>41.019999999999996</v>
      </c>
      <c r="I10" s="33" t="s">
        <v>21</v>
      </c>
    </row>
    <row r="11" spans="1:10" ht="29.25" customHeight="1">
      <c r="A11" s="32" t="s">
        <v>22</v>
      </c>
      <c r="B11" s="89" t="s">
        <v>62</v>
      </c>
      <c r="C11" s="138">
        <v>2.4700000000000002</v>
      </c>
      <c r="D11" s="139"/>
      <c r="E11" s="139"/>
      <c r="F11" s="140"/>
      <c r="G11" s="33" t="s">
        <v>11</v>
      </c>
      <c r="H11" s="34" cm="1">
        <f t="array" ref="H11">IF(ISBLANK(C11),"",IFERROR(eValue(C11),IF(ISBLANK(J11),"",J11)))</f>
        <v>2.4700000000000002</v>
      </c>
      <c r="I11" s="33" t="s">
        <v>21</v>
      </c>
    </row>
    <row r="12" spans="1:10" ht="29.25" customHeight="1">
      <c r="A12" s="123"/>
      <c r="B12" s="106"/>
      <c r="C12" s="124"/>
      <c r="D12" s="124"/>
      <c r="E12" s="124"/>
      <c r="F12" s="124"/>
      <c r="G12" s="125"/>
      <c r="H12" s="126"/>
    </row>
    <row r="13" spans="1:10" s="131" customFormat="1" ht="17.45" customHeight="1">
      <c r="A13" s="127">
        <v>2</v>
      </c>
      <c r="B13" s="128" t="s">
        <v>116</v>
      </c>
      <c r="C13" s="176" t="s">
        <v>47</v>
      </c>
      <c r="D13" s="177"/>
      <c r="E13" s="177"/>
      <c r="F13" s="178"/>
      <c r="G13" s="129"/>
      <c r="H13" s="130" t="str" cm="1">
        <f t="array" ref="H13">IF(ISBLANK(C13),"",IFERROR(eValue(C13),IF(ISBLANK(J13),"",J13)))</f>
        <v/>
      </c>
      <c r="I13" s="129" t="s">
        <v>118</v>
      </c>
    </row>
    <row r="14" spans="1:10" ht="17.45" customHeight="1">
      <c r="A14" s="32" t="s">
        <v>17</v>
      </c>
      <c r="B14" s="89" t="s">
        <v>44</v>
      </c>
      <c r="C14" s="144">
        <v>5</v>
      </c>
      <c r="D14" s="145"/>
      <c r="E14" s="145"/>
      <c r="F14" s="146"/>
      <c r="G14" s="33" t="s">
        <v>11</v>
      </c>
      <c r="H14" s="34" cm="1">
        <f t="array" ref="H14">IF(ISBLANK(C14),"",IFERROR(eValue(C14),IF(ISBLANK(J14),"",J14)))</f>
        <v>5</v>
      </c>
      <c r="I14" s="33" t="s">
        <v>20</v>
      </c>
    </row>
    <row r="15" spans="1:10" ht="17.45" customHeight="1">
      <c r="A15" s="32" t="s">
        <v>18</v>
      </c>
      <c r="B15" s="89" t="s">
        <v>49</v>
      </c>
      <c r="C15" s="138">
        <v>29.45</v>
      </c>
      <c r="D15" s="139"/>
      <c r="E15" s="139"/>
      <c r="F15" s="140"/>
      <c r="G15" s="33" t="s">
        <v>11</v>
      </c>
      <c r="H15" s="34" cm="1">
        <f t="array" ref="H15">IF(ISBLANK(C15),"",IFERROR(eValue(C15),IF(ISBLANK(J15),"",J15)))</f>
        <v>29.45</v>
      </c>
      <c r="I15" s="33" t="s">
        <v>19</v>
      </c>
    </row>
    <row r="16" spans="1:10" ht="17.45" customHeight="1">
      <c r="A16" s="32" t="s">
        <v>14</v>
      </c>
      <c r="B16" s="89" t="s">
        <v>50</v>
      </c>
      <c r="C16" s="138">
        <v>74.88</v>
      </c>
      <c r="D16" s="139"/>
      <c r="E16" s="139"/>
      <c r="F16" s="140"/>
      <c r="G16" s="33" t="s">
        <v>11</v>
      </c>
      <c r="H16" s="34" cm="1">
        <f t="array" ref="H16">IF(ISBLANK(C16),"",IFERROR(eValue(C16),IF(ISBLANK(J16),"",J16)))</f>
        <v>74.88</v>
      </c>
      <c r="I16" s="33" t="s">
        <v>19</v>
      </c>
    </row>
    <row r="17" spans="1:9" ht="29.25" customHeight="1">
      <c r="A17" s="32" t="s">
        <v>15</v>
      </c>
      <c r="B17" s="89" t="s">
        <v>62</v>
      </c>
      <c r="C17" s="150">
        <v>1.25</v>
      </c>
      <c r="D17" s="151"/>
      <c r="E17" s="151"/>
      <c r="F17" s="152"/>
      <c r="G17" s="33" t="s">
        <v>11</v>
      </c>
      <c r="H17" s="34" cm="1">
        <f t="array" ref="H17">IF(ISBLANK(C17),"",IFERROR(eValue(C17),IF(ISBLANK(J17),"",J17)))</f>
        <v>1.25</v>
      </c>
      <c r="I17" s="33" t="s">
        <v>21</v>
      </c>
    </row>
    <row r="18" spans="1:9" ht="17.45" customHeight="1">
      <c r="A18" s="10"/>
      <c r="B18" s="106"/>
      <c r="H18" s="40" t="str" cm="1">
        <f t="array" ref="H18">IF(ISBLANK(C18),"",IFERROR(eValue(C18),IF(ISBLANK(J18),"",J18)))</f>
        <v/>
      </c>
    </row>
    <row r="19" spans="1:9" ht="17.45" customHeight="1">
      <c r="A19" s="29">
        <v>3</v>
      </c>
      <c r="B19" s="88" t="s">
        <v>112</v>
      </c>
      <c r="C19" s="141" t="s">
        <v>24</v>
      </c>
      <c r="D19" s="142"/>
      <c r="E19" s="142"/>
      <c r="F19" s="143"/>
      <c r="G19" s="30"/>
      <c r="H19" s="31" t="str" cm="1">
        <f t="array" ref="H19">IF(ISBLANK(C19),"",IFERROR(eValue(C19),IF(ISBLANK(J19),"",J19)))</f>
        <v/>
      </c>
      <c r="I19" s="30" t="s">
        <v>83</v>
      </c>
    </row>
    <row r="20" spans="1:9" ht="17.45" customHeight="1">
      <c r="A20" s="32" t="s">
        <v>17</v>
      </c>
      <c r="B20" s="89" t="s">
        <v>44</v>
      </c>
      <c r="C20" s="144">
        <v>8.82</v>
      </c>
      <c r="D20" s="145"/>
      <c r="E20" s="145"/>
      <c r="F20" s="146"/>
      <c r="G20" s="33" t="s">
        <v>11</v>
      </c>
      <c r="H20" s="34" cm="1">
        <f t="array" ref="H20">IF(ISBLANK(C20),"",IFERROR(eValue(C20),IF(ISBLANK(J20),"",J20)))</f>
        <v>8.82</v>
      </c>
      <c r="I20" s="33" t="s">
        <v>20</v>
      </c>
    </row>
    <row r="21" spans="1:9" ht="17.45" customHeight="1">
      <c r="A21" s="32" t="s">
        <v>18</v>
      </c>
      <c r="B21" s="89" t="s">
        <v>49</v>
      </c>
      <c r="C21" s="138">
        <v>66.010000000000005</v>
      </c>
      <c r="D21" s="139"/>
      <c r="E21" s="139"/>
      <c r="F21" s="140"/>
      <c r="G21" s="33" t="s">
        <v>11</v>
      </c>
      <c r="H21" s="34" cm="1">
        <f t="array" ref="H21">IF(ISBLANK(C21),"",IFERROR(eValue(C21),IF(ISBLANK(J21),"",J21)))</f>
        <v>66.010000000000005</v>
      </c>
      <c r="I21" s="33" t="s">
        <v>19</v>
      </c>
    </row>
    <row r="22" spans="1:9" ht="17.45" customHeight="1">
      <c r="A22" s="32" t="s">
        <v>14</v>
      </c>
      <c r="B22" s="89" t="s">
        <v>50</v>
      </c>
      <c r="C22" s="138">
        <v>166.45</v>
      </c>
      <c r="D22" s="139"/>
      <c r="E22" s="139"/>
      <c r="F22" s="140"/>
      <c r="G22" s="33" t="s">
        <v>11</v>
      </c>
      <c r="H22" s="34" cm="1">
        <f t="array" ref="H22">IF(ISBLANK(C22),"",IFERROR(eValue(C22),IF(ISBLANK(J22),"",J22)))</f>
        <v>166.45</v>
      </c>
      <c r="I22" s="33" t="s">
        <v>19</v>
      </c>
    </row>
    <row r="23" spans="1:9" ht="29.25" customHeight="1">
      <c r="A23" s="32" t="s">
        <v>15</v>
      </c>
      <c r="B23" s="89" t="s">
        <v>60</v>
      </c>
      <c r="C23" s="138">
        <v>0.4</v>
      </c>
      <c r="D23" s="139"/>
      <c r="E23" s="139"/>
      <c r="F23" s="140"/>
      <c r="G23" s="33" t="s">
        <v>11</v>
      </c>
      <c r="H23" s="34" cm="1">
        <f t="array" ref="H23">IF(ISBLANK(C23),"",IFERROR(eValue(C23),IF(ISBLANK(J23),"",J23)))</f>
        <v>0.4</v>
      </c>
      <c r="I23" s="33" t="s">
        <v>21</v>
      </c>
    </row>
    <row r="24" spans="1:9" ht="29.25" customHeight="1">
      <c r="A24" s="32" t="s">
        <v>22</v>
      </c>
      <c r="B24" s="89" t="s">
        <v>62</v>
      </c>
      <c r="C24" s="138">
        <v>3.07</v>
      </c>
      <c r="D24" s="139"/>
      <c r="E24" s="139"/>
      <c r="F24" s="140"/>
      <c r="G24" s="33" t="s">
        <v>11</v>
      </c>
      <c r="H24" s="34" cm="1">
        <f t="array" ref="H24">IF(ISBLANK(C24),"",IFERROR(eValue(C24),IF(ISBLANK(J24),"",J24)))</f>
        <v>3.07</v>
      </c>
      <c r="I24" s="33" t="s">
        <v>21</v>
      </c>
    </row>
    <row r="25" spans="1:9" ht="17.45" customHeight="1">
      <c r="A25" s="10"/>
      <c r="B25" s="106"/>
      <c r="H25" s="40" t="str" cm="1">
        <f t="array" ref="H25">IF(ISBLANK(C25),"",IFERROR(eValue(C25),IF(ISBLANK(J25),"",J25)))</f>
        <v/>
      </c>
    </row>
    <row r="26" spans="1:9" ht="17.45" customHeight="1">
      <c r="A26" s="29">
        <v>4</v>
      </c>
      <c r="B26" s="88" t="s">
        <v>115</v>
      </c>
      <c r="C26" s="141" t="s">
        <v>47</v>
      </c>
      <c r="D26" s="142"/>
      <c r="E26" s="142"/>
      <c r="F26" s="143"/>
      <c r="G26" s="30"/>
      <c r="H26" s="31" t="str" cm="1">
        <f t="array" ref="H26">IF(ISBLANK(C26),"",IFERROR(eValue(C26),IF(ISBLANK(J26),"",J26)))</f>
        <v/>
      </c>
      <c r="I26" s="30" t="s">
        <v>118</v>
      </c>
    </row>
    <row r="27" spans="1:9" ht="17.45" customHeight="1">
      <c r="A27" s="32" t="s">
        <v>17</v>
      </c>
      <c r="B27" s="89" t="s">
        <v>44</v>
      </c>
      <c r="C27" s="144">
        <v>7</v>
      </c>
      <c r="D27" s="145"/>
      <c r="E27" s="145"/>
      <c r="F27" s="146"/>
      <c r="G27" s="33" t="s">
        <v>11</v>
      </c>
      <c r="H27" s="34" cm="1">
        <f t="array" ref="H27">IF(ISBLANK(C27),"",IFERROR(eValue(C27),IF(ISBLANK(J27),"",J27)))</f>
        <v>7</v>
      </c>
      <c r="I27" s="33" t="s">
        <v>20</v>
      </c>
    </row>
    <row r="28" spans="1:9" ht="17.45" customHeight="1">
      <c r="A28" s="32" t="s">
        <v>18</v>
      </c>
      <c r="B28" s="89" t="s">
        <v>49</v>
      </c>
      <c r="C28" s="138">
        <v>40.78</v>
      </c>
      <c r="D28" s="139"/>
      <c r="E28" s="139"/>
      <c r="F28" s="140"/>
      <c r="G28" s="33" t="s">
        <v>11</v>
      </c>
      <c r="H28" s="34" cm="1">
        <f t="array" ref="H28">IF(ISBLANK(C28),"",IFERROR(eValue(C28),IF(ISBLANK(J28),"",J28)))</f>
        <v>40.78</v>
      </c>
      <c r="I28" s="33" t="s">
        <v>19</v>
      </c>
    </row>
    <row r="29" spans="1:9" ht="17.45" customHeight="1">
      <c r="A29" s="32" t="s">
        <v>14</v>
      </c>
      <c r="B29" s="89" t="s">
        <v>50</v>
      </c>
      <c r="C29" s="138">
        <v>104.83</v>
      </c>
      <c r="D29" s="139"/>
      <c r="E29" s="139"/>
      <c r="F29" s="140"/>
      <c r="G29" s="33" t="s">
        <v>11</v>
      </c>
      <c r="H29" s="34" cm="1">
        <f t="array" ref="H29">IF(ISBLANK(C29),"",IFERROR(eValue(C29),IF(ISBLANK(J29),"",J29)))</f>
        <v>104.83</v>
      </c>
      <c r="I29" s="33" t="s">
        <v>19</v>
      </c>
    </row>
    <row r="30" spans="1:9" ht="29.25" customHeight="1">
      <c r="A30" s="32" t="s">
        <v>15</v>
      </c>
      <c r="B30" s="89" t="s">
        <v>62</v>
      </c>
      <c r="C30" s="150">
        <v>1.75</v>
      </c>
      <c r="D30" s="151"/>
      <c r="E30" s="151"/>
      <c r="F30" s="152"/>
      <c r="G30" s="33" t="s">
        <v>11</v>
      </c>
      <c r="H30" s="34" cm="1">
        <f t="array" ref="H30">IF(ISBLANK(C30),"",IFERROR(eValue(C30),IF(ISBLANK(J30),"",J30)))</f>
        <v>1.75</v>
      </c>
      <c r="I30" s="33" t="s">
        <v>21</v>
      </c>
    </row>
    <row r="31" spans="1:9" ht="17.45" customHeight="1">
      <c r="A31" s="10"/>
      <c r="B31" s="106"/>
      <c r="H31" s="40" t="str" cm="1">
        <f t="array" ref="H31">IF(ISBLANK(C31),"",IFERROR(eValue(C31),IF(ISBLANK(J31),"",J31)))</f>
        <v/>
      </c>
    </row>
    <row r="32" spans="1:9" ht="17.45" customHeight="1">
      <c r="A32" s="29">
        <v>5</v>
      </c>
      <c r="B32" s="88" t="s">
        <v>113</v>
      </c>
      <c r="C32" s="141" t="s">
        <v>24</v>
      </c>
      <c r="D32" s="142"/>
      <c r="E32" s="142"/>
      <c r="F32" s="143"/>
      <c r="G32" s="30"/>
      <c r="H32" s="31" t="str" cm="1">
        <f t="array" ref="H32">IF(ISBLANK(C32),"",IFERROR(eValue(C32),IF(ISBLANK(J32),"",J32)))</f>
        <v/>
      </c>
      <c r="I32" s="30" t="s">
        <v>83</v>
      </c>
    </row>
    <row r="33" spans="1:9" ht="17.45" customHeight="1">
      <c r="A33" s="32" t="s">
        <v>17</v>
      </c>
      <c r="B33" s="89" t="s">
        <v>44</v>
      </c>
      <c r="C33" s="144">
        <v>6.13</v>
      </c>
      <c r="D33" s="145"/>
      <c r="E33" s="145"/>
      <c r="F33" s="146"/>
      <c r="G33" s="33" t="s">
        <v>11</v>
      </c>
      <c r="H33" s="34" cm="1">
        <f t="array" ref="H33">IF(ISBLANK(C33),"",IFERROR(eValue(C33),IF(ISBLANK(J33),"",J33)))</f>
        <v>6.13</v>
      </c>
      <c r="I33" s="33" t="s">
        <v>20</v>
      </c>
    </row>
    <row r="34" spans="1:9" ht="17.45" customHeight="1">
      <c r="A34" s="32" t="s">
        <v>18</v>
      </c>
      <c r="B34" s="89" t="s">
        <v>49</v>
      </c>
      <c r="C34" s="138">
        <v>17.940000000000001</v>
      </c>
      <c r="D34" s="139"/>
      <c r="E34" s="139"/>
      <c r="F34" s="140"/>
      <c r="G34" s="33" t="s">
        <v>11</v>
      </c>
      <c r="H34" s="34" cm="1">
        <f t="array" ref="H34">IF(ISBLANK(C34),"",IFERROR(eValue(C34),IF(ISBLANK(J34),"",J34)))</f>
        <v>17.940000000000001</v>
      </c>
      <c r="I34" s="33" t="s">
        <v>19</v>
      </c>
    </row>
    <row r="35" spans="1:9" ht="17.45" customHeight="1">
      <c r="A35" s="32" t="s">
        <v>14</v>
      </c>
      <c r="B35" s="89" t="s">
        <v>50</v>
      </c>
      <c r="C35" s="138">
        <v>37.549999999999997</v>
      </c>
      <c r="D35" s="139"/>
      <c r="E35" s="139"/>
      <c r="F35" s="140"/>
      <c r="G35" s="33" t="s">
        <v>11</v>
      </c>
      <c r="H35" s="34" cm="1">
        <f t="array" ref="H35">IF(ISBLANK(C35),"",IFERROR(eValue(C35),IF(ISBLANK(J35),"",J35)))</f>
        <v>37.549999999999997</v>
      </c>
      <c r="I35" s="33" t="s">
        <v>19</v>
      </c>
    </row>
    <row r="36" spans="1:9" ht="29.25" customHeight="1">
      <c r="A36" s="32" t="s">
        <v>15</v>
      </c>
      <c r="B36" s="89" t="s">
        <v>60</v>
      </c>
      <c r="C36" s="138">
        <v>0.14000000000000001</v>
      </c>
      <c r="D36" s="139"/>
      <c r="E36" s="139"/>
      <c r="F36" s="140"/>
      <c r="G36" s="33" t="s">
        <v>11</v>
      </c>
      <c r="H36" s="34" cm="1">
        <f t="array" ref="H36">IF(ISBLANK(C36),"",IFERROR(eValue(C36),IF(ISBLANK(J36),"",J36)))</f>
        <v>0.14000000000000001</v>
      </c>
      <c r="I36" s="33" t="s">
        <v>21</v>
      </c>
    </row>
    <row r="37" spans="1:9" ht="29.25" customHeight="1">
      <c r="A37" s="32" t="s">
        <v>22</v>
      </c>
      <c r="B37" s="89" t="s">
        <v>62</v>
      </c>
      <c r="C37" s="138">
        <v>2.25</v>
      </c>
      <c r="D37" s="139"/>
      <c r="E37" s="139"/>
      <c r="F37" s="140"/>
      <c r="G37" s="33" t="s">
        <v>11</v>
      </c>
      <c r="H37" s="34" cm="1">
        <f t="array" ref="H37">IF(ISBLANK(C37),"",IFERROR(eValue(C37),IF(ISBLANK(J37),"",J37)))</f>
        <v>2.25</v>
      </c>
      <c r="I37" s="33" t="s">
        <v>21</v>
      </c>
    </row>
    <row r="38" spans="1:9" ht="17.45" customHeight="1">
      <c r="A38" s="10"/>
      <c r="B38" s="106"/>
      <c r="H38" s="40" t="str" cm="1">
        <f t="array" ref="H38">IF(ISBLANK(C38),"",IFERROR(eValue(C38),IF(ISBLANK(J38),"",J38)))</f>
        <v/>
      </c>
    </row>
    <row r="39" spans="1:9" ht="17.45" customHeight="1">
      <c r="A39" s="29">
        <v>6</v>
      </c>
      <c r="B39" s="88" t="s">
        <v>114</v>
      </c>
      <c r="C39" s="141" t="s">
        <v>47</v>
      </c>
      <c r="D39" s="142"/>
      <c r="E39" s="142"/>
      <c r="F39" s="143"/>
      <c r="G39" s="30"/>
      <c r="H39" s="31" t="str" cm="1">
        <f t="array" ref="H39">IF(ISBLANK(C39),"",IFERROR(eValue(C39),IF(ISBLANK(J39),"",J39)))</f>
        <v/>
      </c>
      <c r="I39" s="30" t="s">
        <v>118</v>
      </c>
    </row>
    <row r="40" spans="1:9" ht="17.45" customHeight="1">
      <c r="A40" s="32" t="s">
        <v>17</v>
      </c>
      <c r="B40" s="89" t="s">
        <v>44</v>
      </c>
      <c r="C40" s="144">
        <v>6.9</v>
      </c>
      <c r="D40" s="145"/>
      <c r="E40" s="145"/>
      <c r="F40" s="146"/>
      <c r="G40" s="33" t="s">
        <v>11</v>
      </c>
      <c r="H40" s="34" cm="1">
        <f t="array" ref="H40">IF(ISBLANK(C40),"",IFERROR(eValue(C40),IF(ISBLANK(J40),"",J40)))</f>
        <v>6.9</v>
      </c>
      <c r="I40" s="33" t="s">
        <v>20</v>
      </c>
    </row>
    <row r="41" spans="1:9" ht="17.45" customHeight="1">
      <c r="A41" s="32" t="s">
        <v>18</v>
      </c>
      <c r="B41" s="89" t="s">
        <v>49</v>
      </c>
      <c r="C41" s="138">
        <v>69.44</v>
      </c>
      <c r="D41" s="139"/>
      <c r="E41" s="139"/>
      <c r="F41" s="140"/>
      <c r="G41" s="33" t="s">
        <v>11</v>
      </c>
      <c r="H41" s="34" cm="1">
        <f t="array" ref="H41">IF(ISBLANK(C41),"",IFERROR(eValue(C41),IF(ISBLANK(J41),"",J41)))</f>
        <v>69.44</v>
      </c>
      <c r="I41" s="33" t="s">
        <v>19</v>
      </c>
    </row>
    <row r="42" spans="1:9" ht="17.45" customHeight="1">
      <c r="A42" s="32" t="s">
        <v>14</v>
      </c>
      <c r="B42" s="89" t="s">
        <v>50</v>
      </c>
      <c r="C42" s="138">
        <v>73.709999999999994</v>
      </c>
      <c r="D42" s="139"/>
      <c r="E42" s="139"/>
      <c r="F42" s="140"/>
      <c r="G42" s="33" t="s">
        <v>11</v>
      </c>
      <c r="H42" s="34" cm="1">
        <f t="array" ref="H42">IF(ISBLANK(C42),"",IFERROR(eValue(C42),IF(ISBLANK(J42),"",J42)))</f>
        <v>73.709999999999994</v>
      </c>
      <c r="I42" s="33" t="s">
        <v>19</v>
      </c>
    </row>
    <row r="43" spans="1:9" ht="29.25" customHeight="1">
      <c r="A43" s="32" t="s">
        <v>15</v>
      </c>
      <c r="B43" s="89" t="s">
        <v>62</v>
      </c>
      <c r="C43" s="150">
        <v>1.72</v>
      </c>
      <c r="D43" s="151"/>
      <c r="E43" s="151"/>
      <c r="F43" s="152"/>
      <c r="G43" s="33" t="s">
        <v>11</v>
      </c>
      <c r="H43" s="34" cm="1">
        <f t="array" ref="H43">IF(ISBLANK(C43),"",IFERROR(eValue(C43),IF(ISBLANK(J43),"",J43)))</f>
        <v>1.72</v>
      </c>
      <c r="I43" s="33" t="s">
        <v>21</v>
      </c>
    </row>
    <row r="44" spans="1:9" ht="17.45" customHeight="1">
      <c r="A44" s="10"/>
      <c r="B44" s="106"/>
      <c r="H44" s="40" t="str" cm="1">
        <f t="array" ref="H44">IF(ISBLANK(C44),"",IFERROR(eValue(C44),IF(ISBLANK(J44),"",J44)))</f>
        <v/>
      </c>
    </row>
    <row r="45" spans="1:9" ht="17.45" customHeight="1">
      <c r="A45" s="29">
        <v>7</v>
      </c>
      <c r="B45" s="88" t="s">
        <v>86</v>
      </c>
      <c r="C45" s="141" t="s">
        <v>24</v>
      </c>
      <c r="D45" s="142"/>
      <c r="E45" s="142"/>
      <c r="F45" s="143"/>
      <c r="G45" s="30"/>
      <c r="H45" s="31" t="str" cm="1">
        <f t="array" ref="H45">IF(ISBLANK(C45),"",IFERROR(eValue(C45),IF(ISBLANK(J45),"",J45)))</f>
        <v/>
      </c>
      <c r="I45" s="30" t="s">
        <v>83</v>
      </c>
    </row>
    <row r="46" spans="1:9" ht="17.45" customHeight="1">
      <c r="A46" s="32" t="s">
        <v>17</v>
      </c>
      <c r="B46" s="89" t="s">
        <v>44</v>
      </c>
      <c r="C46" s="147">
        <v>0.4</v>
      </c>
      <c r="D46" s="148"/>
      <c r="E46" s="148"/>
      <c r="F46" s="149"/>
      <c r="G46" s="33" t="s">
        <v>11</v>
      </c>
      <c r="H46" s="34" cm="1">
        <f t="array" ref="H46">IF(ISBLANK(C46),"",IFERROR(eValue(C46),IF(ISBLANK(J46),"",J46)))</f>
        <v>0.4</v>
      </c>
      <c r="I46" s="33" t="s">
        <v>20</v>
      </c>
    </row>
    <row r="47" spans="1:9" ht="17.45" customHeight="1">
      <c r="A47" s="32" t="s">
        <v>18</v>
      </c>
      <c r="B47" s="89" t="s">
        <v>49</v>
      </c>
      <c r="C47" s="138">
        <v>28.84</v>
      </c>
      <c r="D47" s="139"/>
      <c r="E47" s="139"/>
      <c r="F47" s="140"/>
      <c r="G47" s="33" t="s">
        <v>11</v>
      </c>
      <c r="H47" s="34" cm="1">
        <f t="array" ref="H47">IF(ISBLANK(C47),"",IFERROR(eValue(C47),IF(ISBLANK(J47),"",J47)))</f>
        <v>28.84</v>
      </c>
      <c r="I47" s="33" t="s">
        <v>19</v>
      </c>
    </row>
    <row r="48" spans="1:9" ht="29.25" customHeight="1">
      <c r="A48" s="32" t="s">
        <v>14</v>
      </c>
      <c r="B48" s="89" t="s">
        <v>62</v>
      </c>
      <c r="C48" s="150">
        <v>0.8</v>
      </c>
      <c r="D48" s="151"/>
      <c r="E48" s="151"/>
      <c r="F48" s="152"/>
      <c r="G48" s="33" t="s">
        <v>11</v>
      </c>
      <c r="H48" s="34" cm="1">
        <f t="array" ref="H48">IF(ISBLANK(C48),"",IFERROR(eValue(C48),IF(ISBLANK(J48),"",J48)))</f>
        <v>0.8</v>
      </c>
      <c r="I48" s="33" t="s">
        <v>21</v>
      </c>
    </row>
    <row r="49" spans="1:9" ht="17.45" customHeight="1">
      <c r="A49" s="10"/>
      <c r="B49" s="106"/>
      <c r="H49" s="40" t="str" cm="1">
        <f t="array" ref="H49">IF(ISBLANK(C49),"",IFERROR(eValue(C49),IF(ISBLANK(J49),"",J49)))</f>
        <v/>
      </c>
    </row>
    <row r="50" spans="1:9" ht="17.45" customHeight="1">
      <c r="A50" s="29">
        <v>8</v>
      </c>
      <c r="B50" s="88" t="s">
        <v>58</v>
      </c>
      <c r="C50" s="141" t="s">
        <v>24</v>
      </c>
      <c r="D50" s="142"/>
      <c r="E50" s="142"/>
      <c r="F50" s="143"/>
      <c r="G50" s="30"/>
      <c r="H50" s="31" t="str" cm="1">
        <f t="array" ref="H50">IF(ISBLANK(C50),"",IFERROR(eValue(C50),IF(ISBLANK(J50),"",J50)))</f>
        <v/>
      </c>
      <c r="I50" s="30" t="s">
        <v>83</v>
      </c>
    </row>
    <row r="51" spans="1:9" ht="17.45" customHeight="1">
      <c r="A51" s="32" t="s">
        <v>17</v>
      </c>
      <c r="B51" s="89" t="s">
        <v>84</v>
      </c>
      <c r="C51" s="144">
        <v>1.94</v>
      </c>
      <c r="D51" s="145"/>
      <c r="E51" s="145"/>
      <c r="F51" s="146"/>
      <c r="G51" s="33" t="s">
        <v>11</v>
      </c>
      <c r="H51" s="34" cm="1">
        <f t="array" ref="H51">IF(ISBLANK(C51),"",IFERROR(eValue(C51),IF(ISBLANK(J51),"",J51)))</f>
        <v>1.94</v>
      </c>
      <c r="I51" s="33" t="s">
        <v>20</v>
      </c>
    </row>
    <row r="52" spans="1:9" ht="17.45" customHeight="1">
      <c r="A52" s="32" t="s">
        <v>79</v>
      </c>
      <c r="B52" s="89" t="s">
        <v>49</v>
      </c>
      <c r="C52" s="138">
        <v>18.63</v>
      </c>
      <c r="D52" s="139"/>
      <c r="E52" s="139"/>
      <c r="F52" s="140"/>
      <c r="G52" s="33" t="s">
        <v>11</v>
      </c>
      <c r="H52" s="34" cm="1">
        <f t="array" ref="H52">IF(ISBLANK(C52),"",IFERROR(eValue(C52),IF(ISBLANK(J52),"",J52)))</f>
        <v>18.63</v>
      </c>
      <c r="I52" s="33" t="s">
        <v>19</v>
      </c>
    </row>
    <row r="53" spans="1:9" ht="17.45" customHeight="1">
      <c r="A53" s="32" t="s">
        <v>80</v>
      </c>
      <c r="B53" s="89" t="s">
        <v>76</v>
      </c>
      <c r="C53" s="138">
        <v>1.94</v>
      </c>
      <c r="D53" s="139"/>
      <c r="E53" s="139"/>
      <c r="F53" s="140"/>
      <c r="G53" s="33" t="s">
        <v>77</v>
      </c>
      <c r="H53" s="34" cm="1">
        <f t="array" ref="H53">IF(ISBLANK(C53),"",IFERROR(eValue(C53),IF(ISBLANK(J53),"",J53)))</f>
        <v>1.94</v>
      </c>
      <c r="I53" s="33" t="s">
        <v>78</v>
      </c>
    </row>
    <row r="54" spans="1:9" ht="29.25" customHeight="1">
      <c r="A54" s="32" t="s">
        <v>81</v>
      </c>
      <c r="B54" s="89" t="s">
        <v>62</v>
      </c>
      <c r="C54" s="138">
        <v>0.22</v>
      </c>
      <c r="D54" s="139"/>
      <c r="E54" s="139"/>
      <c r="F54" s="140"/>
      <c r="G54" s="33" t="s">
        <v>11</v>
      </c>
      <c r="H54" s="34" cm="1">
        <f t="array" ref="H54">IF(ISBLANK(C54),"",IFERROR(eValue(C54),IF(ISBLANK(J54),"",J54)))</f>
        <v>0.22</v>
      </c>
      <c r="I54" s="33" t="s">
        <v>21</v>
      </c>
    </row>
    <row r="55" spans="1:9" ht="17.45" customHeight="1">
      <c r="A55" s="32"/>
      <c r="B55" s="89"/>
      <c r="C55" s="138"/>
      <c r="D55" s="139"/>
      <c r="E55" s="139"/>
      <c r="F55" s="140"/>
      <c r="G55" s="33"/>
      <c r="H55" s="34"/>
      <c r="I55" s="33"/>
    </row>
  </sheetData>
  <mergeCells count="47">
    <mergeCell ref="C16:F16"/>
    <mergeCell ref="C29:F29"/>
    <mergeCell ref="C42:F42"/>
    <mergeCell ref="C26:F26"/>
    <mergeCell ref="C27:F27"/>
    <mergeCell ref="C28:F28"/>
    <mergeCell ref="C30:F30"/>
    <mergeCell ref="C39:F39"/>
    <mergeCell ref="C19:F19"/>
    <mergeCell ref="C20:F20"/>
    <mergeCell ref="C21:F21"/>
    <mergeCell ref="C22:F22"/>
    <mergeCell ref="C23:F23"/>
    <mergeCell ref="C33:F33"/>
    <mergeCell ref="C34:F34"/>
    <mergeCell ref="C35:F35"/>
    <mergeCell ref="C36:F36"/>
    <mergeCell ref="C37:F37"/>
    <mergeCell ref="C47:F47"/>
    <mergeCell ref="C40:F40"/>
    <mergeCell ref="C41:F41"/>
    <mergeCell ref="C43:F43"/>
    <mergeCell ref="A1:I2"/>
    <mergeCell ref="A3:I3"/>
    <mergeCell ref="A4:I4"/>
    <mergeCell ref="C5:F5"/>
    <mergeCell ref="C32:F32"/>
    <mergeCell ref="C24:F24"/>
    <mergeCell ref="C6:F6"/>
    <mergeCell ref="C7:F7"/>
    <mergeCell ref="C8:F8"/>
    <mergeCell ref="C9:F9"/>
    <mergeCell ref="C10:F10"/>
    <mergeCell ref="C11:F11"/>
    <mergeCell ref="C13:F13"/>
    <mergeCell ref="C14:F14"/>
    <mergeCell ref="C15:F15"/>
    <mergeCell ref="C17:F17"/>
    <mergeCell ref="C53:F53"/>
    <mergeCell ref="C55:F55"/>
    <mergeCell ref="C54:F54"/>
    <mergeCell ref="C45:F45"/>
    <mergeCell ref="C51:F51"/>
    <mergeCell ref="C52:F52"/>
    <mergeCell ref="C46:F46"/>
    <mergeCell ref="C48:F48"/>
    <mergeCell ref="C50:F50"/>
  </mergeCells>
  <phoneticPr fontId="2" type="noConversion"/>
  <printOptions horizontalCentered="1"/>
  <pageMargins left="0.62992125984251968" right="0.27559055118110237" top="0.35433070866141736" bottom="0.39370078740157483" header="0.6692913385826772" footer="0.23622047244094491"/>
  <pageSetup paperSize="9" scale="69" fitToWidth="0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44" max="9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M29"/>
  <sheetViews>
    <sheetView view="pageBreakPreview" zoomScale="85" zoomScaleNormal="75" zoomScaleSheetLayoutView="100" workbookViewId="0">
      <selection activeCell="L20" sqref="L20"/>
    </sheetView>
  </sheetViews>
  <sheetFormatPr defaultColWidth="9" defaultRowHeight="16.5"/>
  <cols>
    <col min="1" max="1" width="1.625" style="69" customWidth="1"/>
    <col min="2" max="2" width="0.875" style="69" customWidth="1"/>
    <col min="3" max="3" width="4.5" style="69" customWidth="1"/>
    <col min="4" max="4" width="7.625" style="69" customWidth="1"/>
    <col min="5" max="5" width="8.5" style="69" customWidth="1"/>
    <col min="6" max="6" width="4.625" style="69" customWidth="1"/>
    <col min="7" max="7" width="6.375" style="69" customWidth="1"/>
    <col min="8" max="8" width="9.625" style="69" customWidth="1"/>
    <col min="9" max="9" width="9.625" style="82" customWidth="1"/>
    <col min="10" max="11" width="9.625" style="69" customWidth="1"/>
    <col min="12" max="12" width="9.625" style="82" customWidth="1"/>
    <col min="13" max="13" width="9.625" style="69" customWidth="1"/>
    <col min="14" max="14" width="1.125" style="58" customWidth="1"/>
    <col min="15" max="16384" width="9" style="58"/>
  </cols>
  <sheetData>
    <row r="1" spans="1:13" s="54" customFormat="1" ht="35.1" customHeight="1">
      <c r="A1" s="179" t="str">
        <f>表5_元件數量計算表!A1</f>
        <v>OOO單位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</row>
    <row r="2" spans="1:13" s="55" customFormat="1" ht="52.5" customHeight="1">
      <c r="B2" s="109"/>
      <c r="C2" s="202" t="str">
        <f>數量計算總表!A4</f>
        <v>工程名稱:OOOO工程</v>
      </c>
      <c r="D2" s="202"/>
      <c r="E2" s="202"/>
      <c r="F2" s="202"/>
      <c r="G2" s="202"/>
      <c r="H2" s="202"/>
      <c r="I2" s="202"/>
      <c r="J2" s="202"/>
      <c r="K2" s="202"/>
      <c r="L2" s="202"/>
      <c r="M2" s="202"/>
    </row>
    <row r="3" spans="1:13" ht="9.75" customHeight="1" thickBot="1">
      <c r="A3" s="56"/>
      <c r="B3" s="56"/>
      <c r="C3" s="56"/>
      <c r="D3" s="56"/>
      <c r="E3" s="56"/>
      <c r="F3" s="56"/>
      <c r="G3" s="56"/>
      <c r="H3" s="56"/>
      <c r="I3" s="57"/>
      <c r="J3" s="56"/>
      <c r="K3" s="56"/>
      <c r="L3" s="57"/>
      <c r="M3" s="56"/>
    </row>
    <row r="4" spans="1:13" ht="33.75" customHeight="1">
      <c r="A4" s="56"/>
      <c r="B4" s="203" t="s">
        <v>27</v>
      </c>
      <c r="C4" s="204"/>
      <c r="D4" s="204"/>
      <c r="E4" s="191"/>
      <c r="F4" s="190" t="s">
        <v>28</v>
      </c>
      <c r="G4" s="191"/>
      <c r="H4" s="187" t="s">
        <v>43</v>
      </c>
      <c r="I4" s="188"/>
      <c r="J4" s="189"/>
      <c r="K4" s="187" t="s">
        <v>45</v>
      </c>
      <c r="L4" s="188"/>
      <c r="M4" s="201"/>
    </row>
    <row r="5" spans="1:13" ht="24" customHeight="1">
      <c r="A5" s="56"/>
      <c r="B5" s="205"/>
      <c r="C5" s="206"/>
      <c r="D5" s="206"/>
      <c r="E5" s="193"/>
      <c r="F5" s="192"/>
      <c r="G5" s="193"/>
      <c r="H5" s="59" t="s">
        <v>29</v>
      </c>
      <c r="I5" s="60" t="s">
        <v>30</v>
      </c>
      <c r="J5" s="61" t="s">
        <v>31</v>
      </c>
      <c r="K5" s="59" t="s">
        <v>29</v>
      </c>
      <c r="L5" s="60" t="s">
        <v>30</v>
      </c>
      <c r="M5" s="98" t="s">
        <v>31</v>
      </c>
    </row>
    <row r="6" spans="1:13" ht="24" customHeight="1">
      <c r="A6" s="56"/>
      <c r="B6" s="207"/>
      <c r="C6" s="208"/>
      <c r="D6" s="208"/>
      <c r="E6" s="209"/>
      <c r="F6" s="210" t="s">
        <v>26</v>
      </c>
      <c r="G6" s="209"/>
      <c r="H6" s="59" t="s">
        <v>32</v>
      </c>
      <c r="I6" s="59" t="s">
        <v>32</v>
      </c>
      <c r="J6" s="59" t="s">
        <v>33</v>
      </c>
      <c r="K6" s="59" t="s">
        <v>32</v>
      </c>
      <c r="L6" s="95" t="s">
        <v>32</v>
      </c>
      <c r="M6" s="108" t="s">
        <v>33</v>
      </c>
    </row>
    <row r="7" spans="1:13" ht="24" customHeight="1">
      <c r="A7" s="56"/>
      <c r="B7" s="96" t="s">
        <v>56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9"/>
    </row>
    <row r="8" spans="1:13" ht="24" customHeight="1">
      <c r="A8" s="56"/>
      <c r="B8" s="62"/>
      <c r="C8" s="115" t="s">
        <v>57</v>
      </c>
      <c r="D8" s="64">
        <v>9</v>
      </c>
      <c r="E8" s="65"/>
      <c r="F8" s="185">
        <v>0</v>
      </c>
      <c r="G8" s="186"/>
      <c r="H8" s="93">
        <v>31.43</v>
      </c>
      <c r="I8" s="84" t="s">
        <v>38</v>
      </c>
      <c r="J8" s="84" t="s">
        <v>39</v>
      </c>
      <c r="K8" s="66">
        <v>17.14</v>
      </c>
      <c r="L8" s="84" t="s">
        <v>38</v>
      </c>
      <c r="M8" s="100" t="s">
        <v>46</v>
      </c>
    </row>
    <row r="9" spans="1:13" ht="24" customHeight="1">
      <c r="A9" s="56"/>
      <c r="B9" s="62"/>
      <c r="C9" s="115" t="s">
        <v>57</v>
      </c>
      <c r="D9" s="64">
        <v>20</v>
      </c>
      <c r="E9" s="65"/>
      <c r="F9" s="183">
        <f>D9-D8</f>
        <v>11</v>
      </c>
      <c r="G9" s="184"/>
      <c r="H9" s="93">
        <v>28.77</v>
      </c>
      <c r="I9" s="67">
        <f>0.5*(H8+H9)</f>
        <v>30.1</v>
      </c>
      <c r="J9" s="67">
        <f>I9*F9</f>
        <v>331.1</v>
      </c>
      <c r="K9" s="66">
        <v>17.14</v>
      </c>
      <c r="L9" s="67">
        <f>0.5*(K8+K9)</f>
        <v>17.14</v>
      </c>
      <c r="M9" s="100">
        <f>L9*F9</f>
        <v>188.54000000000002</v>
      </c>
    </row>
    <row r="10" spans="1:13" ht="24" customHeight="1">
      <c r="A10" s="56"/>
      <c r="B10" s="62"/>
      <c r="C10" s="115" t="s">
        <v>57</v>
      </c>
      <c r="D10" s="64">
        <v>40</v>
      </c>
      <c r="E10" s="65"/>
      <c r="F10" s="183">
        <f>D10-D9</f>
        <v>20</v>
      </c>
      <c r="G10" s="184"/>
      <c r="H10" s="93">
        <v>31.07</v>
      </c>
      <c r="I10" s="67">
        <f>0.5*(H9+H10)</f>
        <v>29.92</v>
      </c>
      <c r="J10" s="67">
        <f>I10*F10</f>
        <v>598.40000000000009</v>
      </c>
      <c r="K10" s="66">
        <v>17.14</v>
      </c>
      <c r="L10" s="67">
        <f>0.5*(K9+K10)</f>
        <v>17.14</v>
      </c>
      <c r="M10" s="100">
        <f>L10*F10</f>
        <v>342.8</v>
      </c>
    </row>
    <row r="11" spans="1:13" ht="24" customHeight="1">
      <c r="A11" s="56"/>
      <c r="B11" s="62"/>
      <c r="C11" s="115" t="s">
        <v>57</v>
      </c>
      <c r="D11" s="64">
        <v>45</v>
      </c>
      <c r="E11" s="65"/>
      <c r="F11" s="183">
        <f>D11-D10</f>
        <v>5</v>
      </c>
      <c r="G11" s="184"/>
      <c r="H11" s="93">
        <v>29.83</v>
      </c>
      <c r="I11" s="67">
        <f>0.5*(H10+H11)</f>
        <v>30.45</v>
      </c>
      <c r="J11" s="67">
        <f>I11*F11</f>
        <v>152.25</v>
      </c>
      <c r="K11" s="66">
        <v>17.14</v>
      </c>
      <c r="L11" s="67">
        <f>0.5*(K10+K11)</f>
        <v>17.14</v>
      </c>
      <c r="M11" s="100">
        <f>L11*F11</f>
        <v>85.7</v>
      </c>
    </row>
    <row r="12" spans="1:13" ht="24" customHeight="1">
      <c r="A12" s="56"/>
      <c r="B12" s="62"/>
      <c r="C12" s="115"/>
      <c r="D12" s="64"/>
      <c r="E12" s="90"/>
      <c r="F12" s="183"/>
      <c r="G12" s="184"/>
      <c r="H12" s="66"/>
      <c r="I12" s="67"/>
      <c r="J12" s="67"/>
      <c r="K12" s="66"/>
      <c r="L12" s="67"/>
      <c r="M12" s="100"/>
    </row>
    <row r="13" spans="1:13" ht="24" customHeight="1">
      <c r="A13" s="56"/>
      <c r="B13" s="62"/>
      <c r="C13" s="115"/>
      <c r="D13" s="64"/>
      <c r="E13" s="90"/>
      <c r="F13" s="183"/>
      <c r="G13" s="184"/>
      <c r="H13" s="66"/>
      <c r="I13" s="67"/>
      <c r="J13" s="67"/>
      <c r="K13" s="66"/>
      <c r="L13" s="67"/>
      <c r="M13" s="100"/>
    </row>
    <row r="14" spans="1:13" ht="24" customHeight="1">
      <c r="A14" s="56"/>
      <c r="B14" s="68"/>
      <c r="C14" s="115"/>
      <c r="D14" s="64"/>
      <c r="E14" s="65"/>
      <c r="F14" s="183"/>
      <c r="G14" s="184"/>
      <c r="H14" s="66"/>
      <c r="I14" s="67"/>
      <c r="J14" s="67"/>
      <c r="K14" s="66"/>
      <c r="L14" s="67"/>
      <c r="M14" s="100"/>
    </row>
    <row r="15" spans="1:13" ht="24" customHeight="1">
      <c r="A15" s="56"/>
      <c r="B15" s="62"/>
      <c r="C15" s="115"/>
      <c r="D15" s="64"/>
      <c r="E15" s="94"/>
      <c r="F15" s="183"/>
      <c r="G15" s="184"/>
      <c r="H15" s="66"/>
      <c r="I15" s="67"/>
      <c r="J15" s="67"/>
      <c r="K15" s="66"/>
      <c r="L15" s="67"/>
      <c r="M15" s="100"/>
    </row>
    <row r="16" spans="1:13" ht="24" customHeight="1">
      <c r="A16" s="56"/>
      <c r="B16" s="62"/>
      <c r="C16" s="63"/>
      <c r="D16" s="64"/>
      <c r="E16" s="94"/>
      <c r="F16" s="183"/>
      <c r="G16" s="184"/>
      <c r="H16" s="66"/>
      <c r="I16" s="67"/>
      <c r="J16" s="67"/>
      <c r="K16" s="66"/>
      <c r="L16" s="67"/>
      <c r="M16" s="100"/>
    </row>
    <row r="17" spans="1:13" ht="24" customHeight="1">
      <c r="A17" s="56"/>
      <c r="B17" s="62"/>
      <c r="C17" s="63"/>
      <c r="D17" s="64"/>
      <c r="E17" s="65"/>
      <c r="F17" s="183"/>
      <c r="G17" s="184"/>
      <c r="H17" s="66"/>
      <c r="I17" s="67"/>
      <c r="J17" s="67"/>
      <c r="K17" s="66"/>
      <c r="L17" s="67"/>
      <c r="M17" s="100"/>
    </row>
    <row r="18" spans="1:13" ht="24" customHeight="1">
      <c r="A18" s="56"/>
      <c r="B18" s="62"/>
      <c r="C18" s="63"/>
      <c r="D18" s="64"/>
      <c r="E18" s="65"/>
      <c r="F18" s="183"/>
      <c r="G18" s="184"/>
      <c r="H18" s="66"/>
      <c r="I18" s="67"/>
      <c r="J18" s="67"/>
      <c r="K18" s="66"/>
      <c r="L18" s="67"/>
      <c r="M18" s="100"/>
    </row>
    <row r="19" spans="1:13" ht="24" customHeight="1">
      <c r="A19" s="56"/>
      <c r="B19" s="62"/>
      <c r="C19" s="63"/>
      <c r="D19" s="64"/>
      <c r="E19" s="65"/>
      <c r="F19" s="183"/>
      <c r="G19" s="184"/>
      <c r="H19" s="66"/>
      <c r="I19" s="67"/>
      <c r="J19" s="67"/>
      <c r="K19" s="66"/>
      <c r="L19" s="67"/>
      <c r="M19" s="100"/>
    </row>
    <row r="20" spans="1:13" ht="24" customHeight="1">
      <c r="A20" s="56"/>
      <c r="B20" s="62"/>
      <c r="C20" s="63"/>
      <c r="D20" s="64"/>
      <c r="E20" s="65"/>
      <c r="F20" s="183"/>
      <c r="G20" s="184"/>
      <c r="H20" s="66"/>
      <c r="I20" s="67"/>
      <c r="J20" s="67"/>
      <c r="K20" s="66"/>
      <c r="L20" s="67"/>
      <c r="M20" s="100"/>
    </row>
    <row r="21" spans="1:13" ht="24" customHeight="1">
      <c r="A21" s="56"/>
      <c r="B21" s="62"/>
      <c r="C21" s="63"/>
      <c r="D21" s="64"/>
      <c r="E21" s="65"/>
      <c r="F21" s="183"/>
      <c r="G21" s="184"/>
      <c r="H21" s="66"/>
      <c r="I21" s="67"/>
      <c r="J21" s="67"/>
      <c r="K21" s="66"/>
      <c r="L21" s="67"/>
      <c r="M21" s="100"/>
    </row>
    <row r="22" spans="1:13" ht="24" customHeight="1">
      <c r="A22" s="56"/>
      <c r="B22" s="62"/>
      <c r="C22" s="63"/>
      <c r="D22" s="64"/>
      <c r="E22" s="65"/>
      <c r="F22" s="183"/>
      <c r="G22" s="184"/>
      <c r="H22" s="66"/>
      <c r="I22" s="67"/>
      <c r="J22" s="67"/>
      <c r="K22" s="66"/>
      <c r="L22" s="67"/>
      <c r="M22" s="100"/>
    </row>
    <row r="23" spans="1:13" s="70" customFormat="1" ht="24" customHeight="1">
      <c r="A23" s="56"/>
      <c r="B23" s="62"/>
      <c r="C23" s="63"/>
      <c r="D23" s="64"/>
      <c r="E23" s="65"/>
      <c r="F23" s="199"/>
      <c r="G23" s="200"/>
      <c r="H23" s="66"/>
      <c r="I23" s="67"/>
      <c r="J23" s="67"/>
      <c r="K23" s="66"/>
      <c r="L23" s="104"/>
      <c r="M23" s="101"/>
    </row>
    <row r="24" spans="1:13" ht="24" customHeight="1">
      <c r="A24" s="56"/>
      <c r="B24" s="196" t="s">
        <v>34</v>
      </c>
      <c r="C24" s="197"/>
      <c r="D24" s="197"/>
      <c r="E24" s="198"/>
      <c r="F24" s="194">
        <f>SUM(F8:G23)</f>
        <v>36</v>
      </c>
      <c r="G24" s="195"/>
      <c r="H24" s="71"/>
      <c r="I24" s="72"/>
      <c r="J24" s="73">
        <f>ROUND(SUM(J8:J23),2)</f>
        <v>1081.75</v>
      </c>
      <c r="K24" s="74"/>
      <c r="L24" s="103"/>
      <c r="M24" s="120">
        <f>ROUND(SUM(M8:M23),2)</f>
        <v>617.04</v>
      </c>
    </row>
    <row r="25" spans="1:13" ht="24" customHeight="1" thickBot="1">
      <c r="A25" s="56"/>
      <c r="B25" s="180" t="s">
        <v>35</v>
      </c>
      <c r="C25" s="181"/>
      <c r="D25" s="181"/>
      <c r="E25" s="182"/>
      <c r="F25" s="78"/>
      <c r="G25" s="79"/>
      <c r="H25" s="75"/>
      <c r="I25" s="76"/>
      <c r="J25" s="80">
        <f>ROUND(SUM(J8:J23),0)</f>
        <v>1082</v>
      </c>
      <c r="K25" s="77"/>
      <c r="L25" s="102"/>
      <c r="M25" s="119">
        <f>ROUND(SUM(M8:M23),0)</f>
        <v>617</v>
      </c>
    </row>
    <row r="26" spans="1:13">
      <c r="A26" s="56"/>
      <c r="B26" s="56"/>
      <c r="C26" s="56"/>
      <c r="D26" s="56"/>
      <c r="E26" s="56"/>
      <c r="F26" s="56"/>
      <c r="G26" s="56"/>
      <c r="H26" s="56"/>
      <c r="I26" s="57"/>
      <c r="J26" s="56"/>
      <c r="K26" s="56"/>
      <c r="L26" s="57"/>
      <c r="M26" s="56"/>
    </row>
    <row r="27" spans="1:13" ht="19.5">
      <c r="A27" s="58"/>
      <c r="B27" s="70" t="s">
        <v>36</v>
      </c>
      <c r="C27" s="58"/>
      <c r="D27" s="58"/>
      <c r="E27" s="58"/>
      <c r="F27" s="58"/>
      <c r="G27" s="58"/>
      <c r="H27" s="58"/>
      <c r="I27" s="70" t="s">
        <v>37</v>
      </c>
      <c r="J27" s="58"/>
      <c r="K27" s="58"/>
      <c r="L27" s="58"/>
      <c r="M27" s="58"/>
    </row>
    <row r="28" spans="1:13">
      <c r="F28" s="81"/>
      <c r="G28" s="81"/>
    </row>
    <row r="29" spans="1:13">
      <c r="L29" s="82">
        <f>J25-M25</f>
        <v>465</v>
      </c>
    </row>
  </sheetData>
  <mergeCells count="26">
    <mergeCell ref="F20:G20"/>
    <mergeCell ref="F16:G16"/>
    <mergeCell ref="K4:M4"/>
    <mergeCell ref="C2:M2"/>
    <mergeCell ref="F12:G12"/>
    <mergeCell ref="F13:G13"/>
    <mergeCell ref="F14:G14"/>
    <mergeCell ref="B4:E6"/>
    <mergeCell ref="F9:G9"/>
    <mergeCell ref="F6:G6"/>
    <mergeCell ref="A1:M1"/>
    <mergeCell ref="B25:E25"/>
    <mergeCell ref="F18:G18"/>
    <mergeCell ref="F17:G17"/>
    <mergeCell ref="F19:G19"/>
    <mergeCell ref="F10:G10"/>
    <mergeCell ref="F8:G8"/>
    <mergeCell ref="H4:J4"/>
    <mergeCell ref="F4:G5"/>
    <mergeCell ref="F11:G11"/>
    <mergeCell ref="F15:G15"/>
    <mergeCell ref="F24:G24"/>
    <mergeCell ref="B24:E24"/>
    <mergeCell ref="F23:G23"/>
    <mergeCell ref="F22:G22"/>
    <mergeCell ref="F21:G21"/>
  </mergeCells>
  <phoneticPr fontId="41" type="noConversion"/>
  <printOptions horizontalCentered="1"/>
  <pageMargins left="0.78740157480314965" right="0.59055118110236227" top="0.59055118110236227" bottom="1.1811023622047245" header="0" footer="0"/>
  <pageSetup paperSize="9" scale="90" pageOrder="overThenDown" orientation="portrait" r:id="rId1"/>
  <headerFooter alignWithMargins="0">
    <oddHeader xml:space="preserve">&amp;R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/>
  <dimension ref="A1:M29"/>
  <sheetViews>
    <sheetView view="pageBreakPreview" zoomScale="85" zoomScaleNormal="75" zoomScaleSheetLayoutView="100" workbookViewId="0">
      <selection activeCell="U11" sqref="U11"/>
    </sheetView>
  </sheetViews>
  <sheetFormatPr defaultColWidth="9" defaultRowHeight="16.5"/>
  <cols>
    <col min="1" max="1" width="1.625" style="69" customWidth="1"/>
    <col min="2" max="2" width="0.875" style="69" customWidth="1"/>
    <col min="3" max="3" width="4.5" style="69" customWidth="1"/>
    <col min="4" max="4" width="7.625" style="69" customWidth="1"/>
    <col min="5" max="5" width="8.5" style="69" customWidth="1"/>
    <col min="6" max="6" width="4.625" style="69" customWidth="1"/>
    <col min="7" max="7" width="6.375" style="69" customWidth="1"/>
    <col min="8" max="8" width="9.625" style="69" customWidth="1"/>
    <col min="9" max="9" width="9.625" style="82" customWidth="1"/>
    <col min="10" max="11" width="9.625" style="69" customWidth="1"/>
    <col min="12" max="12" width="9.625" style="82" customWidth="1"/>
    <col min="13" max="13" width="9.625" style="69" customWidth="1"/>
    <col min="14" max="14" width="1.125" style="58" customWidth="1"/>
    <col min="15" max="16384" width="9" style="58"/>
  </cols>
  <sheetData>
    <row r="1" spans="1:13" s="54" customFormat="1" ht="35.1" customHeight="1">
      <c r="A1" s="179" t="str">
        <f>表5_元件數量計算表!A1</f>
        <v>OOO單位</v>
      </c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</row>
    <row r="2" spans="1:13" s="55" customFormat="1" ht="52.5" customHeight="1">
      <c r="B2" s="109"/>
      <c r="C2" s="202" t="str">
        <f>數量計算總表!A4</f>
        <v>工程名稱:OOOO工程</v>
      </c>
      <c r="D2" s="202"/>
      <c r="E2" s="202"/>
      <c r="F2" s="202"/>
      <c r="G2" s="202"/>
      <c r="H2" s="202"/>
      <c r="I2" s="202"/>
      <c r="J2" s="202"/>
      <c r="K2" s="202"/>
      <c r="L2" s="202"/>
      <c r="M2" s="202"/>
    </row>
    <row r="3" spans="1:13" ht="9.75" customHeight="1" thickBot="1">
      <c r="A3" s="56"/>
      <c r="B3" s="56"/>
      <c r="C3" s="56"/>
      <c r="D3" s="56"/>
      <c r="E3" s="56"/>
      <c r="F3" s="56"/>
      <c r="G3" s="56"/>
      <c r="H3" s="56"/>
      <c r="I3" s="57"/>
      <c r="J3" s="56"/>
      <c r="K3" s="56"/>
      <c r="L3" s="57"/>
      <c r="M3" s="56"/>
    </row>
    <row r="4" spans="1:13" ht="33.75" customHeight="1">
      <c r="A4" s="56"/>
      <c r="B4" s="203" t="s">
        <v>27</v>
      </c>
      <c r="C4" s="204"/>
      <c r="D4" s="204"/>
      <c r="E4" s="191"/>
      <c r="F4" s="190" t="s">
        <v>28</v>
      </c>
      <c r="G4" s="191"/>
      <c r="H4" s="187" t="s">
        <v>43</v>
      </c>
      <c r="I4" s="188"/>
      <c r="J4" s="189"/>
      <c r="K4" s="187" t="s">
        <v>45</v>
      </c>
      <c r="L4" s="188"/>
      <c r="M4" s="201"/>
    </row>
    <row r="5" spans="1:13" ht="24" customHeight="1">
      <c r="A5" s="56"/>
      <c r="B5" s="205"/>
      <c r="C5" s="206"/>
      <c r="D5" s="206"/>
      <c r="E5" s="193"/>
      <c r="F5" s="192"/>
      <c r="G5" s="193"/>
      <c r="H5" s="59" t="s">
        <v>29</v>
      </c>
      <c r="I5" s="60" t="s">
        <v>30</v>
      </c>
      <c r="J5" s="61" t="s">
        <v>31</v>
      </c>
      <c r="K5" s="59" t="s">
        <v>29</v>
      </c>
      <c r="L5" s="60" t="s">
        <v>30</v>
      </c>
      <c r="M5" s="98" t="s">
        <v>31</v>
      </c>
    </row>
    <row r="6" spans="1:13" ht="24" customHeight="1">
      <c r="A6" s="56"/>
      <c r="B6" s="207"/>
      <c r="C6" s="208"/>
      <c r="D6" s="208"/>
      <c r="E6" s="209"/>
      <c r="F6" s="210" t="s">
        <v>26</v>
      </c>
      <c r="G6" s="209"/>
      <c r="H6" s="59" t="s">
        <v>32</v>
      </c>
      <c r="I6" s="59" t="s">
        <v>32</v>
      </c>
      <c r="J6" s="59" t="s">
        <v>33</v>
      </c>
      <c r="K6" s="59" t="s">
        <v>32</v>
      </c>
      <c r="L6" s="95" t="s">
        <v>32</v>
      </c>
      <c r="M6" s="108" t="s">
        <v>33</v>
      </c>
    </row>
    <row r="7" spans="1:13" ht="24" customHeight="1">
      <c r="A7" s="56"/>
      <c r="B7" s="96" t="s">
        <v>56</v>
      </c>
      <c r="C7" s="97"/>
      <c r="D7" s="97"/>
      <c r="E7" s="97"/>
      <c r="F7" s="97"/>
      <c r="G7" s="97"/>
      <c r="H7" s="97"/>
      <c r="I7" s="97"/>
      <c r="J7" s="97"/>
      <c r="K7" s="97"/>
      <c r="L7" s="97"/>
      <c r="M7" s="99"/>
    </row>
    <row r="8" spans="1:13" ht="24" customHeight="1">
      <c r="A8" s="56"/>
      <c r="B8" s="62"/>
      <c r="C8" s="115" t="s">
        <v>57</v>
      </c>
      <c r="D8" s="64">
        <v>9.4809999999999999</v>
      </c>
      <c r="E8" s="65"/>
      <c r="F8" s="185">
        <v>0</v>
      </c>
      <c r="G8" s="186"/>
      <c r="H8" s="93">
        <v>12.77</v>
      </c>
      <c r="I8" s="84" t="s">
        <v>38</v>
      </c>
      <c r="J8" s="84" t="s">
        <v>38</v>
      </c>
      <c r="K8" s="66">
        <v>7.62</v>
      </c>
      <c r="L8" s="84" t="s">
        <v>38</v>
      </c>
      <c r="M8" s="100" t="s">
        <v>38</v>
      </c>
    </row>
    <row r="9" spans="1:13" ht="24" customHeight="1">
      <c r="A9" s="56"/>
      <c r="B9" s="62"/>
      <c r="C9" s="115" t="s">
        <v>57</v>
      </c>
      <c r="D9" s="64">
        <v>19.657</v>
      </c>
      <c r="E9" s="65"/>
      <c r="F9" s="183">
        <f t="shared" ref="F9:F14" si="0">D9-D8</f>
        <v>10.176</v>
      </c>
      <c r="G9" s="184"/>
      <c r="H9" s="93">
        <v>13.84</v>
      </c>
      <c r="I9" s="67">
        <f t="shared" ref="I9:I14" si="1">0.5*(H8+H9)</f>
        <v>13.305</v>
      </c>
      <c r="J9" s="67">
        <f t="shared" ref="J9:J14" si="2">I9*F9</f>
        <v>135.39168000000001</v>
      </c>
      <c r="K9" s="66">
        <v>9.89</v>
      </c>
      <c r="L9" s="67">
        <f t="shared" ref="L9:L14" si="3">0.5*(K8+K9)</f>
        <v>8.7550000000000008</v>
      </c>
      <c r="M9" s="100">
        <f t="shared" ref="M9:M14" si="4">L9*F9</f>
        <v>89.090880000000013</v>
      </c>
    </row>
    <row r="10" spans="1:13" ht="24" customHeight="1">
      <c r="A10" s="56"/>
      <c r="B10" s="62"/>
      <c r="C10" s="115" t="s">
        <v>57</v>
      </c>
      <c r="D10" s="64">
        <v>20</v>
      </c>
      <c r="E10" s="65"/>
      <c r="F10" s="183">
        <f t="shared" si="0"/>
        <v>0.34299999999999997</v>
      </c>
      <c r="G10" s="184"/>
      <c r="H10" s="93">
        <v>14.06</v>
      </c>
      <c r="I10" s="67">
        <f t="shared" si="1"/>
        <v>13.95</v>
      </c>
      <c r="J10" s="67">
        <f t="shared" si="2"/>
        <v>4.7848499999999996</v>
      </c>
      <c r="K10" s="66">
        <v>9.8699999999999992</v>
      </c>
      <c r="L10" s="67">
        <f t="shared" si="3"/>
        <v>9.879999999999999</v>
      </c>
      <c r="M10" s="100">
        <f t="shared" si="4"/>
        <v>3.3888399999999992</v>
      </c>
    </row>
    <row r="11" spans="1:13" ht="24" customHeight="1">
      <c r="A11" s="56"/>
      <c r="B11" s="62"/>
      <c r="C11" s="115" t="s">
        <v>57</v>
      </c>
      <c r="D11" s="64">
        <v>26.805</v>
      </c>
      <c r="E11" s="65"/>
      <c r="F11" s="183">
        <f t="shared" si="0"/>
        <v>6.8049999999999997</v>
      </c>
      <c r="G11" s="184"/>
      <c r="H11" s="93">
        <v>13.05</v>
      </c>
      <c r="I11" s="67">
        <f t="shared" si="1"/>
        <v>13.555</v>
      </c>
      <c r="J11" s="67">
        <f t="shared" si="2"/>
        <v>92.24177499999999</v>
      </c>
      <c r="K11" s="66">
        <v>7.13</v>
      </c>
      <c r="L11" s="67">
        <f t="shared" si="3"/>
        <v>8.5</v>
      </c>
      <c r="M11" s="100">
        <f t="shared" si="4"/>
        <v>57.842500000000001</v>
      </c>
    </row>
    <row r="12" spans="1:13" ht="24" customHeight="1">
      <c r="A12" s="56"/>
      <c r="B12" s="62"/>
      <c r="C12" s="115" t="s">
        <v>108</v>
      </c>
      <c r="D12" s="64">
        <v>29.675000000000001</v>
      </c>
      <c r="E12" s="90"/>
      <c r="F12" s="183">
        <f t="shared" si="0"/>
        <v>2.870000000000001</v>
      </c>
      <c r="G12" s="184"/>
      <c r="H12" s="66">
        <v>13.43</v>
      </c>
      <c r="I12" s="67">
        <f t="shared" si="1"/>
        <v>13.24</v>
      </c>
      <c r="J12" s="67">
        <f t="shared" si="2"/>
        <v>37.998800000000017</v>
      </c>
      <c r="K12" s="66">
        <v>7.13</v>
      </c>
      <c r="L12" s="67">
        <f t="shared" si="3"/>
        <v>7.13</v>
      </c>
      <c r="M12" s="100">
        <f t="shared" si="4"/>
        <v>20.463100000000008</v>
      </c>
    </row>
    <row r="13" spans="1:13" ht="24" customHeight="1">
      <c r="A13" s="56"/>
      <c r="B13" s="62"/>
      <c r="C13" s="115" t="s">
        <v>109</v>
      </c>
      <c r="D13" s="64">
        <v>38.64</v>
      </c>
      <c r="E13" s="90"/>
      <c r="F13" s="183">
        <f t="shared" si="0"/>
        <v>8.9649999999999999</v>
      </c>
      <c r="G13" s="184"/>
      <c r="H13" s="66">
        <v>11.98</v>
      </c>
      <c r="I13" s="67">
        <f t="shared" si="1"/>
        <v>12.705</v>
      </c>
      <c r="J13" s="67">
        <f t="shared" si="2"/>
        <v>113.900325</v>
      </c>
      <c r="K13" s="66">
        <v>7.1</v>
      </c>
      <c r="L13" s="67">
        <f t="shared" si="3"/>
        <v>7.1150000000000002</v>
      </c>
      <c r="M13" s="100">
        <f t="shared" si="4"/>
        <v>63.785975000000001</v>
      </c>
    </row>
    <row r="14" spans="1:13" ht="24" customHeight="1">
      <c r="A14" s="56"/>
      <c r="B14" s="68"/>
      <c r="C14" s="115" t="s">
        <v>110</v>
      </c>
      <c r="D14" s="64">
        <v>43</v>
      </c>
      <c r="E14" s="65"/>
      <c r="F14" s="183">
        <f t="shared" si="0"/>
        <v>4.3599999999999994</v>
      </c>
      <c r="G14" s="184"/>
      <c r="H14" s="66">
        <v>13.5</v>
      </c>
      <c r="I14" s="67">
        <f t="shared" si="1"/>
        <v>12.74</v>
      </c>
      <c r="J14" s="67">
        <f t="shared" si="2"/>
        <v>55.546399999999991</v>
      </c>
      <c r="K14" s="66">
        <v>7.13</v>
      </c>
      <c r="L14" s="67">
        <f t="shared" si="3"/>
        <v>7.1150000000000002</v>
      </c>
      <c r="M14" s="100">
        <f t="shared" si="4"/>
        <v>31.021399999999996</v>
      </c>
    </row>
    <row r="15" spans="1:13" ht="24" customHeight="1">
      <c r="A15" s="56"/>
      <c r="B15" s="62"/>
      <c r="C15" s="115"/>
      <c r="D15" s="64"/>
      <c r="E15" s="94"/>
      <c r="F15" s="183"/>
      <c r="G15" s="184"/>
      <c r="H15" s="66"/>
      <c r="I15" s="67"/>
      <c r="J15" s="67"/>
      <c r="K15" s="66"/>
      <c r="L15" s="67"/>
      <c r="M15" s="100"/>
    </row>
    <row r="16" spans="1:13" ht="24" customHeight="1">
      <c r="A16" s="56"/>
      <c r="B16" s="62"/>
      <c r="C16" s="63"/>
      <c r="D16" s="64"/>
      <c r="E16" s="94"/>
      <c r="F16" s="183"/>
      <c r="G16" s="184"/>
      <c r="H16" s="66"/>
      <c r="I16" s="67"/>
      <c r="J16" s="67"/>
      <c r="K16" s="66"/>
      <c r="L16" s="67"/>
      <c r="M16" s="100"/>
    </row>
    <row r="17" spans="1:13" ht="24" customHeight="1">
      <c r="A17" s="56"/>
      <c r="B17" s="62"/>
      <c r="C17" s="63"/>
      <c r="D17" s="64"/>
      <c r="E17" s="65"/>
      <c r="F17" s="183"/>
      <c r="G17" s="184"/>
      <c r="H17" s="66"/>
      <c r="I17" s="67"/>
      <c r="J17" s="67"/>
      <c r="K17" s="66"/>
      <c r="L17" s="67"/>
      <c r="M17" s="100"/>
    </row>
    <row r="18" spans="1:13" ht="24" customHeight="1">
      <c r="A18" s="56"/>
      <c r="B18" s="62"/>
      <c r="C18" s="63"/>
      <c r="D18" s="64"/>
      <c r="E18" s="65"/>
      <c r="F18" s="183"/>
      <c r="G18" s="184"/>
      <c r="H18" s="66"/>
      <c r="I18" s="67"/>
      <c r="J18" s="67"/>
      <c r="K18" s="66"/>
      <c r="L18" s="67"/>
      <c r="M18" s="100"/>
    </row>
    <row r="19" spans="1:13" ht="24" customHeight="1">
      <c r="A19" s="56"/>
      <c r="B19" s="62"/>
      <c r="C19" s="63"/>
      <c r="D19" s="64"/>
      <c r="E19" s="65"/>
      <c r="F19" s="183"/>
      <c r="G19" s="184"/>
      <c r="H19" s="66"/>
      <c r="I19" s="67"/>
      <c r="J19" s="67"/>
      <c r="K19" s="66"/>
      <c r="L19" s="67"/>
      <c r="M19" s="100"/>
    </row>
    <row r="20" spans="1:13" ht="24" customHeight="1">
      <c r="A20" s="56"/>
      <c r="B20" s="62"/>
      <c r="C20" s="63"/>
      <c r="D20" s="64"/>
      <c r="E20" s="65"/>
      <c r="F20" s="183"/>
      <c r="G20" s="184"/>
      <c r="H20" s="66"/>
      <c r="I20" s="67"/>
      <c r="J20" s="67"/>
      <c r="K20" s="66"/>
      <c r="L20" s="67"/>
      <c r="M20" s="100"/>
    </row>
    <row r="21" spans="1:13" ht="24" customHeight="1">
      <c r="A21" s="56"/>
      <c r="B21" s="62"/>
      <c r="C21" s="63"/>
      <c r="D21" s="64"/>
      <c r="E21" s="65"/>
      <c r="F21" s="183"/>
      <c r="G21" s="184"/>
      <c r="H21" s="66"/>
      <c r="I21" s="67"/>
      <c r="J21" s="67"/>
      <c r="K21" s="66"/>
      <c r="L21" s="67"/>
      <c r="M21" s="100"/>
    </row>
    <row r="22" spans="1:13" ht="24" customHeight="1">
      <c r="A22" s="56"/>
      <c r="B22" s="62"/>
      <c r="C22" s="63"/>
      <c r="D22" s="64"/>
      <c r="E22" s="65"/>
      <c r="F22" s="183"/>
      <c r="G22" s="184"/>
      <c r="H22" s="66"/>
      <c r="I22" s="67"/>
      <c r="J22" s="67"/>
      <c r="K22" s="66"/>
      <c r="L22" s="67"/>
      <c r="M22" s="100"/>
    </row>
    <row r="23" spans="1:13" s="70" customFormat="1" ht="24" customHeight="1">
      <c r="A23" s="56"/>
      <c r="B23" s="62"/>
      <c r="C23" s="63"/>
      <c r="D23" s="64"/>
      <c r="E23" s="65"/>
      <c r="F23" s="199"/>
      <c r="G23" s="200"/>
      <c r="H23" s="66"/>
      <c r="I23" s="67"/>
      <c r="J23" s="67"/>
      <c r="K23" s="66"/>
      <c r="L23" s="104"/>
      <c r="M23" s="101"/>
    </row>
    <row r="24" spans="1:13" ht="24" customHeight="1">
      <c r="A24" s="56"/>
      <c r="B24" s="196" t="s">
        <v>34</v>
      </c>
      <c r="C24" s="197"/>
      <c r="D24" s="197"/>
      <c r="E24" s="198"/>
      <c r="F24" s="194">
        <f>SUM(F8:G23)</f>
        <v>33.518999999999998</v>
      </c>
      <c r="G24" s="195"/>
      <c r="H24" s="71"/>
      <c r="I24" s="72"/>
      <c r="J24" s="73">
        <f>ROUND(SUM(J8:J23),2)</f>
        <v>439.86</v>
      </c>
      <c r="K24" s="74"/>
      <c r="L24" s="103"/>
      <c r="M24" s="120">
        <f>ROUND(SUM(M8:M23),2)</f>
        <v>265.58999999999997</v>
      </c>
    </row>
    <row r="25" spans="1:13" ht="24" customHeight="1" thickBot="1">
      <c r="A25" s="56"/>
      <c r="B25" s="180" t="s">
        <v>35</v>
      </c>
      <c r="C25" s="181"/>
      <c r="D25" s="181"/>
      <c r="E25" s="182"/>
      <c r="F25" s="78"/>
      <c r="G25" s="79"/>
      <c r="H25" s="75"/>
      <c r="I25" s="76"/>
      <c r="J25" s="80">
        <f>ROUND(SUM(J8:J23),0)</f>
        <v>440</v>
      </c>
      <c r="K25" s="77"/>
      <c r="L25" s="102"/>
      <c r="M25" s="119">
        <f>ROUND(SUM(M8:M23),0)</f>
        <v>266</v>
      </c>
    </row>
    <row r="26" spans="1:13">
      <c r="A26" s="56"/>
      <c r="B26" s="56"/>
      <c r="C26" s="56"/>
      <c r="D26" s="56"/>
      <c r="E26" s="56"/>
      <c r="F26" s="56"/>
      <c r="G26" s="56"/>
      <c r="H26" s="56"/>
      <c r="I26" s="57"/>
      <c r="J26" s="56"/>
      <c r="K26" s="56"/>
      <c r="L26" s="57"/>
      <c r="M26" s="56"/>
    </row>
    <row r="27" spans="1:13" ht="19.5">
      <c r="A27" s="58"/>
      <c r="B27" s="70" t="s">
        <v>36</v>
      </c>
      <c r="C27" s="58"/>
      <c r="D27" s="58"/>
      <c r="E27" s="58"/>
      <c r="F27" s="58"/>
      <c r="G27" s="58"/>
      <c r="H27" s="58"/>
      <c r="I27" s="70" t="s">
        <v>37</v>
      </c>
      <c r="J27" s="58"/>
      <c r="K27" s="58"/>
      <c r="L27" s="58"/>
      <c r="M27" s="58"/>
    </row>
    <row r="28" spans="1:13">
      <c r="F28" s="81"/>
      <c r="G28" s="81"/>
    </row>
    <row r="29" spans="1:13">
      <c r="L29" s="82">
        <f>J25-M25</f>
        <v>174</v>
      </c>
    </row>
  </sheetData>
  <mergeCells count="26">
    <mergeCell ref="F18:G18"/>
    <mergeCell ref="F19:G19"/>
    <mergeCell ref="B25:E25"/>
    <mergeCell ref="F20:G20"/>
    <mergeCell ref="F21:G21"/>
    <mergeCell ref="F22:G22"/>
    <mergeCell ref="F23:G23"/>
    <mergeCell ref="B24:E24"/>
    <mergeCell ref="F24:G24"/>
    <mergeCell ref="F13:G13"/>
    <mergeCell ref="F14:G14"/>
    <mergeCell ref="F15:G15"/>
    <mergeCell ref="F16:G16"/>
    <mergeCell ref="F17:G17"/>
    <mergeCell ref="F8:G8"/>
    <mergeCell ref="F9:G9"/>
    <mergeCell ref="F10:G10"/>
    <mergeCell ref="F11:G11"/>
    <mergeCell ref="F12:G12"/>
    <mergeCell ref="A1:M1"/>
    <mergeCell ref="C2:M2"/>
    <mergeCell ref="B4:E6"/>
    <mergeCell ref="F4:G5"/>
    <mergeCell ref="H4:J4"/>
    <mergeCell ref="K4:M4"/>
    <mergeCell ref="F6:G6"/>
  </mergeCells>
  <phoneticPr fontId="2" type="noConversion"/>
  <printOptions horizontalCentered="1"/>
  <pageMargins left="0.78740157480314965" right="0.59055118110236227" top="0.59055118110236227" bottom="1.1811023622047245" header="0" footer="0"/>
  <pageSetup paperSize="9" scale="90" pageOrder="overThenDown" orientation="portrait" r:id="rId1"/>
  <headerFooter alignWithMargins="0">
    <oddHeader xml:space="preserve">&amp;R
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9</vt:i4>
      </vt:variant>
    </vt:vector>
  </HeadingPairs>
  <TitlesOfParts>
    <vt:vector size="14" baseType="lpstr">
      <vt:lpstr>數量計算總表</vt:lpstr>
      <vt:lpstr>表4_工程數量統計表1</vt:lpstr>
      <vt:lpstr>表5_元件數量計算表</vt:lpstr>
      <vt:lpstr>斷面數量(原有)</vt:lpstr>
      <vt:lpstr>斷面數量</vt:lpstr>
      <vt:lpstr>表4_工程數量統計表1!Print_Area</vt:lpstr>
      <vt:lpstr>表5_元件數量計算表!Print_Area</vt:lpstr>
      <vt:lpstr>數量計算總表!Print_Area</vt:lpstr>
      <vt:lpstr>斷面數量!Print_Area</vt:lpstr>
      <vt:lpstr>'斷面數量(原有)'!Print_Area</vt:lpstr>
      <vt:lpstr>表4_工程數量統計表1!Print_Titles</vt:lpstr>
      <vt:lpstr>表5_元件數量計算表!Print_Titles</vt:lpstr>
      <vt:lpstr>數量計算總表!Print_Titles</vt:lpstr>
      <vt:lpstr>表5_元件數量計算表!元件項目起始列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2023-04-14T08:29:50Z</cp:lastPrinted>
  <dcterms:created xsi:type="dcterms:W3CDTF">1995-09-04T09:06:05Z</dcterms:created>
  <dcterms:modified xsi:type="dcterms:W3CDTF">2023-04-17T04:00:30Z</dcterms:modified>
</cp:coreProperties>
</file>