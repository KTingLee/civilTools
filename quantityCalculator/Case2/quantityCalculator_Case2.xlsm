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joe_GitHub\civilTools\quantityCalculator\Case2\"/>
    </mc:Choice>
  </mc:AlternateContent>
  <xr:revisionPtr revIDLastSave="0" documentId="13_ncr:1_{AA9D9EB9-53D3-4694-9448-D0127D398CD2}" xr6:coauthVersionLast="47" xr6:coauthVersionMax="47" xr10:uidLastSave="{00000000-0000-0000-0000-000000000000}"/>
  <bookViews>
    <workbookView xWindow="-120" yWindow="-120" windowWidth="29040" windowHeight="15840" tabRatio="789" xr2:uid="{00000000-000D-0000-FFFF-FFFF00000000}"/>
  </bookViews>
  <sheets>
    <sheet name="VBA_setting" sheetId="2418" r:id="rId1"/>
    <sheet name="數量計算總表" sheetId="2322" r:id="rId2"/>
    <sheet name="表1_橋梁工程數量統計表" sheetId="2359" r:id="rId3"/>
    <sheet name="表2_道路排水工程數量統計表 " sheetId="2360" r:id="rId4"/>
    <sheet name="材料整理" sheetId="2419" r:id="rId5"/>
    <sheet name="表3_元件數量計算表" sheetId="2358" r:id="rId6"/>
    <sheet name="表4_土方數量計算表" sheetId="2357" r:id="rId7"/>
    <sheet name="表5_道路面積數量計算表" sheetId="2361" r:id="rId8"/>
    <sheet name="表6_標線數量計算表" sheetId="2332" r:id="rId9"/>
  </sheets>
  <functionGroups builtInGroupCount="19"/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_____key2" localSheetId="7" hidden="1">'[1]單價分析表(1-11)'!#REF!</definedName>
    <definedName name="______key2" hidden="1">'[1]單價分析表(1-11)'!#REF!</definedName>
    <definedName name="_____ke1" localSheetId="7" hidden="1">'[2]單價分析表(1-11)'!#REF!</definedName>
    <definedName name="_____ke1" hidden="1">'[2]單價分析表(1-11)'!#REF!</definedName>
    <definedName name="_____key2" localSheetId="7" hidden="1">'[1]單價分析表(1-11)'!#REF!</definedName>
    <definedName name="_____key2" hidden="1">'[1]單價分析表(1-11)'!#REF!</definedName>
    <definedName name="_____key222" localSheetId="7" hidden="1">'[3]單價分析表(1-11)'!#REF!</definedName>
    <definedName name="_____key222" hidden="1">'[3]單價分析表(1-11)'!#REF!</definedName>
    <definedName name="_____kk1" localSheetId="7" hidden="1">'[4]單價分析表(1-11)'!#REF!</definedName>
    <definedName name="_____kk1" hidden="1">'[4]單價分析表(1-11)'!#REF!</definedName>
    <definedName name="_____ss1" localSheetId="7" hidden="1">'[4]單價分析表(1-11)'!#REF!</definedName>
    <definedName name="_____ss1" hidden="1">'[4]單價分析表(1-11)'!#REF!</definedName>
    <definedName name="____a1" localSheetId="7" hidden="1">'[5]單價分析表(1-11)'!#REF!</definedName>
    <definedName name="____a1" hidden="1">'[5]單價分析表(1-11)'!#REF!</definedName>
    <definedName name="____ke1" localSheetId="7" hidden="1">'[2]單價分析表(1-11)'!#REF!</definedName>
    <definedName name="____ke1" hidden="1">'[2]單價分析表(1-11)'!#REF!</definedName>
    <definedName name="____key2" localSheetId="7" hidden="1">'[6]單價分析表(1-11)'!#REF!</definedName>
    <definedName name="____key2" hidden="1">'[6]單價分析表(1-11)'!#REF!</definedName>
    <definedName name="____key222" localSheetId="7" hidden="1">'[3]單價分析表(1-11)'!#REF!</definedName>
    <definedName name="____key222" hidden="1">'[3]單價分析表(1-11)'!#REF!</definedName>
    <definedName name="____kk1" localSheetId="7" hidden="1">'[4]單價分析表(1-11)'!#REF!</definedName>
    <definedName name="____kk1" hidden="1">'[4]單價分析表(1-11)'!#REF!</definedName>
    <definedName name="____ss1" localSheetId="7" hidden="1">'[4]單價分析表(1-11)'!#REF!</definedName>
    <definedName name="____ss1" hidden="1">'[4]單價分析表(1-11)'!#REF!</definedName>
    <definedName name="___1S" localSheetId="7" hidden="1">'[7]單價分析表(1-11)'!#REF!</definedName>
    <definedName name="___1S" hidden="1">'[7]單價分析表(1-11)'!#REF!</definedName>
    <definedName name="___a1" localSheetId="7" hidden="1">'[5]單價分析表(1-11)'!#REF!</definedName>
    <definedName name="___a1" hidden="1">'[5]單價分析表(1-11)'!#REF!</definedName>
    <definedName name="___ke1" localSheetId="7" hidden="1">'[2]單價分析表(1-11)'!#REF!</definedName>
    <definedName name="___ke1" hidden="1">'[2]單價分析表(1-11)'!#REF!</definedName>
    <definedName name="___key2" localSheetId="7" hidden="1">'[6]單價分析表(1-11)'!#REF!</definedName>
    <definedName name="___key2" hidden="1">'[6]單價分析表(1-11)'!#REF!</definedName>
    <definedName name="___key222" localSheetId="7" hidden="1">'[3]單價分析表(1-11)'!#REF!</definedName>
    <definedName name="___key222" hidden="1">'[3]單價分析表(1-11)'!#REF!</definedName>
    <definedName name="___kk1" localSheetId="7" hidden="1">'[4]單價分析表(1-11)'!#REF!</definedName>
    <definedName name="___kk1" hidden="1">'[4]單價分析表(1-11)'!#REF!</definedName>
    <definedName name="___ss1" localSheetId="7" hidden="1">'[4]單價分析表(1-11)'!#REF!</definedName>
    <definedName name="___ss1" hidden="1">'[4]單價分析表(1-11)'!#REF!</definedName>
    <definedName name="__1S" localSheetId="7" hidden="1">'[7]單價分析表(1-11)'!#REF!</definedName>
    <definedName name="__1S" hidden="1">'[7]單價分析表(1-11)'!#REF!</definedName>
    <definedName name="__3_0_S" localSheetId="7" hidden="1">'[7]單價分析表(1-11)'!#REF!</definedName>
    <definedName name="__3_0_S" hidden="1">'[7]單價分析表(1-11)'!#REF!</definedName>
    <definedName name="__a1" localSheetId="7" hidden="1">'[5]單價分析表(1-11)'!#REF!</definedName>
    <definedName name="__a1" hidden="1">'[5]單價分析表(1-11)'!#REF!</definedName>
    <definedName name="__ke1" localSheetId="7" hidden="1">'[2]單價分析表(1-11)'!#REF!</definedName>
    <definedName name="__ke1" hidden="1">'[2]單價分析表(1-11)'!#REF!</definedName>
    <definedName name="__key2" localSheetId="7" hidden="1">'[6]單價分析表(1-11)'!#REF!</definedName>
    <definedName name="__key2" hidden="1">'[6]單價分析表(1-11)'!#REF!</definedName>
    <definedName name="__key222" localSheetId="7" hidden="1">'[3]單價分析表(1-11)'!#REF!</definedName>
    <definedName name="__key222" hidden="1">'[3]單價分析表(1-11)'!#REF!</definedName>
    <definedName name="__kk1" localSheetId="7" hidden="1">'[4]單價分析表(1-11)'!#REF!</definedName>
    <definedName name="__kk1" hidden="1">'[4]單價分析表(1-11)'!#REF!</definedName>
    <definedName name="__ss1" localSheetId="7" hidden="1">'[4]單價分析表(1-11)'!#REF!</definedName>
    <definedName name="__ss1" hidden="1">'[4]單價分析表(1-11)'!#REF!</definedName>
    <definedName name="_15a1_" localSheetId="7" hidden="1">'[5]單價分析表(1-11)'!#REF!</definedName>
    <definedName name="_15a1_" hidden="1">'[5]單價分析表(1-11)'!#REF!</definedName>
    <definedName name="_1S" localSheetId="7" hidden="1">'[7]單價分析表(1-11)'!#REF!</definedName>
    <definedName name="_1S" hidden="1">'[7]單價分析表(1-11)'!#REF!</definedName>
    <definedName name="_2_0_S" localSheetId="7" hidden="1">'[7]單價分析表(1-11)'!#REF!</definedName>
    <definedName name="_2_0_S" hidden="1">'[7]單價分析表(1-11)'!#REF!</definedName>
    <definedName name="_25_0_S" localSheetId="7" hidden="1">'[7]單價分析表(1-11)'!#REF!</definedName>
    <definedName name="_25_0_S" hidden="1">'[7]單價分析表(1-11)'!#REF!</definedName>
    <definedName name="_26_0_S" localSheetId="7" hidden="1">'[7]單價分析表(1-11)'!#REF!</definedName>
    <definedName name="_26_0_S" hidden="1">'[7]單價分析表(1-11)'!#REF!</definedName>
    <definedName name="_2S" localSheetId="7" hidden="1">'[7]單價分析表(1-11)'!#REF!</definedName>
    <definedName name="_2S" hidden="1">'[7]單價分析表(1-11)'!#REF!</definedName>
    <definedName name="_3_0_S" localSheetId="7" hidden="1">'[7]單價分析表(1-11)'!#REF!</definedName>
    <definedName name="_3_0_S" hidden="1">'[7]單價分析表(1-11)'!#REF!</definedName>
    <definedName name="_3a1_" localSheetId="7" hidden="1">'[5]單價分析表(1-11)'!#REF!</definedName>
    <definedName name="_3a1_" hidden="1">'[5]單價分析表(1-11)'!#REF!</definedName>
    <definedName name="_3S" localSheetId="7" hidden="1">'[7]單價分析表(1-11)'!#REF!</definedName>
    <definedName name="_3S" hidden="1">'[7]單價分析表(1-11)'!#REF!</definedName>
    <definedName name="_5a1_" localSheetId="7" hidden="1">'[5]單價分析表(1-11)'!#REF!</definedName>
    <definedName name="_5a1_" hidden="1">'[5]單價分析表(1-11)'!#REF!</definedName>
    <definedName name="_71aa1_" localSheetId="7" hidden="1">'[8]單價分析表(1-11)'!#REF!</definedName>
    <definedName name="_71aa1_" hidden="1">'[8]單價分析表(1-11)'!#REF!</definedName>
    <definedName name="_9_0_S" localSheetId="7" hidden="1">'[7]單價分析表(1-11)'!#REF!</definedName>
    <definedName name="_9_0_S" hidden="1">'[7]單價分析表(1-11)'!#REF!</definedName>
    <definedName name="_98dd1_" localSheetId="7" hidden="1">'[8]單價分析表(1-11)'!#REF!</definedName>
    <definedName name="_98dd1_" hidden="1">'[8]單價分析表(1-11)'!#REF!</definedName>
    <definedName name="_9S" localSheetId="7" hidden="1">'[7]單價分析表(1-11)'!#REF!</definedName>
    <definedName name="_9S" hidden="1">'[7]單價分析表(1-11)'!#REF!</definedName>
    <definedName name="_a1" localSheetId="7" hidden="1">'[5]單價分析表(1-11)'!#REF!</definedName>
    <definedName name="_a1" hidden="1">'[5]單價分析表(1-11)'!#REF!</definedName>
    <definedName name="_Fill" localSheetId="7" hidden="1">#REF!</definedName>
    <definedName name="_Fill" hidden="1">#REF!</definedName>
    <definedName name="_xlnm._FilterDatabase" localSheetId="4" hidden="1">材料整理!$E$1:$E$111</definedName>
    <definedName name="_xlnm._FilterDatabase" localSheetId="5" hidden="1">表3_元件數量計算表!$B$5:$B$205</definedName>
    <definedName name="_xlnm._FilterDatabase" localSheetId="7" hidden="1">#REF!</definedName>
    <definedName name="_xlnm._FilterDatabase" hidden="1">#REF!</definedName>
    <definedName name="_ke1" localSheetId="7" hidden="1">'[2]單價分析表(1-11)'!#REF!</definedName>
    <definedName name="_ke1" hidden="1">'[2]單價分析表(1-11)'!#REF!</definedName>
    <definedName name="_Key1" localSheetId="7" hidden="1">'[2]單價分析表(1-11)'!#REF!</definedName>
    <definedName name="_Key1" hidden="1">'[2]單價分析表(1-11)'!#REF!</definedName>
    <definedName name="_Key2" hidden="1">[9]AC!$O$13</definedName>
    <definedName name="_key222" localSheetId="7" hidden="1">'[3]單價分析表(1-11)'!#REF!</definedName>
    <definedName name="_key222" hidden="1">'[3]單價分析表(1-11)'!#REF!</definedName>
    <definedName name="_key3" localSheetId="7" hidden="1">'[10]單價分析表(1-11)'!#REF!</definedName>
    <definedName name="_key3" hidden="1">'[10]單價分析表(1-11)'!#REF!</definedName>
    <definedName name="_key333" localSheetId="7" hidden="1">'[10]單價分析表(1-11)'!#REF!</definedName>
    <definedName name="_key333" hidden="1">'[10]單價分析表(1-11)'!#REF!</definedName>
    <definedName name="_kk1" localSheetId="7" hidden="1">'[4]單價分析表(1-11)'!#REF!</definedName>
    <definedName name="_kk1" hidden="1">'[4]單價分析表(1-11)'!#REF!</definedName>
    <definedName name="_Order1" hidden="1">255</definedName>
    <definedName name="_Order2" hidden="1">1</definedName>
    <definedName name="_Regression_Int" hidden="1">1</definedName>
    <definedName name="_Regression_Out" localSheetId="7" hidden="1">#REF!</definedName>
    <definedName name="_Regression_Out" hidden="1">#REF!</definedName>
    <definedName name="_Regression_X" localSheetId="7" hidden="1">#REF!</definedName>
    <definedName name="_Regression_X" hidden="1">#REF!</definedName>
    <definedName name="_Regression_Y" localSheetId="7" hidden="1">#REF!</definedName>
    <definedName name="_Regression_Y" hidden="1">#REF!</definedName>
    <definedName name="_Sort" localSheetId="7" hidden="1">'[2]單價分析表(1-11)'!#REF!</definedName>
    <definedName name="_Sort" hidden="1">'[2]單價分析表(1-11)'!#REF!</definedName>
    <definedName name="_sort2" localSheetId="7" hidden="1">'[1]單價分析表(1-11)'!#REF!</definedName>
    <definedName name="_sort2" hidden="1">'[1]單價分析表(1-11)'!#REF!</definedName>
    <definedName name="_ss1" localSheetId="7" hidden="1">'[4]單價分析表(1-11)'!#REF!</definedName>
    <definedName name="_ss1" hidden="1">'[4]單價分析表(1-11)'!#REF!</definedName>
    <definedName name="_Table1_In1" localSheetId="7" hidden="1">#REF!</definedName>
    <definedName name="_Table1_In1" hidden="1">#REF!</definedName>
    <definedName name="_Table1_Out" localSheetId="7" hidden="1">#REF!</definedName>
    <definedName name="_Table1_Out" hidden="1">#REF!</definedName>
    <definedName name="aaaa" localSheetId="7" hidden="1">'[7]單價分析表(1-11)'!#REF!</definedName>
    <definedName name="aaaa" hidden="1">'[7]單價分析表(1-11)'!#REF!</definedName>
    <definedName name="ad" localSheetId="7" hidden="1">'[11]單價分析表(1-11)'!#REF!</definedName>
    <definedName name="ad" hidden="1">'[11]單價分析表(1-11)'!#REF!</definedName>
    <definedName name="adytr" localSheetId="7" hidden="1">[12]Sheet2!#REF!</definedName>
    <definedName name="adytr" hidden="1">[12]Sheet2!#REF!</definedName>
    <definedName name="aq" localSheetId="7" hidden="1">'[13]單價分析表(1-11)'!#REF!</definedName>
    <definedName name="aq" hidden="1">'[13]單價分析表(1-11)'!#REF!</definedName>
    <definedName name="ds" localSheetId="7" hidden="1">#REF!</definedName>
    <definedName name="ds" hidden="1">#REF!</definedName>
    <definedName name="elementsMaterialSheetParam" comment="設定元件表變數">VBA_setting!$C$1</definedName>
    <definedName name="fff" localSheetId="7" hidden="1">#REF!</definedName>
    <definedName name="fff" hidden="1">#REF!</definedName>
    <definedName name="fgdfh" localSheetId="7" hidden="1">'[6]單價分析表(1-11)'!#REF!</definedName>
    <definedName name="fgdfh" hidden="1">'[6]單價分析表(1-11)'!#REF!</definedName>
    <definedName name="ghjhjj" localSheetId="7" hidden="1">'[14]單價分析表(1-11)'!#REF!</definedName>
    <definedName name="ghjhjj" hidden="1">'[14]單價分析表(1-11)'!#REF!</definedName>
    <definedName name="hjghjhj" localSheetId="7" hidden="1">'[15]單價分析表(1-11)'!#REF!</definedName>
    <definedName name="hjghjhj" hidden="1">'[15]單價分析表(1-11)'!#REF!</definedName>
    <definedName name="hjkli" localSheetId="7" hidden="1">[12]Sheet2!#REF!</definedName>
    <definedName name="hjkli" hidden="1">[12]Sheet2!#REF!</definedName>
    <definedName name="KE" localSheetId="7" hidden="1">'[16]單價分析表(1-11)'!#REF!</definedName>
    <definedName name="KE" hidden="1">'[16]單價分析表(1-11)'!#REF!</definedName>
    <definedName name="key" localSheetId="7" hidden="1">'[17]單價分析表(1-11)'!#REF!</definedName>
    <definedName name="key" hidden="1">'[17]單價分析表(1-11)'!#REF!</definedName>
    <definedName name="kkey1" localSheetId="7" hidden="1">'[18]單價分析表(1-11)'!#REF!</definedName>
    <definedName name="kkey1" hidden="1">'[18]單價分析表(1-11)'!#REF!</definedName>
    <definedName name="materialsQuantitySheetParam" comment="目標工程數量統計表名稱">VBA_setting!$C$3</definedName>
    <definedName name="newkey2" localSheetId="7" hidden="1">'[6]單價分析表(1-11)'!#REF!</definedName>
    <definedName name="newkey2" hidden="1">'[6]單價分析表(1-11)'!#REF!</definedName>
    <definedName name="oo" localSheetId="7" hidden="1">'[7]單價分析表(1-11)'!#REF!</definedName>
    <definedName name="oo" hidden="1">'[7]單價分析表(1-11)'!#REF!</definedName>
    <definedName name="p" localSheetId="7" hidden="1">'[7]單價分析表(1-11)'!#REF!</definedName>
    <definedName name="p" hidden="1">'[7]單價分析表(1-11)'!#REF!</definedName>
    <definedName name="pp" localSheetId="7" hidden="1">'[19]單價分析表(1-11)'!#REF!</definedName>
    <definedName name="pp" hidden="1">'[19]單價分析表(1-11)'!#REF!</definedName>
    <definedName name="ppp" localSheetId="7" hidden="1">[12]Sheet2!#REF!</definedName>
    <definedName name="ppp" hidden="1">[12]Sheet2!#REF!</definedName>
    <definedName name="_xlnm.Print_Area" localSheetId="2">表1_橋梁工程數量統計表!$A$3:$O$32</definedName>
    <definedName name="_xlnm.Print_Area" localSheetId="3">'表2_道路排水工程數量統計表 '!$A$3:$T$23</definedName>
    <definedName name="_xlnm.Print_Area" localSheetId="5">表3_元件數量計算表!$A$1:$F$205</definedName>
    <definedName name="_xlnm.Print_Area" localSheetId="6">表4_土方數量計算表!$A$1:$M$36</definedName>
    <definedName name="_xlnm.Print_Area" localSheetId="7">表5_道路面積數量計算表!$A$1:$M$61</definedName>
    <definedName name="_xlnm.Print_Area" localSheetId="8">表6_標線數量計算表!$A$1:$M$43</definedName>
    <definedName name="_xlnm.Print_Area" localSheetId="1">數量計算總表!$A$1:$G$98</definedName>
    <definedName name="_xlnm.Print_Titles" localSheetId="2">表1_橋梁工程數量統計表!$A:$C</definedName>
    <definedName name="_xlnm.Print_Titles" localSheetId="3">'表2_道路排水工程數量統計表 '!$A:$C</definedName>
    <definedName name="_xlnm.Print_Titles" localSheetId="5">表3_元件數量計算表!$1:$5</definedName>
    <definedName name="_xlnm.Print_Titles" localSheetId="7">表5_道路面積數量計算表!$1:$3</definedName>
    <definedName name="_xlnm.Print_Titles" localSheetId="8">表6_標線數量計算表!$1:$6</definedName>
    <definedName name="_xlnm.Print_Titles" localSheetId="1">數量計算總表!$1:$5</definedName>
    <definedName name="s" localSheetId="7" hidden="1">'[6]單價分析表(1-11)'!#REF!</definedName>
    <definedName name="s" hidden="1">'[6]單價分析表(1-11)'!#REF!</definedName>
    <definedName name="sor" localSheetId="7" hidden="1">'[2]單價分析表(1-11)'!#REF!</definedName>
    <definedName name="sor" hidden="1">'[2]單價分析表(1-11)'!#REF!</definedName>
    <definedName name="sort" localSheetId="7" hidden="1">'[17]單價分析表(1-11)'!#REF!</definedName>
    <definedName name="sort" hidden="1">'[17]單價分析表(1-11)'!#REF!</definedName>
    <definedName name="sort1" localSheetId="7" hidden="1">'[6]單價分析表(1-11)'!#REF!</definedName>
    <definedName name="sort1" hidden="1">'[6]單價分析表(1-11)'!#REF!</definedName>
    <definedName name="sort2" localSheetId="7" hidden="1">'[1]單價分析表(1-11)'!#REF!</definedName>
    <definedName name="sort2" hidden="1">'[1]單價分析表(1-11)'!#REF!</definedName>
    <definedName name="srrt" localSheetId="7" hidden="1">'[3]單價分析表(1-11)'!#REF!</definedName>
    <definedName name="srrt" hidden="1">'[3]單價分析表(1-11)'!#REF!</definedName>
    <definedName name="sss" localSheetId="7" hidden="1">#REF!</definedName>
    <definedName name="sss" hidden="1">#REF!</definedName>
    <definedName name="ttrdhm" localSheetId="7" hidden="1">[12]Sheet2!#REF!</definedName>
    <definedName name="ttrdhm" hidden="1">[12]Sheet2!#REF!</definedName>
    <definedName name="workNoParam" comment="設定工程編號(阿拉伯數字即可)，與元件表中的工程編號對應">VBA_setting!$C$2</definedName>
    <definedName name="wrn.SDD2水理." hidden="1">{#N/A,#N/A,TRUE,"SDD2水文計算";#N/A,#N/A,TRUE,"SDD2水理計算書"}</definedName>
    <definedName name="WW" localSheetId="7" hidden="1">'[1]單價分析表(1-11)'!#REF!</definedName>
    <definedName name="WW" hidden="1">'[1]單價分析表(1-11)'!#REF!</definedName>
    <definedName name="zsdf" localSheetId="7" hidden="1">'[10]單價分析表(1-11)'!#REF!</definedName>
    <definedName name="zsdf" hidden="1">'[10]單價分析表(1-11)'!#REF!</definedName>
    <definedName name="一" localSheetId="7" hidden="1">[20]Sheet2!#REF!</definedName>
    <definedName name="一" hidden="1">[20]Sheet2!#REF!</definedName>
    <definedName name="二" localSheetId="7" hidden="1">[20]Sheet2!#REF!</definedName>
    <definedName name="二" hidden="1">[20]Sheet2!#REF!</definedName>
    <definedName name="土1" localSheetId="7" hidden="1">#REF!</definedName>
    <definedName name="土1" hidden="1">#REF!</definedName>
    <definedName name="工期明細表" localSheetId="7" hidden="1">#REF!</definedName>
    <definedName name="工期明細表" hidden="1">#REF!</definedName>
    <definedName name="四" localSheetId="7" hidden="1">[20]Sheet2!#REF!</definedName>
    <definedName name="四" hidden="1">[20]Sheet2!#REF!</definedName>
    <definedName name="決算" localSheetId="7" hidden="1">#REF!</definedName>
    <definedName name="決算" hidden="1">#REF!</definedName>
    <definedName name="枋" localSheetId="7" hidden="1">#REF!</definedName>
    <definedName name="枋" hidden="1">#REF!</definedName>
    <definedName name="封面2" hidden="1">[21]預2!$A$8:$A$32</definedName>
    <definedName name="箱涵" localSheetId="7" hidden="1">[20]Sheet2!#REF!</definedName>
    <definedName name="箱涵" hidden="1">[20]Sheet2!#REF!</definedName>
    <definedName name="橋" localSheetId="7" hidden="1">'[22]單價分析表(1-11)'!#REF!</definedName>
    <definedName name="橋" hidden="1">'[22]單價分析表(1-11)'!#REF!</definedName>
    <definedName name="變更" localSheetId="7" hidden="1">'[1]單價分析表(1-11)'!#REF!</definedName>
    <definedName name="變更" hidden="1">'[1]單價分析表(1-11)'!#REF!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9" i="2360" l="1"/>
  <c r="S7" i="2360"/>
  <c r="S6" i="2360"/>
  <c r="R9" i="2360"/>
  <c r="R7" i="2360"/>
  <c r="R6" i="2360"/>
  <c r="Q23" i="2360"/>
  <c r="Q9" i="2360"/>
  <c r="Q7" i="2360"/>
  <c r="Q6" i="2360"/>
  <c r="P23" i="2360"/>
  <c r="P10" i="2360"/>
  <c r="P9" i="2360"/>
  <c r="P8" i="2360"/>
  <c r="P7" i="2360"/>
  <c r="P6" i="2360"/>
  <c r="O23" i="2360"/>
  <c r="O10" i="2360"/>
  <c r="O9" i="2360"/>
  <c r="O8" i="2360"/>
  <c r="O7" i="2360"/>
  <c r="O6" i="2360"/>
  <c r="N23" i="2360"/>
  <c r="N9" i="2360"/>
  <c r="N7" i="2360"/>
  <c r="N6" i="2360"/>
  <c r="M22" i="2360"/>
  <c r="M9" i="2360"/>
  <c r="M7" i="2360"/>
  <c r="M6" i="2360"/>
  <c r="L21" i="2360"/>
  <c r="L9" i="2360"/>
  <c r="L7" i="2360"/>
  <c r="L6" i="2360"/>
  <c r="K20" i="2360"/>
  <c r="K19" i="2360"/>
  <c r="K13" i="2360"/>
  <c r="K9" i="2360"/>
  <c r="K7" i="2360"/>
  <c r="J10" i="2360"/>
  <c r="J9" i="2360"/>
  <c r="J8" i="2360"/>
  <c r="J7" i="2360"/>
  <c r="J6" i="2360"/>
  <c r="I18" i="2360"/>
  <c r="I10" i="2360"/>
  <c r="I9" i="2360"/>
  <c r="I7" i="2360"/>
  <c r="I6" i="2360"/>
  <c r="H15" i="2360"/>
  <c r="H8" i="2360"/>
  <c r="H6" i="2360"/>
  <c r="G15" i="2360"/>
  <c r="G8" i="2360"/>
  <c r="G6" i="2360"/>
  <c r="F16" i="2360"/>
  <c r="F15" i="2360"/>
  <c r="F10" i="2360"/>
  <c r="F8" i="2360"/>
  <c r="F7" i="2360"/>
  <c r="F6" i="2360"/>
  <c r="E17" i="2360"/>
  <c r="E16" i="2360"/>
  <c r="E15" i="2360"/>
  <c r="E14" i="2360"/>
  <c r="E13" i="2360"/>
  <c r="E10" i="2360"/>
  <c r="E8" i="2360"/>
  <c r="E7" i="2360"/>
  <c r="E6" i="2360"/>
  <c r="D14" i="2360"/>
  <c r="D13" i="2360"/>
  <c r="D12" i="2360"/>
  <c r="D11" i="2360"/>
  <c r="D10" i="2360"/>
  <c r="D9" i="2360"/>
  <c r="D8" i="2360"/>
  <c r="D7" i="2360"/>
  <c r="D6" i="2360"/>
  <c r="C23" i="2360"/>
  <c r="C22" i="2360"/>
  <c r="C21" i="2360"/>
  <c r="C20" i="2360"/>
  <c r="C19" i="2360"/>
  <c r="C18" i="2360"/>
  <c r="C17" i="2360"/>
  <c r="C16" i="2360"/>
  <c r="C15" i="2360"/>
  <c r="C14" i="2360"/>
  <c r="C13" i="2360"/>
  <c r="C12" i="2360"/>
  <c r="C11" i="2360"/>
  <c r="C10" i="2360"/>
  <c r="C9" i="2360"/>
  <c r="C8" i="2360"/>
  <c r="C7" i="2360"/>
  <c r="C6" i="2360"/>
  <c r="E17" i="2358" a="1"/>
  <c r="E17" i="2358" s="1"/>
  <c r="E29" i="2358" a="1"/>
  <c r="E29" i="2358" s="1"/>
  <c r="E38" i="2358" a="1"/>
  <c r="E38" i="2358" s="1"/>
  <c r="E43" i="2358" a="1"/>
  <c r="E43" i="2358" s="1"/>
  <c r="E48" i="2358" a="1"/>
  <c r="E48" i="2358"/>
  <c r="E54" i="2358" a="1"/>
  <c r="E54" i="2358"/>
  <c r="E65" i="2358" a="1"/>
  <c r="E65" i="2358" s="1"/>
  <c r="E76" i="2358" a="1"/>
  <c r="E76" i="2358" s="1"/>
  <c r="E83" i="2358" a="1"/>
  <c r="E83" i="2358" s="1"/>
  <c r="E88" i="2358" a="1"/>
  <c r="E88" i="2358" s="1"/>
  <c r="E93" i="2358" a="1"/>
  <c r="E93" i="2358"/>
  <c r="E94" i="2358" a="1"/>
  <c r="E94" i="2358" s="1"/>
  <c r="E105" i="2358" a="1"/>
  <c r="E105" i="2358"/>
  <c r="E116" i="2358" a="1"/>
  <c r="E116" i="2358" s="1"/>
  <c r="E124" i="2358" a="1"/>
  <c r="E124" i="2358" s="1"/>
  <c r="E129" i="2358" a="1"/>
  <c r="E129" i="2358"/>
  <c r="E134" i="2358" a="1"/>
  <c r="E134" i="2358" s="1"/>
  <c r="E141" i="2358" a="1"/>
  <c r="E141" i="2358"/>
  <c r="E148" i="2358" a="1"/>
  <c r="E148" i="2358" s="1"/>
  <c r="E155" i="2358" a="1"/>
  <c r="E155" i="2358" s="1"/>
  <c r="E161" i="2358" a="1"/>
  <c r="E161" i="2358" s="1"/>
  <c r="E167" i="2358" a="1"/>
  <c r="E167" i="2358" s="1"/>
  <c r="E173" i="2358" a="1"/>
  <c r="E173" i="2358" s="1"/>
  <c r="E181" i="2358" a="1"/>
  <c r="E181" i="2358" s="1"/>
  <c r="E189" i="2358" a="1"/>
  <c r="E189" i="2358"/>
  <c r="E195" i="2358" a="1"/>
  <c r="E195" i="2358"/>
  <c r="E200" i="2358" a="1"/>
  <c r="E200" i="2358" s="1"/>
  <c r="E205" i="2358" a="1"/>
  <c r="E205" i="2358" s="1"/>
  <c r="E9" i="2358" a="1"/>
  <c r="E15" i="2358" a="1"/>
  <c r="E21" i="2358" a="1"/>
  <c r="E27" i="2358" a="1"/>
  <c r="E33" i="2358" a="1"/>
  <c r="E39" i="2358" a="1"/>
  <c r="E45" i="2358" a="1"/>
  <c r="E51" i="2358" a="1"/>
  <c r="E57" i="2358" a="1"/>
  <c r="E63" i="2358" a="1"/>
  <c r="E69" i="2358" a="1"/>
  <c r="E75" i="2358" a="1"/>
  <c r="E87" i="2358" a="1"/>
  <c r="E123" i="2358" a="1"/>
  <c r="E135" i="2358" a="1"/>
  <c r="E147" i="2358" a="1"/>
  <c r="E159" i="2358" a="1"/>
  <c r="E165" i="2358" a="1"/>
  <c r="E177" i="2358" a="1"/>
  <c r="E201" i="2358" a="1"/>
  <c r="E10" i="2358" a="1"/>
  <c r="E16" i="2358" a="1"/>
  <c r="E22" i="2358" a="1"/>
  <c r="E28" i="2358" a="1"/>
  <c r="E34" i="2358" a="1"/>
  <c r="E40" i="2358" a="1"/>
  <c r="E46" i="2358" a="1"/>
  <c r="E52" i="2358" a="1"/>
  <c r="E58" i="2358" a="1"/>
  <c r="E64" i="2358" a="1"/>
  <c r="E70" i="2358" a="1"/>
  <c r="E82" i="2358" a="1"/>
  <c r="E100" i="2358" a="1"/>
  <c r="E106" i="2358" a="1"/>
  <c r="E112" i="2358" a="1"/>
  <c r="E118" i="2358" a="1"/>
  <c r="E130" i="2358" a="1"/>
  <c r="E136" i="2358" a="1"/>
  <c r="E142" i="2358" a="1"/>
  <c r="E154" i="2358" a="1"/>
  <c r="E160" i="2358" a="1"/>
  <c r="E166" i="2358" a="1"/>
  <c r="E172" i="2358" a="1"/>
  <c r="E178" i="2358" a="1"/>
  <c r="E184" i="2358" a="1"/>
  <c r="E190" i="2358" a="1"/>
  <c r="E196" i="2358" a="1"/>
  <c r="E202" i="2358" a="1"/>
  <c r="E182" i="2358" a="1"/>
  <c r="E23" i="2358" a="1"/>
  <c r="E41" i="2358" a="1"/>
  <c r="E59" i="2358" a="1"/>
  <c r="E71" i="2358" a="1"/>
  <c r="E77" i="2358" a="1"/>
  <c r="E89" i="2358" a="1"/>
  <c r="E95" i="2358" a="1"/>
  <c r="E107" i="2358" a="1"/>
  <c r="E119" i="2358" a="1"/>
  <c r="E131" i="2358" a="1"/>
  <c r="E143" i="2358" a="1"/>
  <c r="E185" i="2358" a="1"/>
  <c r="E197" i="2358" a="1"/>
  <c r="E152" i="2358" a="1"/>
  <c r="E11" i="2358" a="1"/>
  <c r="E35" i="2358" a="1"/>
  <c r="E47" i="2358" a="1"/>
  <c r="E53" i="2358" a="1"/>
  <c r="E101" i="2358" a="1"/>
  <c r="E113" i="2358" a="1"/>
  <c r="E125" i="2358" a="1"/>
  <c r="E137" i="2358" a="1"/>
  <c r="E149" i="2358" a="1"/>
  <c r="E179" i="2358" a="1"/>
  <c r="E191" i="2358" a="1"/>
  <c r="E203" i="2358" a="1"/>
  <c r="E194" i="2358" a="1"/>
  <c r="E96" i="2358" a="1"/>
  <c r="E114" i="2358" a="1"/>
  <c r="E132" i="2358" a="1"/>
  <c r="E144" i="2358" a="1"/>
  <c r="E156" i="2358" a="1"/>
  <c r="E168" i="2358" a="1"/>
  <c r="E180" i="2358" a="1"/>
  <c r="E192" i="2358" a="1"/>
  <c r="E146" i="2358" a="1"/>
  <c r="E12" i="2358" a="1"/>
  <c r="E18" i="2358" a="1"/>
  <c r="E24" i="2358" a="1"/>
  <c r="E30" i="2358" a="1"/>
  <c r="E36" i="2358" a="1"/>
  <c r="E42" i="2358" a="1"/>
  <c r="E60" i="2358" a="1"/>
  <c r="E66" i="2358" a="1"/>
  <c r="E72" i="2358" a="1"/>
  <c r="E78" i="2358" a="1"/>
  <c r="E84" i="2358" a="1"/>
  <c r="E90" i="2358" a="1"/>
  <c r="E102" i="2358" a="1"/>
  <c r="E108" i="2358" a="1"/>
  <c r="E120" i="2358" a="1"/>
  <c r="E126" i="2358" a="1"/>
  <c r="E138" i="2358" a="1"/>
  <c r="E150" i="2358" a="1"/>
  <c r="E162" i="2358" a="1"/>
  <c r="E174" i="2358" a="1"/>
  <c r="E186" i="2358" a="1"/>
  <c r="E198" i="2358" a="1"/>
  <c r="E204" i="2358" a="1"/>
  <c r="E164" i="2358" a="1"/>
  <c r="E188" i="2358" a="1"/>
  <c r="E13" i="2358" a="1"/>
  <c r="E19" i="2358" a="1"/>
  <c r="E25" i="2358" a="1"/>
  <c r="E31" i="2358" a="1"/>
  <c r="E37" i="2358" a="1"/>
  <c r="E49" i="2358" a="1"/>
  <c r="E55" i="2358" a="1"/>
  <c r="E61" i="2358" a="1"/>
  <c r="E67" i="2358" a="1"/>
  <c r="E73" i="2358" a="1"/>
  <c r="E79" i="2358" a="1"/>
  <c r="E85" i="2358" a="1"/>
  <c r="E91" i="2358" a="1"/>
  <c r="E97" i="2358" a="1"/>
  <c r="E103" i="2358" a="1"/>
  <c r="E109" i="2358" a="1"/>
  <c r="E115" i="2358" a="1"/>
  <c r="E121" i="2358" a="1"/>
  <c r="E127" i="2358" a="1"/>
  <c r="E133" i="2358" a="1"/>
  <c r="E139" i="2358" a="1"/>
  <c r="E145" i="2358" a="1"/>
  <c r="E151" i="2358" a="1"/>
  <c r="E157" i="2358" a="1"/>
  <c r="E163" i="2358" a="1"/>
  <c r="E169" i="2358" a="1"/>
  <c r="E175" i="2358" a="1"/>
  <c r="E187" i="2358" a="1"/>
  <c r="E193" i="2358" a="1"/>
  <c r="E199" i="2358" a="1"/>
  <c r="E176" i="2358" a="1"/>
  <c r="E14" i="2358" a="1"/>
  <c r="E20" i="2358" a="1"/>
  <c r="E26" i="2358" a="1"/>
  <c r="E32" i="2358" a="1"/>
  <c r="E44" i="2358" a="1"/>
  <c r="E50" i="2358" a="1"/>
  <c r="E56" i="2358" a="1"/>
  <c r="E62" i="2358" a="1"/>
  <c r="E68" i="2358" a="1"/>
  <c r="E74" i="2358" a="1"/>
  <c r="E80" i="2358" a="1"/>
  <c r="E86" i="2358" a="1"/>
  <c r="E92" i="2358" a="1"/>
  <c r="E98" i="2358" a="1"/>
  <c r="E104" i="2358" a="1"/>
  <c r="E110" i="2358" a="1"/>
  <c r="E122" i="2358" a="1"/>
  <c r="E128" i="2358" a="1"/>
  <c r="E140" i="2358" a="1"/>
  <c r="E170" i="2358" a="1"/>
  <c r="E81" i="2358" a="1"/>
  <c r="E99" i="2358" a="1"/>
  <c r="E111" i="2358" a="1"/>
  <c r="E117" i="2358" a="1"/>
  <c r="E153" i="2358" a="1"/>
  <c r="E171" i="2358" a="1"/>
  <c r="E183" i="2358" a="1"/>
  <c r="E158" i="2358" a="1"/>
  <c r="E7" i="2358" a="1"/>
  <c r="E8" i="2358" a="1"/>
  <c r="E158" i="2358" l="1"/>
  <c r="E183" i="2358"/>
  <c r="E171" i="2358"/>
  <c r="E153" i="2358"/>
  <c r="E117" i="2358"/>
  <c r="E111" i="2358"/>
  <c r="E99" i="2358"/>
  <c r="E81" i="2358"/>
  <c r="E170" i="2358"/>
  <c r="E140" i="2358"/>
  <c r="E128" i="2358"/>
  <c r="E122" i="2358"/>
  <c r="E110" i="2358"/>
  <c r="E104" i="2358"/>
  <c r="E98" i="2358"/>
  <c r="E92" i="2358"/>
  <c r="E86" i="2358"/>
  <c r="E80" i="2358"/>
  <c r="E74" i="2358"/>
  <c r="E68" i="2358"/>
  <c r="E62" i="2358"/>
  <c r="E56" i="2358"/>
  <c r="E50" i="2358"/>
  <c r="E44" i="2358"/>
  <c r="E32" i="2358"/>
  <c r="E26" i="2358"/>
  <c r="E20" i="2358"/>
  <c r="E14" i="2358"/>
  <c r="E176" i="2358"/>
  <c r="E199" i="2358"/>
  <c r="E193" i="2358"/>
  <c r="E187" i="2358"/>
  <c r="E175" i="2358"/>
  <c r="E169" i="2358"/>
  <c r="E163" i="2358"/>
  <c r="E157" i="2358"/>
  <c r="E151" i="2358"/>
  <c r="E145" i="2358"/>
  <c r="E139" i="2358"/>
  <c r="E133" i="2358"/>
  <c r="E127" i="2358"/>
  <c r="E121" i="2358"/>
  <c r="E115" i="2358"/>
  <c r="E109" i="2358"/>
  <c r="E103" i="2358"/>
  <c r="E97" i="2358"/>
  <c r="E91" i="2358"/>
  <c r="E85" i="2358"/>
  <c r="E79" i="2358"/>
  <c r="E73" i="2358"/>
  <c r="E67" i="2358"/>
  <c r="E61" i="2358"/>
  <c r="E55" i="2358"/>
  <c r="E49" i="2358"/>
  <c r="E37" i="2358"/>
  <c r="E31" i="2358"/>
  <c r="E25" i="2358"/>
  <c r="E19" i="2358"/>
  <c r="E13" i="2358"/>
  <c r="E188" i="2358"/>
  <c r="E164" i="2358"/>
  <c r="E204" i="2358"/>
  <c r="E198" i="2358"/>
  <c r="E186" i="2358"/>
  <c r="E174" i="2358"/>
  <c r="E162" i="2358"/>
  <c r="E150" i="2358"/>
  <c r="E138" i="2358"/>
  <c r="E126" i="2358"/>
  <c r="E120" i="2358"/>
  <c r="E108" i="2358"/>
  <c r="E102" i="2358"/>
  <c r="E90" i="2358"/>
  <c r="E84" i="2358"/>
  <c r="E78" i="2358"/>
  <c r="E72" i="2358"/>
  <c r="E66" i="2358"/>
  <c r="E60" i="2358"/>
  <c r="E42" i="2358"/>
  <c r="E36" i="2358"/>
  <c r="E30" i="2358"/>
  <c r="E24" i="2358"/>
  <c r="E18" i="2358"/>
  <c r="E12" i="2358"/>
  <c r="E146" i="2358"/>
  <c r="E192" i="2358"/>
  <c r="E180" i="2358"/>
  <c r="E168" i="2358"/>
  <c r="E156" i="2358"/>
  <c r="E144" i="2358"/>
  <c r="E132" i="2358"/>
  <c r="E114" i="2358"/>
  <c r="E96" i="2358"/>
  <c r="E194" i="2358"/>
  <c r="E203" i="2358"/>
  <c r="E191" i="2358"/>
  <c r="E179" i="2358"/>
  <c r="E149" i="2358"/>
  <c r="E137" i="2358"/>
  <c r="E125" i="2358"/>
  <c r="E113" i="2358"/>
  <c r="E101" i="2358"/>
  <c r="E53" i="2358"/>
  <c r="E47" i="2358"/>
  <c r="E35" i="2358"/>
  <c r="E11" i="2358"/>
  <c r="E152" i="2358"/>
  <c r="E197" i="2358"/>
  <c r="E185" i="2358"/>
  <c r="E143" i="2358"/>
  <c r="E131" i="2358"/>
  <c r="E119" i="2358"/>
  <c r="E107" i="2358"/>
  <c r="E95" i="2358"/>
  <c r="E89" i="2358"/>
  <c r="E77" i="2358"/>
  <c r="E71" i="2358"/>
  <c r="E59" i="2358"/>
  <c r="E41" i="2358"/>
  <c r="E23" i="2358"/>
  <c r="E182" i="2358"/>
  <c r="E202" i="2358"/>
  <c r="E196" i="2358"/>
  <c r="E190" i="2358"/>
  <c r="E184" i="2358"/>
  <c r="E178" i="2358"/>
  <c r="E172" i="2358"/>
  <c r="E166" i="2358"/>
  <c r="E160" i="2358"/>
  <c r="E154" i="2358"/>
  <c r="E142" i="2358"/>
  <c r="E136" i="2358"/>
  <c r="E130" i="2358"/>
  <c r="E118" i="2358"/>
  <c r="E112" i="2358"/>
  <c r="E106" i="2358"/>
  <c r="E100" i="2358"/>
  <c r="E82" i="2358"/>
  <c r="E70" i="2358"/>
  <c r="E64" i="2358"/>
  <c r="E58" i="2358"/>
  <c r="E52" i="2358"/>
  <c r="I21" i="2359" s="1"/>
  <c r="E46" i="2358"/>
  <c r="E40" i="2358"/>
  <c r="E34" i="2358"/>
  <c r="E28" i="2358"/>
  <c r="E22" i="2358"/>
  <c r="E16" i="2358"/>
  <c r="E10" i="2358"/>
  <c r="E201" i="2358"/>
  <c r="E177" i="2358"/>
  <c r="E165" i="2358"/>
  <c r="E159" i="2358"/>
  <c r="E147" i="2358"/>
  <c r="E135" i="2358"/>
  <c r="E123" i="2358"/>
  <c r="E87" i="2358"/>
  <c r="E75" i="2358"/>
  <c r="E69" i="2358"/>
  <c r="E63" i="2358"/>
  <c r="E57" i="2358"/>
  <c r="E51" i="2358"/>
  <c r="E45" i="2358"/>
  <c r="E39" i="2358"/>
  <c r="E33" i="2358"/>
  <c r="E27" i="2358"/>
  <c r="E21" i="2358"/>
  <c r="E15" i="2358"/>
  <c r="E9" i="2358"/>
  <c r="E7" i="2358"/>
  <c r="E8" i="2358"/>
  <c r="K15" i="2359"/>
  <c r="K25" i="2359"/>
  <c r="D8" i="2359"/>
  <c r="J27" i="2359"/>
  <c r="J9" i="2359"/>
  <c r="E12" i="2359"/>
  <c r="E7" i="2359"/>
  <c r="J24" i="2359"/>
  <c r="H21" i="2359"/>
  <c r="N32" i="2359"/>
  <c r="O32" i="2359" s="1"/>
  <c r="N10" i="2359"/>
  <c r="N9" i="2359"/>
  <c r="M31" i="2359"/>
  <c r="M10" i="2359"/>
  <c r="M8" i="2359"/>
  <c r="L31" i="2359"/>
  <c r="L12" i="2359"/>
  <c r="L10" i="2359"/>
  <c r="L9" i="2359"/>
  <c r="K30" i="2359"/>
  <c r="K29" i="2359"/>
  <c r="K28" i="2359"/>
  <c r="K26" i="2359"/>
  <c r="K23" i="2359"/>
  <c r="K10" i="2359"/>
  <c r="K9" i="2359"/>
  <c r="J28" i="2359"/>
  <c r="J26" i="2359"/>
  <c r="J25" i="2359"/>
  <c r="J23" i="2359"/>
  <c r="J15" i="2359"/>
  <c r="J10" i="2359"/>
  <c r="I22" i="2359"/>
  <c r="I9" i="2359"/>
  <c r="I8" i="2359"/>
  <c r="H9" i="2359"/>
  <c r="H8" i="2359"/>
  <c r="G21" i="2359"/>
  <c r="G9" i="2359"/>
  <c r="G8" i="2359"/>
  <c r="F20" i="2359"/>
  <c r="F19" i="2359"/>
  <c r="F18" i="2359"/>
  <c r="F17" i="2359"/>
  <c r="F16" i="2359"/>
  <c r="F11" i="2359"/>
  <c r="F9" i="2359"/>
  <c r="E15" i="2359"/>
  <c r="E14" i="2359"/>
  <c r="E13" i="2359"/>
  <c r="E11" i="2359"/>
  <c r="E10" i="2359"/>
  <c r="E9" i="2359"/>
  <c r="E8" i="2359"/>
  <c r="E6" i="2359"/>
  <c r="D14" i="2359"/>
  <c r="D13" i="2359"/>
  <c r="D12" i="2359"/>
  <c r="D11" i="2359"/>
  <c r="D10" i="2359"/>
  <c r="D9" i="2359"/>
  <c r="D7" i="2359"/>
  <c r="D6" i="2359"/>
  <c r="C32" i="2359"/>
  <c r="C31" i="2359"/>
  <c r="C30" i="2359"/>
  <c r="C29" i="2359"/>
  <c r="C28" i="2359"/>
  <c r="C27" i="2359"/>
  <c r="C26" i="2359"/>
  <c r="C25" i="2359"/>
  <c r="C24" i="2359"/>
  <c r="C23" i="2359"/>
  <c r="C22" i="2359"/>
  <c r="C21" i="2359"/>
  <c r="C20" i="2359"/>
  <c r="C19" i="2359"/>
  <c r="C18" i="2359"/>
  <c r="C17" i="2359"/>
  <c r="C16" i="2359"/>
  <c r="C15" i="2359"/>
  <c r="C14" i="2359"/>
  <c r="C13" i="2359"/>
  <c r="C12" i="2359"/>
  <c r="C11" i="2359"/>
  <c r="C10" i="2359"/>
  <c r="C9" i="2359"/>
  <c r="C8" i="2359"/>
  <c r="C7" i="2359"/>
  <c r="C6" i="2359"/>
  <c r="L5" i="2360"/>
  <c r="L8" i="2359" l="1"/>
  <c r="T23" i="2360"/>
  <c r="B1" i="2332"/>
  <c r="D35" i="2322" l="1"/>
  <c r="F35" i="2322" s="1"/>
  <c r="D33" i="2322"/>
  <c r="C76" i="2322"/>
  <c r="D76" i="2322" s="1"/>
  <c r="F76" i="2322" s="1"/>
  <c r="D86" i="2322"/>
  <c r="F86" i="2322" s="1"/>
  <c r="D88" i="2322"/>
  <c r="D87" i="2322"/>
  <c r="D31" i="2322" l="1"/>
  <c r="D34" i="2322"/>
  <c r="F34" i="2322" s="1"/>
  <c r="D79" i="2322" l="1"/>
  <c r="D78" i="2322"/>
  <c r="D82" i="2322"/>
  <c r="F82" i="2322" s="1"/>
  <c r="A82" i="2322"/>
  <c r="D81" i="2322"/>
  <c r="F81" i="2322" s="1"/>
  <c r="F88" i="2322"/>
  <c r="F87" i="2322"/>
  <c r="D73" i="2322"/>
  <c r="F73" i="2322" s="1"/>
  <c r="D72" i="2322"/>
  <c r="F72" i="2322" s="1"/>
  <c r="D52" i="2322"/>
  <c r="F52" i="2322" s="1"/>
  <c r="D32" i="2322"/>
  <c r="F32" i="2322" s="1"/>
  <c r="F33" i="2322"/>
  <c r="L17" i="2357"/>
  <c r="L18" i="2357"/>
  <c r="L19" i="2357"/>
  <c r="M19" i="2357" s="1"/>
  <c r="L20" i="2357"/>
  <c r="L21" i="2357"/>
  <c r="M21" i="2357" s="1"/>
  <c r="I16" i="2357"/>
  <c r="J16" i="2357" s="1"/>
  <c r="I17" i="2357"/>
  <c r="J17" i="2357" s="1"/>
  <c r="I18" i="2357"/>
  <c r="J18" i="2357" s="1"/>
  <c r="I19" i="2357"/>
  <c r="J19" i="2357" s="1"/>
  <c r="I20" i="2357"/>
  <c r="J20" i="2357"/>
  <c r="I21" i="2357"/>
  <c r="I22" i="2357"/>
  <c r="J22" i="2357"/>
  <c r="F16" i="2357"/>
  <c r="F17" i="2357"/>
  <c r="F18" i="2357"/>
  <c r="F19" i="2357"/>
  <c r="F20" i="2357"/>
  <c r="F21" i="2357"/>
  <c r="J21" i="2357" s="1"/>
  <c r="F22" i="2357"/>
  <c r="L24" i="2357"/>
  <c r="M24" i="2357" s="1"/>
  <c r="L25" i="2357"/>
  <c r="L26" i="2357"/>
  <c r="M26" i="2357" s="1"/>
  <c r="L27" i="2357"/>
  <c r="M27" i="2357" s="1"/>
  <c r="I24" i="2357"/>
  <c r="I25" i="2357"/>
  <c r="J25" i="2357" s="1"/>
  <c r="I26" i="2357"/>
  <c r="J26" i="2357" s="1"/>
  <c r="I27" i="2357"/>
  <c r="J27" i="2357" s="1"/>
  <c r="F24" i="2357"/>
  <c r="F25" i="2357"/>
  <c r="F26" i="2357"/>
  <c r="F27" i="2357"/>
  <c r="D74" i="2322"/>
  <c r="F74" i="2322" s="1"/>
  <c r="D68" i="2322"/>
  <c r="J24" i="2357" l="1"/>
  <c r="M20" i="2357"/>
  <c r="M25" i="2357"/>
  <c r="M18" i="2357"/>
  <c r="M17" i="2357"/>
  <c r="D69" i="2322"/>
  <c r="C69" i="2322"/>
  <c r="D85" i="2322"/>
  <c r="D84" i="2322"/>
  <c r="B64" i="2322" l="1"/>
  <c r="D40" i="2322" l="1"/>
  <c r="D70" i="2322"/>
  <c r="F70" i="2322" s="1"/>
  <c r="D71" i="2322"/>
  <c r="F71" i="2322" s="1"/>
  <c r="F69" i="2322"/>
  <c r="D67" i="2322"/>
  <c r="F67" i="2322" s="1"/>
  <c r="F68" i="2322"/>
  <c r="D62" i="2322"/>
  <c r="F62" i="2322" s="1"/>
  <c r="B53" i="2322"/>
  <c r="G24" i="2322"/>
  <c r="G25" i="2322"/>
  <c r="D95" i="2322" l="1"/>
  <c r="F95" i="2322" s="1"/>
  <c r="D94" i="2322"/>
  <c r="F94" i="2322" s="1"/>
  <c r="D90" i="2322"/>
  <c r="F90" i="2322" s="1"/>
  <c r="F85" i="2322"/>
  <c r="F84" i="2322"/>
  <c r="L25" i="2361"/>
  <c r="L24" i="2361"/>
  <c r="L23" i="2361"/>
  <c r="L22" i="2361"/>
  <c r="L21" i="2361"/>
  <c r="L20" i="2361"/>
  <c r="L19" i="2361"/>
  <c r="L18" i="2361"/>
  <c r="L17" i="2361"/>
  <c r="L16" i="2361"/>
  <c r="L15" i="2361"/>
  <c r="L14" i="2361"/>
  <c r="L13" i="2361"/>
  <c r="L12" i="2361"/>
  <c r="L11" i="2361"/>
  <c r="L23" i="2357"/>
  <c r="I23" i="2357"/>
  <c r="F23" i="2357"/>
  <c r="L22" i="2357"/>
  <c r="L16" i="2357"/>
  <c r="M16" i="2357" s="1"/>
  <c r="I53" i="2361"/>
  <c r="F53" i="2361"/>
  <c r="I52" i="2361"/>
  <c r="F52" i="2361"/>
  <c r="I51" i="2361"/>
  <c r="F51" i="2361"/>
  <c r="I50" i="2361"/>
  <c r="F50" i="2361"/>
  <c r="I49" i="2361"/>
  <c r="F49" i="2361"/>
  <c r="I48" i="2361"/>
  <c r="F48" i="2361"/>
  <c r="I47" i="2361"/>
  <c r="F47" i="2361"/>
  <c r="I46" i="2361"/>
  <c r="F46" i="2361"/>
  <c r="I45" i="2361"/>
  <c r="F45" i="2361"/>
  <c r="I44" i="2361"/>
  <c r="F44" i="2361"/>
  <c r="I43" i="2361"/>
  <c r="F43" i="2361"/>
  <c r="I42" i="2361"/>
  <c r="F42" i="2361"/>
  <c r="I41" i="2361"/>
  <c r="F41" i="2361"/>
  <c r="I40" i="2361"/>
  <c r="F40" i="2361"/>
  <c r="I39" i="2361"/>
  <c r="F39" i="2361"/>
  <c r="I38" i="2361"/>
  <c r="F38" i="2361"/>
  <c r="I37" i="2361"/>
  <c r="F37" i="2361"/>
  <c r="J36" i="2361"/>
  <c r="M23" i="2357" l="1"/>
  <c r="J23" i="2357"/>
  <c r="M22" i="2357"/>
  <c r="J37" i="2361"/>
  <c r="J41" i="2361"/>
  <c r="J53" i="2361"/>
  <c r="J52" i="2361"/>
  <c r="J47" i="2361"/>
  <c r="J40" i="2361"/>
  <c r="J46" i="2361"/>
  <c r="J48" i="2361"/>
  <c r="J38" i="2361"/>
  <c r="J44" i="2361"/>
  <c r="J50" i="2361"/>
  <c r="J43" i="2361"/>
  <c r="J51" i="2361"/>
  <c r="J39" i="2361"/>
  <c r="J45" i="2361"/>
  <c r="J42" i="2361"/>
  <c r="J49" i="2361"/>
  <c r="H59" i="2361" l="1"/>
  <c r="D10" i="2322" l="1"/>
  <c r="F10" i="2322" s="1"/>
  <c r="D9" i="2322"/>
  <c r="F9" i="2322" s="1"/>
  <c r="F31" i="2322"/>
  <c r="B47" i="2322"/>
  <c r="G47" i="2322"/>
  <c r="G50" i="2322"/>
  <c r="B50" i="2322"/>
  <c r="T20" i="2360"/>
  <c r="D89" i="2322"/>
  <c r="F89" i="2322" s="1"/>
  <c r="D98" i="2322"/>
  <c r="F98" i="2322" s="1"/>
  <c r="A98" i="2322"/>
  <c r="D97" i="2322"/>
  <c r="F97" i="2322" s="1"/>
  <c r="A4" i="2358"/>
  <c r="T18" i="2360" l="1"/>
  <c r="T19" i="2360"/>
  <c r="L16" i="2332"/>
  <c r="L15" i="2332"/>
  <c r="L14" i="2332"/>
  <c r="L13" i="2332"/>
  <c r="F79" i="2322"/>
  <c r="F78" i="2322"/>
  <c r="L39" i="2332" l="1"/>
  <c r="L38" i="2332"/>
  <c r="L37" i="2332"/>
  <c r="L36" i="2332"/>
  <c r="L7" i="2332"/>
  <c r="L33" i="2332"/>
  <c r="L32" i="2332"/>
  <c r="L31" i="2332"/>
  <c r="L30" i="2332"/>
  <c r="G59" i="2322"/>
  <c r="G54" i="2322"/>
  <c r="B54" i="2322"/>
  <c r="G58" i="2322"/>
  <c r="B58" i="2322"/>
  <c r="G61" i="2322"/>
  <c r="B61" i="2322"/>
  <c r="G51" i="2322"/>
  <c r="B51" i="2322"/>
  <c r="B66" i="2322"/>
  <c r="B65" i="2322"/>
  <c r="B63" i="2322"/>
  <c r="B60" i="2322"/>
  <c r="B57" i="2322"/>
  <c r="B56" i="2322"/>
  <c r="B55" i="2322"/>
  <c r="B49" i="2322"/>
  <c r="B48" i="2322"/>
  <c r="B46" i="2322"/>
  <c r="B45" i="2322"/>
  <c r="B44" i="2322"/>
  <c r="B43" i="2322"/>
  <c r="B42" i="2322"/>
  <c r="B41" i="2322"/>
  <c r="B38" i="2322"/>
  <c r="B37" i="2322"/>
  <c r="G66" i="2322"/>
  <c r="G65" i="2322"/>
  <c r="G64" i="2322"/>
  <c r="G56" i="2322"/>
  <c r="G55" i="2322"/>
  <c r="G53" i="2322"/>
  <c r="G49" i="2322"/>
  <c r="G48" i="2322"/>
  <c r="G45" i="2322"/>
  <c r="G44" i="2322"/>
  <c r="G43" i="2322"/>
  <c r="G42" i="2322"/>
  <c r="G41" i="2322"/>
  <c r="G38" i="2322"/>
  <c r="G37" i="2322"/>
  <c r="A38" i="2322"/>
  <c r="A39" i="2322" s="1"/>
  <c r="A40" i="2322" s="1"/>
  <c r="A41" i="2322" s="1"/>
  <c r="G29" i="2322"/>
  <c r="G28" i="2322"/>
  <c r="G27" i="2322"/>
  <c r="G30" i="2322"/>
  <c r="T21" i="2360"/>
  <c r="G22" i="2322"/>
  <c r="G21" i="2322"/>
  <c r="G18" i="2322"/>
  <c r="G17" i="2322"/>
  <c r="A8" i="2322"/>
  <c r="A9" i="2322" s="1"/>
  <c r="A10" i="2322" s="1"/>
  <c r="A11" i="2322" s="1"/>
  <c r="A12" i="2322" s="1"/>
  <c r="A13" i="2322" s="1"/>
  <c r="A14" i="2322" s="1"/>
  <c r="A15" i="2322" s="1"/>
  <c r="A16" i="2322" s="1"/>
  <c r="A17" i="2322" s="1"/>
  <c r="A18" i="2322" s="1"/>
  <c r="A19" i="2322" s="1"/>
  <c r="A20" i="2322" s="1"/>
  <c r="A21" i="2322" s="1"/>
  <c r="A22" i="2322" s="1"/>
  <c r="A23" i="2322" s="1"/>
  <c r="A24" i="2322" s="1"/>
  <c r="A25" i="2322" s="1"/>
  <c r="A26" i="2322" s="1"/>
  <c r="A27" i="2322" s="1"/>
  <c r="A28" i="2322" s="1"/>
  <c r="A29" i="2322" s="1"/>
  <c r="A30" i="2322" s="1"/>
  <c r="A31" i="2322" s="1"/>
  <c r="A32" i="2322" s="1"/>
  <c r="A33" i="2322" s="1"/>
  <c r="A34" i="2322" s="1"/>
  <c r="A35" i="2322" s="1"/>
  <c r="A7" i="2359"/>
  <c r="A8" i="2359" s="1"/>
  <c r="A9" i="2359" s="1"/>
  <c r="A10" i="2359" s="1"/>
  <c r="A11" i="2359" s="1"/>
  <c r="A12" i="2359" s="1"/>
  <c r="A13" i="2359" s="1"/>
  <c r="A14" i="2359" s="1"/>
  <c r="A15" i="2359" s="1"/>
  <c r="A16" i="2359" s="1"/>
  <c r="A17" i="2359" s="1"/>
  <c r="A18" i="2359" s="1"/>
  <c r="A19" i="2359" s="1"/>
  <c r="A20" i="2359" s="1"/>
  <c r="A21" i="2359" s="1"/>
  <c r="A22" i="2359" s="1"/>
  <c r="A23" i="2359" s="1"/>
  <c r="A24" i="2359" s="1"/>
  <c r="A25" i="2359" s="1"/>
  <c r="A26" i="2359" s="1"/>
  <c r="A27" i="2359" s="1"/>
  <c r="A28" i="2359" s="1"/>
  <c r="L10" i="2361"/>
  <c r="L9" i="2361"/>
  <c r="I25" i="2361"/>
  <c r="I24" i="2361"/>
  <c r="I23" i="2361"/>
  <c r="I22" i="2361"/>
  <c r="I21" i="2361"/>
  <c r="I20" i="2361"/>
  <c r="I19" i="2361"/>
  <c r="I18" i="2361"/>
  <c r="I17" i="2361"/>
  <c r="I16" i="2361"/>
  <c r="I15" i="2361"/>
  <c r="I14" i="2361"/>
  <c r="I13" i="2361"/>
  <c r="I12" i="2361"/>
  <c r="I11" i="2361"/>
  <c r="I9" i="2361"/>
  <c r="I10" i="2361"/>
  <c r="F20" i="2361"/>
  <c r="M20" i="2361" s="1"/>
  <c r="F19" i="2361"/>
  <c r="M19" i="2361" s="1"/>
  <c r="F18" i="2361"/>
  <c r="M18" i="2361" s="1"/>
  <c r="F17" i="2361"/>
  <c r="M17" i="2361" s="1"/>
  <c r="F16" i="2361"/>
  <c r="F15" i="2361"/>
  <c r="M15" i="2361" s="1"/>
  <c r="F14" i="2361"/>
  <c r="M14" i="2361" s="1"/>
  <c r="F13" i="2361"/>
  <c r="M13" i="2361" s="1"/>
  <c r="F12" i="2361"/>
  <c r="M12" i="2361" s="1"/>
  <c r="F9" i="2361"/>
  <c r="F10" i="2361"/>
  <c r="F25" i="2361"/>
  <c r="M25" i="2361" s="1"/>
  <c r="F24" i="2361"/>
  <c r="M24" i="2361" s="1"/>
  <c r="F23" i="2361"/>
  <c r="M23" i="2361" s="1"/>
  <c r="F22" i="2361"/>
  <c r="M22" i="2361" s="1"/>
  <c r="F21" i="2361"/>
  <c r="M21" i="2361" s="1"/>
  <c r="F11" i="2361"/>
  <c r="M11" i="2361" s="1"/>
  <c r="J8" i="2361"/>
  <c r="C3" i="2361"/>
  <c r="A1" i="2361"/>
  <c r="J16" i="2361" l="1"/>
  <c r="M16" i="2361"/>
  <c r="A42" i="2322"/>
  <c r="A43" i="2322" s="1"/>
  <c r="A44" i="2322" s="1"/>
  <c r="A45" i="2322" s="1"/>
  <c r="A46" i="2322" s="1"/>
  <c r="A47" i="2322" s="1"/>
  <c r="A48" i="2322" s="1"/>
  <c r="A49" i="2322" s="1"/>
  <c r="A50" i="2322" s="1"/>
  <c r="A51" i="2322" s="1"/>
  <c r="A52" i="2322" s="1"/>
  <c r="A53" i="2322" s="1"/>
  <c r="J10" i="2361"/>
  <c r="M9" i="2361"/>
  <c r="J9" i="2361"/>
  <c r="J22" i="2361"/>
  <c r="J24" i="2361"/>
  <c r="O25" i="2359"/>
  <c r="D59" i="2322" s="1"/>
  <c r="F59" i="2322" s="1"/>
  <c r="L34" i="2332"/>
  <c r="O7" i="2359"/>
  <c r="D38" i="2322" s="1"/>
  <c r="F38" i="2322" s="1"/>
  <c r="D27" i="2322"/>
  <c r="F27" i="2322" s="1"/>
  <c r="D28" i="2322"/>
  <c r="F28" i="2322" s="1"/>
  <c r="O6" i="2359"/>
  <c r="D37" i="2322" s="1"/>
  <c r="D29" i="2322"/>
  <c r="F29" i="2322" s="1"/>
  <c r="J19" i="2361"/>
  <c r="J20" i="2361"/>
  <c r="J11" i="2361"/>
  <c r="M10" i="2361"/>
  <c r="J14" i="2361"/>
  <c r="J18" i="2361"/>
  <c r="J12" i="2361"/>
  <c r="J17" i="2361"/>
  <c r="J25" i="2361"/>
  <c r="J15" i="2361"/>
  <c r="J23" i="2361"/>
  <c r="J13" i="2361"/>
  <c r="J21" i="2361"/>
  <c r="G16" i="2322"/>
  <c r="A7" i="2360"/>
  <c r="A8" i="2360" s="1"/>
  <c r="A9" i="2360" s="1"/>
  <c r="A10" i="2360" s="1"/>
  <c r="A11" i="2360" s="1"/>
  <c r="A12" i="2360" s="1"/>
  <c r="A13" i="2360" s="1"/>
  <c r="A14" i="2360" s="1"/>
  <c r="A15" i="2360" s="1"/>
  <c r="A16" i="2360" s="1"/>
  <c r="A17" i="2360" s="1"/>
  <c r="A18" i="2360" s="1"/>
  <c r="A19" i="2360" s="1"/>
  <c r="A20" i="2360" s="1"/>
  <c r="A21" i="2360" s="1"/>
  <c r="D30" i="2322"/>
  <c r="F30" i="2322" s="1"/>
  <c r="G26" i="2322"/>
  <c r="G23" i="2322"/>
  <c r="G20" i="2322"/>
  <c r="G19" i="2322"/>
  <c r="G15" i="2322"/>
  <c r="O14" i="2359"/>
  <c r="D47" i="2322" s="1"/>
  <c r="F47" i="2322" s="1"/>
  <c r="G63" i="2322"/>
  <c r="G60" i="2322"/>
  <c r="G57" i="2322"/>
  <c r="G46" i="2322"/>
  <c r="T17" i="2360"/>
  <c r="T16" i="2360"/>
  <c r="T7" i="2360"/>
  <c r="T15" i="2360"/>
  <c r="T14" i="2360"/>
  <c r="O24" i="2359"/>
  <c r="D58" i="2322" s="1"/>
  <c r="F58" i="2322" s="1"/>
  <c r="O20" i="2359"/>
  <c r="D54" i="2322" s="1"/>
  <c r="F54" i="2322" s="1"/>
  <c r="C3" i="2357"/>
  <c r="A1" i="2358"/>
  <c r="A1" i="2357"/>
  <c r="L15" i="2357"/>
  <c r="I15" i="2357"/>
  <c r="F15" i="2357"/>
  <c r="L14" i="2357"/>
  <c r="I14" i="2357"/>
  <c r="F14" i="2357"/>
  <c r="L13" i="2357"/>
  <c r="I13" i="2357"/>
  <c r="F13" i="2357"/>
  <c r="F12" i="2357"/>
  <c r="M12" i="2357" s="1"/>
  <c r="L11" i="2357"/>
  <c r="I11" i="2357"/>
  <c r="F11" i="2357"/>
  <c r="L10" i="2357"/>
  <c r="I10" i="2357"/>
  <c r="F10" i="2357"/>
  <c r="L9" i="2357"/>
  <c r="I9" i="2357"/>
  <c r="F9" i="2357"/>
  <c r="M8" i="2357"/>
  <c r="J8" i="2357"/>
  <c r="B4" i="2332"/>
  <c r="F114" i="2322"/>
  <c r="T22" i="2360" l="1"/>
  <c r="T12" i="2360"/>
  <c r="D21" i="2322" s="1"/>
  <c r="F21" i="2322" s="1"/>
  <c r="T13" i="2360"/>
  <c r="D22" i="2322" s="1"/>
  <c r="F22" i="2322" s="1"/>
  <c r="C75" i="2322"/>
  <c r="T9" i="2360"/>
  <c r="D18" i="2322" s="1"/>
  <c r="F18" i="2322" s="1"/>
  <c r="O15" i="2359"/>
  <c r="D48" i="2322" s="1"/>
  <c r="F48" i="2322" s="1"/>
  <c r="D25" i="2322"/>
  <c r="F25" i="2322" s="1"/>
  <c r="A54" i="2322"/>
  <c r="A55" i="2322" s="1"/>
  <c r="A56" i="2322" s="1"/>
  <c r="A57" i="2322" s="1"/>
  <c r="A58" i="2322" s="1"/>
  <c r="A59" i="2322" s="1"/>
  <c r="A60" i="2322" s="1"/>
  <c r="A61" i="2322" s="1"/>
  <c r="A62" i="2322" s="1"/>
  <c r="A63" i="2322" s="1"/>
  <c r="A64" i="2322" s="1"/>
  <c r="A65" i="2322" s="1"/>
  <c r="A66" i="2322" s="1"/>
  <c r="A67" i="2322" s="1"/>
  <c r="A68" i="2322" s="1"/>
  <c r="M13" i="2357"/>
  <c r="K31" i="2361"/>
  <c r="D16" i="2322"/>
  <c r="F16" i="2322" s="1"/>
  <c r="A29" i="2359"/>
  <c r="A30" i="2359" s="1"/>
  <c r="A31" i="2359" s="1"/>
  <c r="O27" i="2359"/>
  <c r="D61" i="2322" s="1"/>
  <c r="F61" i="2322" s="1"/>
  <c r="O19" i="2359"/>
  <c r="D53" i="2322" s="1"/>
  <c r="F53" i="2322" s="1"/>
  <c r="O22" i="2359"/>
  <c r="D56" i="2322" s="1"/>
  <c r="F56" i="2322" s="1"/>
  <c r="O21" i="2359"/>
  <c r="D55" i="2322" s="1"/>
  <c r="F55" i="2322" s="1"/>
  <c r="O26" i="2359"/>
  <c r="D60" i="2322" s="1"/>
  <c r="F60" i="2322" s="1"/>
  <c r="O23" i="2359"/>
  <c r="D57" i="2322" s="1"/>
  <c r="F57" i="2322" s="1"/>
  <c r="O29" i="2359"/>
  <c r="D64" i="2322" s="1"/>
  <c r="F64" i="2322" s="1"/>
  <c r="O28" i="2359"/>
  <c r="D63" i="2322" s="1"/>
  <c r="F63" i="2322" s="1"/>
  <c r="O31" i="2359"/>
  <c r="D66" i="2322" s="1"/>
  <c r="F66" i="2322" s="1"/>
  <c r="O30" i="2359"/>
  <c r="D65" i="2322" s="1"/>
  <c r="F65" i="2322" s="1"/>
  <c r="O9" i="2359"/>
  <c r="D42" i="2322" s="1"/>
  <c r="F42" i="2322" s="1"/>
  <c r="M11" i="2357"/>
  <c r="H31" i="2361"/>
  <c r="M9" i="2357"/>
  <c r="D23" i="2322"/>
  <c r="F23" i="2322" s="1"/>
  <c r="T6" i="2360"/>
  <c r="D26" i="2322"/>
  <c r="F26" i="2322" s="1"/>
  <c r="D24" i="2322"/>
  <c r="F24" i="2322" s="1"/>
  <c r="M15" i="2357"/>
  <c r="J10" i="2357"/>
  <c r="J13" i="2357"/>
  <c r="M14" i="2357"/>
  <c r="J9" i="2357"/>
  <c r="J12" i="2357"/>
  <c r="J11" i="2357"/>
  <c r="M10" i="2357"/>
  <c r="J14" i="2357"/>
  <c r="J15" i="2357"/>
  <c r="D126" i="2322"/>
  <c r="F126" i="2322" s="1"/>
  <c r="D118" i="2322"/>
  <c r="F115" i="2322"/>
  <c r="F113" i="2322"/>
  <c r="D111" i="2322"/>
  <c r="F110" i="2322"/>
  <c r="D109" i="2322"/>
  <c r="D104" i="2322"/>
  <c r="F108" i="2322"/>
  <c r="F107" i="2322"/>
  <c r="F106" i="2322"/>
  <c r="F105" i="2322"/>
  <c r="D102" i="2322"/>
  <c r="D101" i="2322"/>
  <c r="O13" i="2359" l="1"/>
  <c r="D46" i="2322" s="1"/>
  <c r="F46" i="2322" s="1"/>
  <c r="O12" i="2359"/>
  <c r="D45" i="2322" s="1"/>
  <c r="F45" i="2322" s="1"/>
  <c r="O17" i="2359"/>
  <c r="D50" i="2322" s="1"/>
  <c r="F50" i="2322" s="1"/>
  <c r="T11" i="2360"/>
  <c r="D20" i="2322" s="1"/>
  <c r="F20" i="2322" s="1"/>
  <c r="T10" i="2360"/>
  <c r="D19" i="2322" s="1"/>
  <c r="F19" i="2322" s="1"/>
  <c r="T8" i="2360"/>
  <c r="D17" i="2322" s="1"/>
  <c r="F17" i="2322" s="1"/>
  <c r="D75" i="2322"/>
  <c r="F75" i="2322" s="1"/>
  <c r="A69" i="2322"/>
  <c r="A70" i="2322" s="1"/>
  <c r="A71" i="2322" s="1"/>
  <c r="A72" i="2322" s="1"/>
  <c r="A73" i="2322" s="1"/>
  <c r="A74" i="2322" s="1"/>
  <c r="A75" i="2322" s="1"/>
  <c r="A76" i="2322" s="1"/>
  <c r="D15" i="2322"/>
  <c r="F15" i="2322" s="1"/>
  <c r="D14" i="2322"/>
  <c r="F14" i="2322" s="1"/>
  <c r="D12" i="2322"/>
  <c r="F12" i="2322" s="1"/>
  <c r="D11" i="2322"/>
  <c r="F11" i="2322" s="1"/>
  <c r="D13" i="2322"/>
  <c r="F13" i="2322" s="1"/>
  <c r="O10" i="2359"/>
  <c r="D43" i="2322" s="1"/>
  <c r="F43" i="2322" s="1"/>
  <c r="O8" i="2359"/>
  <c r="D41" i="2322" s="1"/>
  <c r="F41" i="2322" s="1"/>
  <c r="O18" i="2359"/>
  <c r="D51" i="2322" s="1"/>
  <c r="F51" i="2322" s="1"/>
  <c r="O16" i="2359"/>
  <c r="D49" i="2322" s="1"/>
  <c r="F49" i="2322" s="1"/>
  <c r="O11" i="2359"/>
  <c r="D44" i="2322" s="1"/>
  <c r="F44" i="2322" s="1"/>
  <c r="A22" i="2360"/>
  <c r="H34" i="2357"/>
  <c r="D7" i="2322" s="1"/>
  <c r="F7" i="2322" s="1"/>
  <c r="K34" i="2357"/>
  <c r="D8" i="2322" s="1"/>
  <c r="F8" i="2322" s="1"/>
  <c r="D117" i="2322"/>
  <c r="D116" i="2322"/>
  <c r="F116" i="2322" s="1"/>
  <c r="F109" i="2322"/>
  <c r="F104" i="2322"/>
  <c r="F102" i="2322"/>
  <c r="F101" i="2322"/>
  <c r="F117" i="2322" l="1"/>
  <c r="F111" i="2322"/>
  <c r="F112" i="2322"/>
  <c r="A123" i="2322" l="1"/>
  <c r="D123" i="2322"/>
  <c r="F123" i="2322" s="1"/>
  <c r="A93" i="2322"/>
  <c r="A94" i="2322" s="1"/>
  <c r="A95" i="2322" s="1"/>
  <c r="A124" i="2322" l="1"/>
  <c r="A125" i="2322" s="1"/>
  <c r="A126" i="2322" l="1"/>
  <c r="A127" i="2322" s="1"/>
  <c r="A128" i="2322" s="1"/>
  <c r="A129" i="2322" s="1"/>
  <c r="A130" i="2322" s="1"/>
  <c r="A131" i="2322" s="1"/>
  <c r="A132" i="2322" s="1"/>
  <c r="A133" i="2322" s="1"/>
  <c r="A134" i="2322" s="1"/>
  <c r="A135" i="2322" s="1"/>
  <c r="A136" i="2322" s="1"/>
  <c r="A137" i="2322" s="1"/>
  <c r="A138" i="2322" s="1"/>
  <c r="A102" i="2322" l="1"/>
  <c r="A103" i="2322" s="1"/>
  <c r="A104" i="2322" s="1"/>
  <c r="A105" i="2322" s="1"/>
  <c r="D132" i="2322"/>
  <c r="F132" i="2322" s="1"/>
  <c r="D131" i="2322"/>
  <c r="F131" i="2322" s="1"/>
  <c r="D130" i="2322"/>
  <c r="F130" i="2322" s="1"/>
  <c r="D128" i="2322"/>
  <c r="F128" i="2322" s="1"/>
  <c r="D127" i="2322"/>
  <c r="F127" i="2322" s="1"/>
  <c r="D138" i="2322"/>
  <c r="F138" i="2322" s="1"/>
  <c r="A106" i="2322" l="1"/>
  <c r="A107" i="2322" s="1"/>
  <c r="A108" i="2322" s="1"/>
  <c r="A109" i="2322" s="1"/>
  <c r="A110" i="2322" s="1"/>
  <c r="A111" i="2322" s="1"/>
  <c r="A112" i="2322" s="1"/>
  <c r="A113" i="2322" s="1"/>
  <c r="A114" i="2322" s="1"/>
  <c r="A115" i="2322" s="1"/>
  <c r="A116" i="2322" l="1"/>
  <c r="A117" i="2322" s="1"/>
  <c r="A118" i="2322" s="1"/>
  <c r="A119" i="2322" s="1"/>
  <c r="C154" i="2322" l="1"/>
  <c r="D125" i="2322" l="1"/>
  <c r="F125" i="2322" s="1"/>
  <c r="D93" i="2322"/>
  <c r="F93" i="2322" s="1"/>
  <c r="C153" i="2322" l="1"/>
  <c r="D153" i="2322" l="1"/>
  <c r="D119" i="2322" l="1"/>
  <c r="F119" i="2322" s="1"/>
  <c r="F118" i="2322"/>
  <c r="D103" i="2322"/>
  <c r="F103" i="2322" s="1"/>
  <c r="D136" i="2322"/>
  <c r="F136" i="2322" s="1"/>
  <c r="D135" i="2322"/>
  <c r="F135" i="2322" s="1"/>
  <c r="D92" i="2322"/>
  <c r="F92" i="2322" s="1"/>
  <c r="D137" i="2322" l="1"/>
  <c r="F137" i="2322" s="1"/>
  <c r="D134" i="2322" l="1"/>
  <c r="F134" i="2322" s="1"/>
  <c r="D124" i="2322" l="1"/>
  <c r="F124" i="2322" s="1"/>
  <c r="D129" i="2322"/>
  <c r="F129" i="2322" s="1"/>
  <c r="D133" i="2322"/>
  <c r="F133" i="2322" s="1"/>
  <c r="F122" i="2322"/>
  <c r="A142" i="2322" l="1"/>
  <c r="A143" i="2322" s="1"/>
  <c r="A144" i="2322" s="1"/>
  <c r="A145" i="2322" s="1"/>
  <c r="A146" i="2322" s="1"/>
  <c r="A147" i="2322" s="1"/>
  <c r="A148" i="2322" s="1"/>
  <c r="A149" i="2322" s="1"/>
  <c r="A150" i="2322" s="1"/>
  <c r="A151" i="2322" s="1"/>
  <c r="D144" i="2322"/>
  <c r="F142" i="2322"/>
  <c r="F145" i="2322" l="1"/>
  <c r="F146" i="2322"/>
  <c r="F141" i="2322"/>
  <c r="D147" i="2322"/>
  <c r="F147" i="2322" s="1"/>
  <c r="F148" i="2322"/>
  <c r="C155" i="2322" l="1"/>
  <c r="C158" i="2322" l="1"/>
  <c r="C156" i="2322"/>
  <c r="C159" i="2322"/>
  <c r="C160" i="2322"/>
  <c r="D155" i="2322"/>
  <c r="C157" i="2322"/>
  <c r="C161" i="2322" l="1"/>
  <c r="C162" i="2322" s="1"/>
  <c r="D162" i="2322"/>
  <c r="F160" i="2322"/>
  <c r="C165" i="2322" l="1"/>
  <c r="C166" i="2322"/>
  <c r="C167" i="2322"/>
  <c r="F37" i="2322" l="1"/>
  <c r="C168" i="2322"/>
  <c r="D39" i="2322" l="1"/>
  <c r="F39" i="2322" s="1"/>
  <c r="F40" i="232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<sst xmlns="http://schemas.openxmlformats.org/spreadsheetml/2006/main" count="1786" uniqueCount="552">
  <si>
    <t>項次</t>
    <phoneticPr fontId="3" type="noConversion"/>
  </si>
  <si>
    <t>說明</t>
    <phoneticPr fontId="3" type="noConversion"/>
  </si>
  <si>
    <t>數量</t>
    <phoneticPr fontId="3" type="noConversion"/>
  </si>
  <si>
    <t>合計數量</t>
    <phoneticPr fontId="3" type="noConversion"/>
  </si>
  <si>
    <t>單位</t>
    <phoneticPr fontId="3" type="noConversion"/>
  </si>
  <si>
    <t>≒</t>
    <phoneticPr fontId="3" type="noConversion"/>
  </si>
  <si>
    <t>M3</t>
  </si>
  <si>
    <t>c</t>
    <phoneticPr fontId="3" type="noConversion"/>
  </si>
  <si>
    <t>d</t>
    <phoneticPr fontId="3" type="noConversion"/>
  </si>
  <si>
    <t>a</t>
    <phoneticPr fontId="3" type="noConversion"/>
  </si>
  <si>
    <t>b</t>
    <phoneticPr fontId="3" type="noConversion"/>
  </si>
  <si>
    <t>m</t>
  </si>
  <si>
    <t>KG</t>
    <phoneticPr fontId="3" type="noConversion"/>
  </si>
  <si>
    <t>M2</t>
    <phoneticPr fontId="3" type="noConversion"/>
  </si>
  <si>
    <t>M3</t>
    <phoneticPr fontId="3" type="noConversion"/>
  </si>
  <si>
    <t>小計</t>
    <phoneticPr fontId="3" type="noConversion"/>
  </si>
  <si>
    <t>工程品質管理作業費(約A*1.0%)</t>
    <phoneticPr fontId="3" type="noConversion"/>
  </si>
  <si>
    <t>營業稅(一~四項*5%)</t>
    <phoneticPr fontId="3" type="noConversion"/>
  </si>
  <si>
    <t>合計</t>
    <phoneticPr fontId="3" type="noConversion"/>
  </si>
  <si>
    <t>材料試驗費</t>
    <phoneticPr fontId="3" type="noConversion"/>
  </si>
  <si>
    <t>空氣汙染防制費</t>
    <phoneticPr fontId="3" type="noConversion"/>
  </si>
  <si>
    <t>工程管理費</t>
    <phoneticPr fontId="3" type="noConversion"/>
  </si>
  <si>
    <t>設計服務費</t>
    <phoneticPr fontId="3" type="noConversion"/>
  </si>
  <si>
    <t>監造服務費</t>
    <phoneticPr fontId="3" type="noConversion"/>
  </si>
  <si>
    <t>總計</t>
    <phoneticPr fontId="3" type="noConversion"/>
  </si>
  <si>
    <t>勞工安全衛生管理(約A*1%)</t>
    <phoneticPr fontId="3" type="noConversion"/>
  </si>
  <si>
    <t>交通維持設施及維持費(約A*1%)</t>
    <phoneticPr fontId="3" type="noConversion"/>
  </si>
  <si>
    <t>環境保護費用(約A*1%)</t>
    <phoneticPr fontId="3" type="noConversion"/>
  </si>
  <si>
    <t>承包商管理管理與利潤(含保險費)(8%)</t>
    <phoneticPr fontId="3" type="noConversion"/>
  </si>
  <si>
    <t>一</t>
    <phoneticPr fontId="3" type="noConversion"/>
  </si>
  <si>
    <t>組</t>
    <phoneticPr fontId="3" type="noConversion"/>
  </si>
  <si>
    <t>e</t>
    <phoneticPr fontId="3" type="noConversion"/>
  </si>
  <si>
    <t>1</t>
  </si>
  <si>
    <t>瀝青混凝土單位重、穩定值及流度試驗</t>
  </si>
  <si>
    <t>次</t>
  </si>
  <si>
    <t>瀝青混凝土篩分析及含油量試驗</t>
  </si>
  <si>
    <t>瀝青土厚度試驗</t>
  </si>
  <si>
    <t>個</t>
  </si>
  <si>
    <t>瀝青土壓實度試驗</t>
  </si>
  <si>
    <t>二</t>
    <phoneticPr fontId="3" type="noConversion"/>
  </si>
  <si>
    <t>≒</t>
    <phoneticPr fontId="3" type="noConversion"/>
  </si>
  <si>
    <t>1</t>
    <phoneticPr fontId="3" type="noConversion"/>
  </si>
  <si>
    <t>1</t>
    <phoneticPr fontId="3" type="noConversion"/>
  </si>
  <si>
    <t>1</t>
    <phoneticPr fontId="3" type="noConversion"/>
  </si>
  <si>
    <t>支</t>
    <phoneticPr fontId="3" type="noConversion"/>
  </si>
  <si>
    <t>支</t>
    <phoneticPr fontId="3" type="noConversion"/>
  </si>
  <si>
    <t>鋼筋物性試驗(SD280，#3~#5)</t>
    <phoneticPr fontId="3" type="noConversion"/>
  </si>
  <si>
    <t>鋼筋化性試驗(SD280，#3~#5)</t>
    <phoneticPr fontId="3" type="noConversion"/>
  </si>
  <si>
    <t>材料試驗</t>
    <phoneticPr fontId="3" type="noConversion"/>
  </si>
  <si>
    <t>140kgf/cm2混凝土抗壓強度試驗</t>
    <phoneticPr fontId="3" type="noConversion"/>
  </si>
  <si>
    <t>210kgf/cm2混凝土抗壓強度試驗</t>
    <phoneticPr fontId="3" type="noConversion"/>
  </si>
  <si>
    <t>140kgf/cm2混凝土坍度試驗</t>
    <phoneticPr fontId="3" type="noConversion"/>
  </si>
  <si>
    <t>≒</t>
    <phoneticPr fontId="3" type="noConversion"/>
  </si>
  <si>
    <t>組</t>
    <phoneticPr fontId="3" type="noConversion"/>
  </si>
  <si>
    <t>CLSM抗壓強度試驗</t>
    <phoneticPr fontId="3" type="noConversion"/>
  </si>
  <si>
    <t>≒</t>
    <phoneticPr fontId="3" type="noConversion"/>
  </si>
  <si>
    <t>35/500</t>
    <phoneticPr fontId="3" type="noConversion"/>
  </si>
  <si>
    <t>M</t>
    <phoneticPr fontId="3" type="noConversion"/>
  </si>
  <si>
    <t>210kgf/cm2混凝土坍度試驗</t>
    <phoneticPr fontId="3" type="noConversion"/>
  </si>
  <si>
    <t>雜項工程</t>
    <phoneticPr fontId="3" type="noConversion"/>
  </si>
  <si>
    <t>面</t>
  </si>
  <si>
    <t>式</t>
  </si>
  <si>
    <t>項目</t>
    <phoneticPr fontId="3" type="noConversion"/>
  </si>
  <si>
    <t>工程告示牌</t>
    <phoneticPr fontId="3" type="noConversion"/>
  </si>
  <si>
    <t>臨時抽排水設施</t>
    <phoneticPr fontId="3" type="noConversion"/>
  </si>
  <si>
    <t>交通維持設施及維護費</t>
    <phoneticPr fontId="3" type="noConversion"/>
  </si>
  <si>
    <t>=</t>
    <phoneticPr fontId="3" type="noConversion"/>
  </si>
  <si>
    <r>
      <t>m</t>
    </r>
    <r>
      <rPr>
        <vertAlign val="superscript"/>
        <sz val="12"/>
        <rFont val="標楷體"/>
        <family val="4"/>
        <charset val="136"/>
      </rPr>
      <t>2</t>
    </r>
    <phoneticPr fontId="3" type="noConversion"/>
  </si>
  <si>
    <t>鋼模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</si>
  <si>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</si>
  <si>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</si>
  <si>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</si>
  <si>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路面邊線</t>
    <phoneticPr fontId="3" type="noConversion"/>
  </si>
  <si>
    <t>標字(禁行機慢車)</t>
    <phoneticPr fontId="3" type="noConversion"/>
  </si>
  <si>
    <t>舖設粘層</t>
    <phoneticPr fontId="3" type="noConversion"/>
  </si>
  <si>
    <t>T</t>
    <phoneticPr fontId="3" type="noConversion"/>
  </si>
  <si>
    <t>三</t>
    <phoneticPr fontId="3" type="noConversion"/>
  </si>
  <si>
    <t>四</t>
    <phoneticPr fontId="3" type="noConversion"/>
  </si>
  <si>
    <t>2mm熱塑性塑膠反光標線合計</t>
    <phoneticPr fontId="3" type="noConversion"/>
  </si>
  <si>
    <t>處</t>
    <phoneticPr fontId="3" type="noConversion"/>
  </si>
  <si>
    <t>面積</t>
    <phoneticPr fontId="12" type="noConversion"/>
  </si>
  <si>
    <t>工 程 數 量 計 算 表</t>
    <phoneticPr fontId="3" type="noConversion"/>
  </si>
  <si>
    <t>碎石級配底層，舖築及滾壓</t>
    <phoneticPr fontId="3" type="noConversion"/>
  </si>
  <si>
    <t>M</t>
    <phoneticPr fontId="3" type="noConversion"/>
  </si>
  <si>
    <t>照明工程</t>
    <phoneticPr fontId="3" type="noConversion"/>
  </si>
  <si>
    <t>區內施工便道</t>
    <phoneticPr fontId="3" type="noConversion"/>
  </si>
  <si>
    <t>住戶出入動線維護費用</t>
    <phoneticPr fontId="3" type="noConversion"/>
  </si>
  <si>
    <t>竣工文件，含竣工書圖</t>
    <phoneticPr fontId="3" type="noConversion"/>
  </si>
  <si>
    <t>工地即時監控系統</t>
    <phoneticPr fontId="3" type="noConversion"/>
  </si>
  <si>
    <t>臨時水電相關費用</t>
    <phoneticPr fontId="3" type="noConversion"/>
  </si>
  <si>
    <t>六</t>
    <phoneticPr fontId="3" type="noConversion"/>
  </si>
  <si>
    <t>七</t>
    <phoneticPr fontId="3" type="noConversion"/>
  </si>
  <si>
    <t>人工旗手</t>
    <phoneticPr fontId="3" type="noConversion"/>
  </si>
  <si>
    <t>其他交通維持費</t>
    <phoneticPr fontId="3" type="noConversion"/>
  </si>
  <si>
    <t>式</t>
    <phoneticPr fontId="3" type="noConversion"/>
  </si>
  <si>
    <t>組</t>
    <phoneticPr fontId="3" type="noConversion"/>
  </si>
  <si>
    <t>M</t>
    <phoneticPr fontId="3" type="noConversion"/>
  </si>
  <si>
    <t>式</t>
    <phoneticPr fontId="3" type="noConversion"/>
  </si>
  <si>
    <t>施工圍籬,鐵扇門</t>
    <phoneticPr fontId="3" type="noConversion"/>
  </si>
  <si>
    <t>半阻隔式圍籬</t>
    <phoneticPr fontId="3" type="noConversion"/>
  </si>
  <si>
    <t>溝上型基礎座</t>
    <phoneticPr fontId="3" type="noConversion"/>
  </si>
  <si>
    <t>道路試挖</t>
    <phoneticPr fontId="3" type="noConversion"/>
  </si>
  <si>
    <t>處</t>
    <phoneticPr fontId="3" type="noConversion"/>
  </si>
  <si>
    <t>道路面積數量計算表</t>
    <phoneticPr fontId="3" type="noConversion"/>
  </si>
  <si>
    <t>寬度</t>
    <phoneticPr fontId="12" type="noConversion"/>
  </si>
  <si>
    <t>平均寬度</t>
    <phoneticPr fontId="12" type="noConversion"/>
  </si>
  <si>
    <r>
      <t>m</t>
    </r>
    <r>
      <rPr>
        <vertAlign val="superscript"/>
        <sz val="11"/>
        <rFont val="微軟正黑體"/>
        <family val="2"/>
        <charset val="136"/>
      </rPr>
      <t>2</t>
    </r>
    <r>
      <rPr>
        <sz val="11"/>
        <rFont val="微軟正黑體"/>
        <family val="2"/>
        <charset val="136"/>
      </rPr>
      <t xml:space="preserve"> </t>
    </r>
    <phoneticPr fontId="11" type="noConversion"/>
  </si>
  <si>
    <r>
      <t>m</t>
    </r>
    <r>
      <rPr>
        <sz val="11"/>
        <rFont val="微軟正黑體"/>
        <family val="2"/>
        <charset val="136"/>
      </rPr>
      <t>/ m</t>
    </r>
    <phoneticPr fontId="11" type="noConversion"/>
  </si>
  <si>
    <r>
      <t>m</t>
    </r>
    <r>
      <rPr>
        <sz val="11"/>
        <rFont val="微軟正黑體"/>
        <family val="2"/>
        <charset val="136"/>
      </rPr>
      <t xml:space="preserve"> / m</t>
    </r>
    <phoneticPr fontId="3" type="noConversion"/>
  </si>
  <si>
    <t>D10、D13、D16、D19、D22、D25、D29、D32</t>
    <phoneticPr fontId="3" type="noConversion"/>
  </si>
  <si>
    <t>標誌</t>
    <phoneticPr fontId="3" type="noConversion"/>
  </si>
  <si>
    <t>管線工程</t>
    <phoneticPr fontId="3" type="noConversion"/>
  </si>
  <si>
    <t>4(包含水保告示牌)</t>
    <phoneticPr fontId="3" type="noConversion"/>
  </si>
  <si>
    <t>其他既有設施移設及回復費用</t>
    <phoneticPr fontId="3" type="noConversion"/>
  </si>
  <si>
    <t>臨時照明</t>
    <phoneticPr fontId="3" type="noConversion"/>
  </si>
  <si>
    <t>八</t>
    <phoneticPr fontId="3" type="noConversion"/>
  </si>
  <si>
    <t>公共管線保護及復舊補助費</t>
    <phoneticPr fontId="3" type="noConversion"/>
  </si>
  <si>
    <t>周邊環境復舊及銜接處理費</t>
  </si>
  <si>
    <t>防汛期緊急防護及設備費</t>
    <phoneticPr fontId="3" type="noConversion"/>
  </si>
  <si>
    <t>點井</t>
    <phoneticPr fontId="3" type="noConversion"/>
  </si>
  <si>
    <t>組</t>
    <phoneticPr fontId="3" type="noConversion"/>
  </si>
  <si>
    <t>施工測量</t>
    <phoneticPr fontId="3" type="noConversion"/>
  </si>
  <si>
    <t>人時</t>
    <phoneticPr fontId="3" type="noConversion"/>
  </si>
  <si>
    <t>鋼筋回購</t>
    <phoneticPr fontId="3" type="noConversion"/>
  </si>
  <si>
    <t>分向限制線(黃線)</t>
    <phoneticPr fontId="3" type="noConversion"/>
  </si>
  <si>
    <t>路燈開關箱基礎座</t>
    <phoneticPr fontId="3" type="noConversion"/>
  </si>
  <si>
    <t>竣工鋁牌</t>
    <phoneticPr fontId="3" type="noConversion"/>
  </si>
  <si>
    <t>面</t>
    <phoneticPr fontId="3" type="noConversion"/>
  </si>
  <si>
    <t>全阻隔式圍籬</t>
    <phoneticPr fontId="3" type="noConversion"/>
  </si>
  <si>
    <t>紐澤西護欄</t>
    <phoneticPr fontId="3" type="noConversion"/>
  </si>
  <si>
    <t>爆閃燈</t>
    <phoneticPr fontId="3" type="noConversion"/>
  </si>
  <si>
    <t>個</t>
    <phoneticPr fontId="3" type="noConversion"/>
  </si>
  <si>
    <t>交通錐含連桿</t>
    <phoneticPr fontId="3" type="noConversion"/>
  </si>
  <si>
    <t>閃光燈號，交通錐用</t>
    <phoneticPr fontId="3" type="noConversion"/>
  </si>
  <si>
    <t>標線刨除</t>
    <phoneticPr fontId="3" type="noConversion"/>
  </si>
  <si>
    <t>(316.6+354.1+244+330+190)*0.1*2+(10.4+10.6)*0.4</t>
    <phoneticPr fontId="3" type="noConversion"/>
  </si>
  <si>
    <t>標線</t>
    <phoneticPr fontId="3" type="noConversion"/>
  </si>
  <si>
    <t>(653.4+716.1+458+380)*0.1*2</t>
    <phoneticPr fontId="3" type="noConversion"/>
  </si>
  <si>
    <t>施工標誌</t>
    <phoneticPr fontId="3" type="noConversion"/>
  </si>
  <si>
    <t>禁制標誌</t>
    <phoneticPr fontId="3" type="noConversion"/>
  </si>
  <si>
    <t>537.2+524.4+520+893.2+454.6+700.2+727+786.8+454.6+701.4</t>
    <phoneticPr fontId="3" type="noConversion"/>
  </si>
  <si>
    <t>90+15+75+15+150+15+75+100+15</t>
    <phoneticPr fontId="3" type="noConversion"/>
  </si>
  <si>
    <t>座</t>
    <phoneticPr fontId="3" type="noConversion"/>
  </si>
  <si>
    <t>施工告示牌</t>
    <phoneticPr fontId="3" type="noConversion"/>
  </si>
  <si>
    <t>改道標示牌</t>
    <phoneticPr fontId="3" type="noConversion"/>
  </si>
  <si>
    <t>70+55+70+20+90+70+50+70+30</t>
    <phoneticPr fontId="3" type="noConversion"/>
  </si>
  <si>
    <t>圖M1-02~19</t>
    <phoneticPr fontId="3" type="noConversion"/>
  </si>
  <si>
    <t>23+18+24+30+24+21+24+18+27+22+25+26+35+26+23+25+34+25</t>
    <phoneticPr fontId="3" type="noConversion"/>
  </si>
  <si>
    <t>拒馬</t>
    <phoneticPr fontId="3" type="noConversion"/>
  </si>
  <si>
    <t>574+788+924+756+690+738+874+732-1520</t>
    <phoneticPr fontId="3" type="noConversion"/>
  </si>
  <si>
    <t>1520/4(中線交通錐@4m)</t>
    <phoneticPr fontId="3" type="noConversion"/>
  </si>
  <si>
    <t>電動旗手</t>
    <phoneticPr fontId="3" type="noConversion"/>
  </si>
  <si>
    <t>移動式燈箱</t>
    <phoneticPr fontId="3" type="noConversion"/>
  </si>
  <si>
    <t>422工作天*4小時*2人+20月*2(星期六)*6小時*2人+7天*4小時*1人(南93增派)+7天*4小時*1人(南98增派)</t>
    <phoneticPr fontId="3" type="noConversion"/>
  </si>
  <si>
    <t>透地雷達</t>
    <phoneticPr fontId="3" type="noConversion"/>
  </si>
  <si>
    <t>3處*路寬10m</t>
    <phoneticPr fontId="3" type="noConversion"/>
  </si>
  <si>
    <t>紅色指揮棒</t>
    <phoneticPr fontId="3" type="noConversion"/>
  </si>
  <si>
    <t>刨除料回購</t>
    <phoneticPr fontId="3" type="noConversion"/>
  </si>
  <si>
    <t>道路土方數量計算表</t>
    <phoneticPr fontId="3" type="noConversion"/>
  </si>
  <si>
    <r>
      <rPr>
        <sz val="12"/>
        <rFont val="標楷體"/>
        <family val="4"/>
        <charset val="136"/>
      </rPr>
      <t>樁號</t>
    </r>
    <phoneticPr fontId="12" type="noConversion"/>
  </si>
  <si>
    <r>
      <rPr>
        <sz val="12"/>
        <rFont val="標楷體"/>
        <family val="4"/>
        <charset val="136"/>
      </rPr>
      <t>距離</t>
    </r>
    <phoneticPr fontId="12" type="noConversion"/>
  </si>
  <si>
    <r>
      <rPr>
        <sz val="12"/>
        <rFont val="標楷體"/>
        <family val="4"/>
        <charset val="136"/>
      </rPr>
      <t>挖方</t>
    </r>
    <r>
      <rPr>
        <sz val="12"/>
        <rFont val="Times New Roman"/>
        <family val="1"/>
      </rPr>
      <t>(CA)</t>
    </r>
    <phoneticPr fontId="12" type="noConversion"/>
  </si>
  <si>
    <r>
      <rPr>
        <sz val="12"/>
        <rFont val="標楷體"/>
        <family val="4"/>
        <charset val="136"/>
      </rPr>
      <t>填方</t>
    </r>
    <r>
      <rPr>
        <sz val="12"/>
        <rFont val="Times New Roman"/>
        <family val="1"/>
      </rPr>
      <t>(FA)</t>
    </r>
    <phoneticPr fontId="12" type="noConversion"/>
  </si>
  <si>
    <r>
      <rPr>
        <sz val="12"/>
        <rFont val="標楷體"/>
        <family val="4"/>
        <charset val="136"/>
      </rPr>
      <t>斷面積</t>
    </r>
    <phoneticPr fontId="12" type="noConversion"/>
  </si>
  <si>
    <r>
      <rPr>
        <sz val="12"/>
        <rFont val="標楷體"/>
        <family val="4"/>
        <charset val="136"/>
      </rPr>
      <t>平均斷面</t>
    </r>
    <phoneticPr fontId="12" type="noConversion"/>
  </si>
  <si>
    <r>
      <rPr>
        <sz val="12"/>
        <rFont val="標楷體"/>
        <family val="4"/>
        <charset val="136"/>
      </rPr>
      <t>體積</t>
    </r>
    <phoneticPr fontId="12" type="noConversion"/>
  </si>
  <si>
    <r>
      <t>m</t>
    </r>
    <r>
      <rPr>
        <vertAlign val="superscript"/>
        <sz val="12"/>
        <rFont val="Times New Roman"/>
        <family val="1"/>
      </rPr>
      <t>3</t>
    </r>
    <r>
      <rPr>
        <sz val="12"/>
        <rFont val="Times New Roman"/>
        <family val="1"/>
      </rPr>
      <t xml:space="preserve"> / m</t>
    </r>
    <phoneticPr fontId="11" type="noConversion"/>
  </si>
  <si>
    <r>
      <t>m</t>
    </r>
    <r>
      <rPr>
        <vertAlign val="superscript"/>
        <sz val="12"/>
        <rFont val="Times New Roman"/>
        <family val="1"/>
      </rPr>
      <t>3</t>
    </r>
    <r>
      <rPr>
        <sz val="12"/>
        <rFont val="Times New Roman"/>
        <family val="1"/>
      </rPr>
      <t xml:space="preserve"> </t>
    </r>
    <phoneticPr fontId="11" type="noConversion"/>
  </si>
  <si>
    <r>
      <t>m</t>
    </r>
    <r>
      <rPr>
        <vertAlign val="superscript"/>
        <sz val="12"/>
        <rFont val="Times New Roman"/>
        <family val="1"/>
      </rPr>
      <t>3</t>
    </r>
    <phoneticPr fontId="11" type="noConversion"/>
  </si>
  <si>
    <r>
      <rPr>
        <b/>
        <sz val="12"/>
        <rFont val="標楷體"/>
        <family val="4"/>
        <charset val="136"/>
      </rPr>
      <t>（</t>
    </r>
    <r>
      <rPr>
        <b/>
        <sz val="12"/>
        <rFont val="Times New Roman"/>
        <family val="1"/>
      </rPr>
      <t>1</t>
    </r>
    <r>
      <rPr>
        <b/>
        <sz val="12"/>
        <rFont val="標楷體"/>
        <family val="4"/>
        <charset val="136"/>
      </rPr>
      <t>）挖方</t>
    </r>
    <r>
      <rPr>
        <b/>
        <sz val="12"/>
        <rFont val="Times New Roman"/>
        <family val="1"/>
      </rPr>
      <t>CA</t>
    </r>
    <r>
      <rPr>
        <b/>
        <sz val="12"/>
        <rFont val="標楷體"/>
        <family val="4"/>
        <charset val="136"/>
      </rPr>
      <t>與填方</t>
    </r>
    <r>
      <rPr>
        <b/>
        <sz val="12"/>
        <rFont val="Times New Roman"/>
        <family val="1"/>
      </rPr>
      <t>FA</t>
    </r>
    <phoneticPr fontId="11" type="noConversion"/>
  </si>
  <si>
    <t>0k+</t>
    <phoneticPr fontId="11" type="noConversion"/>
  </si>
  <si>
    <t>前</t>
    <phoneticPr fontId="11" type="noConversion"/>
  </si>
  <si>
    <t>後</t>
    <phoneticPr fontId="11" type="noConversion"/>
  </si>
  <si>
    <r>
      <rPr>
        <b/>
        <sz val="11"/>
        <rFont val="細明體"/>
        <family val="3"/>
      </rPr>
      <t>工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程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數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量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計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算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表</t>
    </r>
    <phoneticPr fontId="3" type="noConversion"/>
  </si>
  <si>
    <r>
      <rPr>
        <b/>
        <sz val="11"/>
        <rFont val="細明體"/>
        <family val="3"/>
      </rPr>
      <t>項次</t>
    </r>
    <phoneticPr fontId="3" type="noConversion"/>
  </si>
  <si>
    <r>
      <rPr>
        <b/>
        <sz val="11"/>
        <rFont val="細明體"/>
        <family val="3"/>
      </rPr>
      <t>項目</t>
    </r>
    <phoneticPr fontId="3" type="noConversion"/>
  </si>
  <si>
    <r>
      <rPr>
        <b/>
        <sz val="11"/>
        <rFont val="細明體"/>
        <family val="3"/>
      </rPr>
      <t>說明</t>
    </r>
    <phoneticPr fontId="3" type="noConversion"/>
  </si>
  <si>
    <r>
      <rPr>
        <b/>
        <sz val="11"/>
        <rFont val="細明體"/>
        <family val="3"/>
      </rPr>
      <t>小計</t>
    </r>
    <phoneticPr fontId="3" type="noConversion"/>
  </si>
  <si>
    <r>
      <rPr>
        <b/>
        <sz val="11"/>
        <rFont val="細明體"/>
        <family val="3"/>
      </rPr>
      <t>單位</t>
    </r>
    <phoneticPr fontId="3" type="noConversion"/>
  </si>
  <si>
    <r>
      <rPr>
        <sz val="11"/>
        <rFont val="細明體"/>
        <family val="3"/>
      </rPr>
      <t>普通模板</t>
    </r>
    <phoneticPr fontId="3" type="noConversion"/>
  </si>
  <si>
    <r>
      <rPr>
        <sz val="11"/>
        <rFont val="細明體"/>
        <family val="3"/>
      </rPr>
      <t>≒</t>
    </r>
  </si>
  <si>
    <r>
      <t>140KG/CM2</t>
    </r>
    <r>
      <rPr>
        <sz val="11"/>
        <rFont val="細明體"/>
        <family val="3"/>
      </rPr>
      <t>預拌混凝土含澆置</t>
    </r>
    <phoneticPr fontId="3" type="noConversion"/>
  </si>
  <si>
    <r>
      <rPr>
        <sz val="11"/>
        <rFont val="細明體"/>
        <family val="3"/>
      </rPr>
      <t>處</t>
    </r>
    <phoneticPr fontId="3" type="noConversion"/>
  </si>
  <si>
    <r>
      <rPr>
        <sz val="11"/>
        <rFont val="細明體"/>
        <family val="3"/>
      </rPr>
      <t>組</t>
    </r>
    <phoneticPr fontId="3" type="noConversion"/>
  </si>
  <si>
    <r>
      <rPr>
        <sz val="11"/>
        <rFont val="細明體"/>
        <family val="3"/>
      </rPr>
      <t>普通模板</t>
    </r>
    <r>
      <rPr>
        <sz val="11"/>
        <rFont val="Times New Roman"/>
        <family val="1"/>
      </rPr>
      <t>(</t>
    </r>
    <r>
      <rPr>
        <sz val="11"/>
        <rFont val="細明體"/>
        <family val="3"/>
      </rPr>
      <t>作業高度超過</t>
    </r>
    <r>
      <rPr>
        <sz val="11"/>
        <rFont val="Times New Roman"/>
        <family val="1"/>
      </rPr>
      <t>2</t>
    </r>
    <r>
      <rPr>
        <sz val="11"/>
        <rFont val="細明體"/>
        <family val="3"/>
      </rPr>
      <t>公尺</t>
    </r>
    <r>
      <rPr>
        <sz val="11"/>
        <rFont val="Times New Roman"/>
        <family val="1"/>
      </rPr>
      <t>)</t>
    </r>
    <phoneticPr fontId="3" type="noConversion"/>
  </si>
  <si>
    <r>
      <t>210KG/CM2</t>
    </r>
    <r>
      <rPr>
        <sz val="11"/>
        <rFont val="細明體"/>
        <family val="3"/>
      </rPr>
      <t>預拌混凝土含澆置</t>
    </r>
    <phoneticPr fontId="3" type="noConversion"/>
  </si>
  <si>
    <t>每座數量</t>
    <phoneticPr fontId="3" type="noConversion"/>
  </si>
  <si>
    <r>
      <t>280KG/CM2</t>
    </r>
    <r>
      <rPr>
        <sz val="11"/>
        <rFont val="細明體"/>
        <family val="3"/>
      </rPr>
      <t>預拌混凝土含澆置</t>
    </r>
    <phoneticPr fontId="3" type="noConversion"/>
  </si>
  <si>
    <t>橋墩</t>
    <phoneticPr fontId="3" type="noConversion"/>
  </si>
  <si>
    <t>每座數量，共2座</t>
    <phoneticPr fontId="3" type="noConversion"/>
  </si>
  <si>
    <r>
      <t>350KG/CM2</t>
    </r>
    <r>
      <rPr>
        <sz val="11"/>
        <rFont val="細明體"/>
        <family val="3"/>
      </rPr>
      <t>預拌混凝土含澆置</t>
    </r>
    <phoneticPr fontId="3" type="noConversion"/>
  </si>
  <si>
    <r>
      <rPr>
        <sz val="11"/>
        <rFont val="新細明體"/>
        <family val="3"/>
        <charset val="136"/>
      </rPr>
      <t>鋼</t>
    </r>
    <r>
      <rPr>
        <sz val="11"/>
        <rFont val="細明體"/>
        <family val="3"/>
      </rPr>
      <t>模</t>
    </r>
    <r>
      <rPr>
        <sz val="11"/>
        <rFont val="新細明體"/>
        <family val="3"/>
        <charset val="136"/>
      </rPr>
      <t>組立</t>
    </r>
    <phoneticPr fontId="3" type="noConversion"/>
  </si>
  <si>
    <t>橋面板及隔梁</t>
    <phoneticPr fontId="3" type="noConversion"/>
  </si>
  <si>
    <t>每塊數量，共4+8=12個
橋台=2*2=4
橋墩=4*2=8</t>
    <phoneticPr fontId="3" type="noConversion"/>
  </si>
  <si>
    <t>每塊數量，共6+12=18個
橋台=3*2=6
橋墩=6*2=12</t>
    <phoneticPr fontId="3" type="noConversion"/>
  </si>
  <si>
    <t>每個數量，共8+16=24個
橋台=4*2=8
橋墩=8*2=16</t>
    <phoneticPr fontId="3" type="noConversion"/>
  </si>
  <si>
    <t>填縫板</t>
    <phoneticPr fontId="3" type="noConversion"/>
  </si>
  <si>
    <t>鋼模組立</t>
    <phoneticPr fontId="3" type="noConversion"/>
  </si>
  <si>
    <t>∮9.0㎝鍍鋅套管</t>
    <phoneticPr fontId="3" type="noConversion"/>
  </si>
  <si>
    <t>∮9.0㎝套管灌漿</t>
    <phoneticPr fontId="3" type="noConversion"/>
  </si>
  <si>
    <t>付</t>
    <phoneticPr fontId="3" type="noConversion"/>
  </si>
  <si>
    <r>
      <rPr>
        <b/>
        <sz val="11"/>
        <rFont val="新細明體"/>
        <family val="1"/>
        <charset val="136"/>
      </rPr>
      <t>預力</t>
    </r>
    <r>
      <rPr>
        <b/>
        <sz val="11"/>
        <rFont val="Times New Roman"/>
        <family val="1"/>
      </rPr>
      <t>I</t>
    </r>
    <r>
      <rPr>
        <b/>
        <sz val="11"/>
        <rFont val="新細明體"/>
        <family val="1"/>
        <charset val="136"/>
      </rPr>
      <t>型梁</t>
    </r>
    <r>
      <rPr>
        <b/>
        <sz val="11"/>
        <rFont val="Times New Roman"/>
        <family val="1"/>
      </rPr>
      <t>L=40M</t>
    </r>
    <phoneticPr fontId="3" type="noConversion"/>
  </si>
  <si>
    <t>每支數量，共4支</t>
    <phoneticPr fontId="3" type="noConversion"/>
  </si>
  <si>
    <r>
      <rPr>
        <sz val="11"/>
        <rFont val="新細明體"/>
        <family val="1"/>
        <charset val="136"/>
      </rPr>
      <t>水中混凝土28</t>
    </r>
    <r>
      <rPr>
        <sz val="11"/>
        <rFont val="Times New Roman"/>
        <family val="1"/>
      </rPr>
      <t>0KG/CM2</t>
    </r>
    <r>
      <rPr>
        <sz val="11"/>
        <rFont val="細明體"/>
        <family val="3"/>
      </rPr>
      <t>混凝土</t>
    </r>
    <phoneticPr fontId="3" type="noConversion"/>
  </si>
  <si>
    <r>
      <t>全套管基樁，∮</t>
    </r>
    <r>
      <rPr>
        <b/>
        <sz val="11"/>
        <rFont val="Times New Roman"/>
        <family val="1"/>
        <charset val="136"/>
      </rPr>
      <t>150</t>
    </r>
    <r>
      <rPr>
        <b/>
        <sz val="11"/>
        <rFont val="細明體"/>
        <family val="3"/>
        <charset val="136"/>
      </rPr>
      <t>㎝，</t>
    </r>
    <r>
      <rPr>
        <b/>
        <sz val="11"/>
        <rFont val="Times New Roman"/>
        <family val="1"/>
        <charset val="136"/>
      </rPr>
      <t>L=10m</t>
    </r>
    <phoneticPr fontId="3" type="noConversion"/>
  </si>
  <si>
    <r>
      <t>2"PVC</t>
    </r>
    <r>
      <rPr>
        <sz val="11"/>
        <rFont val="細明體"/>
        <family val="3"/>
      </rPr>
      <t>洩水</t>
    </r>
    <r>
      <rPr>
        <sz val="11"/>
        <rFont val="新細明體"/>
        <family val="3"/>
        <charset val="136"/>
      </rPr>
      <t>孔</t>
    </r>
    <phoneticPr fontId="3" type="noConversion"/>
  </si>
  <si>
    <t>支撐施工架，鋼管</t>
    <phoneticPr fontId="3" type="noConversion"/>
  </si>
  <si>
    <t>每座數量，共4座</t>
    <phoneticPr fontId="3" type="noConversion"/>
  </si>
  <si>
    <r>
      <t>60*100</t>
    </r>
    <r>
      <rPr>
        <sz val="11"/>
        <rFont val="Segoe UI Symbol"/>
        <family val="1"/>
      </rPr>
      <t>㎝</t>
    </r>
    <r>
      <rPr>
        <sz val="11"/>
        <rFont val="細明體"/>
        <family val="1"/>
        <charset val="136"/>
      </rPr>
      <t>格柵蓋板</t>
    </r>
    <phoneticPr fontId="3" type="noConversion"/>
  </si>
  <si>
    <t>0.8m*0.8m排水溝</t>
    <phoneticPr fontId="3" type="noConversion"/>
  </si>
  <si>
    <t>每處數量，共1處</t>
    <phoneticPr fontId="3" type="noConversion"/>
  </si>
  <si>
    <t>每處數量，共2處</t>
    <phoneticPr fontId="3" type="noConversion"/>
  </si>
  <si>
    <t>生態廊道</t>
    <phoneticPr fontId="3" type="noConversion"/>
  </si>
  <si>
    <t>RCP管(D=400㎜,t=63㎜)</t>
    <phoneticPr fontId="3" type="noConversion"/>
  </si>
  <si>
    <t>土方回填</t>
    <phoneticPr fontId="3" type="noConversion"/>
  </si>
  <si>
    <r>
      <rPr>
        <sz val="12"/>
        <rFont val="細明體"/>
        <family val="3"/>
      </rPr>
      <t>項次</t>
    </r>
    <phoneticPr fontId="3" type="noConversion"/>
  </si>
  <si>
    <r>
      <rPr>
        <sz val="12"/>
        <rFont val="細明體"/>
        <family val="3"/>
      </rPr>
      <t>工程項目</t>
    </r>
    <phoneticPr fontId="3" type="noConversion"/>
  </si>
  <si>
    <r>
      <rPr>
        <sz val="12"/>
        <rFont val="細明體"/>
        <family val="3"/>
      </rPr>
      <t>單位</t>
    </r>
    <phoneticPr fontId="3" type="noConversion"/>
  </si>
  <si>
    <t>橋梁工程</t>
    <phoneticPr fontId="3" type="noConversion"/>
  </si>
  <si>
    <t>道路排水工程</t>
    <phoneticPr fontId="3" type="noConversion"/>
  </si>
  <si>
    <t>鍍鋅格柵板(60*100㎝)</t>
    <phoneticPr fontId="3" type="noConversion"/>
  </si>
  <si>
    <t>支撐施工架，鋼管</t>
  </si>
  <si>
    <r>
      <rPr>
        <sz val="11"/>
        <rFont val="細明體"/>
        <family val="1"/>
        <charset val="136"/>
      </rPr>
      <t>排水孔10</t>
    </r>
    <r>
      <rPr>
        <sz val="11"/>
        <rFont val="Segoe UI Symbol"/>
        <family val="1"/>
      </rPr>
      <t>㎝</t>
    </r>
    <r>
      <rPr>
        <sz val="11"/>
        <rFont val="細明體"/>
        <family val="1"/>
        <charset val="136"/>
      </rPr>
      <t>*20</t>
    </r>
    <r>
      <rPr>
        <sz val="11"/>
        <rFont val="Segoe UI Symbol"/>
        <family val="1"/>
      </rPr>
      <t>㎝</t>
    </r>
    <r>
      <rPr>
        <sz val="11"/>
        <rFont val="細明體"/>
        <family val="1"/>
        <charset val="136"/>
      </rPr>
      <t>不銹鋼方管(t=2mm)</t>
    </r>
    <phoneticPr fontId="3" type="noConversion"/>
  </si>
  <si>
    <t>計</t>
    <phoneticPr fontId="12" type="noConversion"/>
  </si>
  <si>
    <t>(34.5+37.9+73.7+87.6+159.5+166.2+21.6+32.8+24.3+10.3)*0.15</t>
    <phoneticPr fontId="3" type="noConversion"/>
  </si>
  <si>
    <t>3+1+4+1</t>
    <phoneticPr fontId="3" type="noConversion"/>
  </si>
  <si>
    <t>365*0.1*2</t>
    <phoneticPr fontId="3" type="noConversion"/>
  </si>
  <si>
    <t>(0.1*2.5)*2</t>
    <phoneticPr fontId="3" type="noConversion"/>
  </si>
  <si>
    <t>方塊護欄</t>
    <phoneticPr fontId="3" type="noConversion"/>
  </si>
  <si>
    <t>構造物回填</t>
    <phoneticPr fontId="3" type="noConversion"/>
  </si>
  <si>
    <t>構造物開挖,砂土礫石，含抽水</t>
    <phoneticPr fontId="3" type="noConversion"/>
  </si>
  <si>
    <t>詳見"表4_道路土方計算表"</t>
    <phoneticPr fontId="3" type="noConversion"/>
  </si>
  <si>
    <t>詳見"表4_道路土方計算表"及"表2_道路排水工程數量統計表"</t>
    <phoneticPr fontId="3" type="noConversion"/>
  </si>
  <si>
    <t>詳見"表5_道路碎石級配計算表"</t>
    <phoneticPr fontId="3" type="noConversion"/>
  </si>
  <si>
    <t>詳見"表4_道路碎石級配計算表"</t>
    <phoneticPr fontId="3" type="noConversion"/>
  </si>
  <si>
    <t>詳見"表5_道路數量面積計算表"</t>
    <phoneticPr fontId="3" type="noConversion"/>
  </si>
  <si>
    <t>詳見"表5_道路數量面積計算表"*厚0.05m*比重2.3T/M3</t>
    <phoneticPr fontId="3" type="noConversion"/>
  </si>
  <si>
    <t>普通模板</t>
    <phoneticPr fontId="3" type="noConversion"/>
  </si>
  <si>
    <t>詳見"表2_道路排水工程數量計算表"</t>
    <phoneticPr fontId="3" type="noConversion"/>
  </si>
  <si>
    <t>反光導標</t>
    <phoneticPr fontId="3" type="noConversion"/>
  </si>
  <si>
    <t>處</t>
    <phoneticPr fontId="3" type="noConversion"/>
  </si>
  <si>
    <t>二</t>
    <phoneticPr fontId="3" type="noConversion"/>
  </si>
  <si>
    <t>一</t>
    <phoneticPr fontId="3" type="noConversion"/>
  </si>
  <si>
    <t>反光導標</t>
    <phoneticPr fontId="3" type="noConversion"/>
  </si>
  <si>
    <t>橡膠止水帶</t>
    <phoneticPr fontId="3" type="noConversion"/>
  </si>
  <si>
    <t>填縫劑，pu樹脂填縫板</t>
    <phoneticPr fontId="3" type="noConversion"/>
  </si>
  <si>
    <t>伸縮縫剪力筋</t>
    <phoneticPr fontId="3" type="noConversion"/>
  </si>
  <si>
    <t>支</t>
    <phoneticPr fontId="3" type="noConversion"/>
  </si>
  <si>
    <t>詳見"表1_橋梁工程數量計算表"</t>
    <phoneticPr fontId="3" type="noConversion"/>
  </si>
  <si>
    <t>齒型伸縮縫及安裝</t>
  </si>
  <si>
    <t>齒型伸縮縫及安裝</t>
    <phoneticPr fontId="3" type="noConversion"/>
  </si>
  <si>
    <t>二1-二2</t>
    <phoneticPr fontId="3" type="noConversion"/>
  </si>
  <si>
    <t>鉸接處理</t>
    <phoneticPr fontId="3" type="noConversion"/>
  </si>
  <si>
    <t>金屬橋欄杆，鋼管</t>
    <phoneticPr fontId="3" type="noConversion"/>
  </si>
  <si>
    <t>錨座補強處理</t>
    <phoneticPr fontId="3" type="noConversion"/>
  </si>
  <si>
    <t>處</t>
    <phoneticPr fontId="3" type="noConversion"/>
  </si>
  <si>
    <t>支承墊剪力鋼棒處理</t>
    <phoneticPr fontId="3" type="noConversion"/>
  </si>
  <si>
    <t>鋼板樁，L=13m，(單邊水平長度，含擋土支撐系統)</t>
    <phoneticPr fontId="3" type="noConversion"/>
  </si>
  <si>
    <t>開挖支撐及保護，H型鋼水平支撐</t>
    <phoneticPr fontId="3" type="noConversion"/>
  </si>
  <si>
    <t>開挖支撐及保護，施工構台</t>
    <phoneticPr fontId="3" type="noConversion"/>
  </si>
  <si>
    <t>護岸工程</t>
    <phoneticPr fontId="3" type="noConversion"/>
  </si>
  <si>
    <t>地工織物，不織布</t>
  </si>
  <si>
    <t>拋石</t>
  </si>
  <si>
    <t>箱型石籠</t>
  </si>
  <si>
    <t>排水管溝，砌石溝(W50cm*H100cm)</t>
  </si>
  <si>
    <t>假設工程</t>
    <phoneticPr fontId="3" type="noConversion"/>
  </si>
  <si>
    <t>護岸工程</t>
    <phoneticPr fontId="3" type="noConversion"/>
  </si>
  <si>
    <t>26*2+25*2</t>
    <phoneticPr fontId="3" type="noConversion"/>
  </si>
  <si>
    <t>m</t>
    <phoneticPr fontId="3" type="noConversion"/>
  </si>
  <si>
    <r>
      <t>m</t>
    </r>
    <r>
      <rPr>
        <vertAlign val="superscript"/>
        <sz val="12"/>
        <rFont val="標楷體"/>
        <family val="4"/>
        <charset val="136"/>
      </rPr>
      <t>3</t>
    </r>
    <phoneticPr fontId="3" type="noConversion"/>
  </si>
  <si>
    <t>(38+25)*60</t>
    <phoneticPr fontId="3" type="noConversion"/>
  </si>
  <si>
    <t>(38+25)*1.02*60</t>
    <phoneticPr fontId="3" type="noConversion"/>
  </si>
  <si>
    <t>(2.5*2.5+2.0*1.5)*2*60</t>
    <phoneticPr fontId="3" type="noConversion"/>
  </si>
  <si>
    <t>拋石，整平費</t>
    <phoneticPr fontId="3" type="noConversion"/>
  </si>
  <si>
    <t>假設工程</t>
    <phoneticPr fontId="3" type="noConversion"/>
  </si>
  <si>
    <t>三</t>
    <phoneticPr fontId="3" type="noConversion"/>
  </si>
  <si>
    <t>四</t>
    <phoneticPr fontId="3" type="noConversion"/>
  </si>
  <si>
    <t>五</t>
    <phoneticPr fontId="3" type="noConversion"/>
  </si>
  <si>
    <t>六</t>
    <phoneticPr fontId="3" type="noConversion"/>
  </si>
  <si>
    <t>七</t>
    <phoneticPr fontId="3" type="noConversion"/>
  </si>
  <si>
    <t>照明工程</t>
    <phoneticPr fontId="3" type="noConversion"/>
  </si>
  <si>
    <t>開關箱基礎座</t>
  </si>
  <si>
    <t>基板式路燈基礎座</t>
    <phoneticPr fontId="3" type="noConversion"/>
  </si>
  <si>
    <t>PVC PIPE 塑膠管Ø28m/m ×3.0m/m</t>
    <phoneticPr fontId="3" type="noConversion"/>
  </si>
  <si>
    <t>產品，尼龍繩(穿管繩)</t>
    <phoneticPr fontId="3" type="noConversion"/>
  </si>
  <si>
    <t>365+0.8*9</t>
    <phoneticPr fontId="3" type="noConversion"/>
  </si>
  <si>
    <t>管線工程</t>
    <phoneticPr fontId="3" type="noConversion"/>
  </si>
  <si>
    <t>人孔，750mm∮(含框蓋及安裝)</t>
    <phoneticPr fontId="3" type="noConversion"/>
  </si>
  <si>
    <t>不銹鋼塑膠包覆踏步及安裝，19mm∮</t>
    <phoneticPr fontId="3" type="noConversion"/>
  </si>
  <si>
    <t>4*5</t>
    <phoneticPr fontId="3" type="noConversion"/>
  </si>
  <si>
    <t>八</t>
    <phoneticPr fontId="3" type="noConversion"/>
  </si>
  <si>
    <t>道路標誌標線工程</t>
    <phoneticPr fontId="3" type="noConversion"/>
  </si>
  <si>
    <t>10*2+8*2</t>
    <phoneticPr fontId="3" type="noConversion"/>
  </si>
  <si>
    <t>15*2+13.3*2+13*2+11.3*2</t>
    <phoneticPr fontId="3" type="noConversion"/>
  </si>
  <si>
    <t>10*8*2+13*11.3*3*2</t>
    <phoneticPr fontId="3" type="noConversion"/>
  </si>
  <si>
    <t>9*9*2</t>
    <phoneticPr fontId="3" type="noConversion"/>
  </si>
  <si>
    <t>監測儀器，安裝含監測</t>
    <phoneticPr fontId="3" type="noConversion"/>
  </si>
  <si>
    <t>每m數量，2側共43*2+51*2=188M</t>
    <phoneticPr fontId="3" type="noConversion"/>
  </si>
  <si>
    <t>引道封牆(H=5.9m)</t>
    <phoneticPr fontId="3" type="noConversion"/>
  </si>
  <si>
    <t>引道封牆(H=1.2m)</t>
    <phoneticPr fontId="3" type="noConversion"/>
  </si>
  <si>
    <t>每m數量，共6+6=12M</t>
    <phoneticPr fontId="3" type="noConversion"/>
  </si>
  <si>
    <t>每處數量，共1處</t>
    <phoneticPr fontId="3" type="noConversion"/>
  </si>
  <si>
    <t>每處數量，共1處</t>
    <phoneticPr fontId="3" type="noConversion"/>
  </si>
  <si>
    <t>人孔，750mm∮(含框蓋及安裝)</t>
  </si>
  <si>
    <t>不銹鋼塑膠包覆踏步及安裝，19mm∮</t>
  </si>
  <si>
    <t>座</t>
  </si>
  <si>
    <t>支</t>
  </si>
  <si>
    <t>產品，邊坡穩定水平排水管，濾料袋</t>
    <phoneticPr fontId="3" type="noConversion"/>
  </si>
  <si>
    <t>監測儀器，安裝含監測</t>
    <phoneticPr fontId="3" type="noConversion"/>
  </si>
  <si>
    <t>開挖支撐及保護，H型鋼水平支撐</t>
    <phoneticPr fontId="3" type="noConversion"/>
  </si>
  <si>
    <t>鋼板樁，L=16m</t>
    <phoneticPr fontId="3" type="noConversion"/>
  </si>
  <si>
    <t>M</t>
  </si>
  <si>
    <t>M</t>
    <phoneticPr fontId="3" type="noConversion"/>
  </si>
  <si>
    <t>袋</t>
  </si>
  <si>
    <t>橋台</t>
    <phoneticPr fontId="3" type="noConversion"/>
  </si>
  <si>
    <t>i</t>
    <phoneticPr fontId="3" type="noConversion"/>
  </si>
  <si>
    <r>
      <rPr>
        <sz val="11"/>
        <rFont val="細明體"/>
        <family val="3"/>
        <charset val="136"/>
      </rPr>
      <t>合成橡膠支承墊及安裝</t>
    </r>
    <r>
      <rPr>
        <sz val="11"/>
        <rFont val="Times New Roman"/>
        <family val="1"/>
      </rPr>
      <t>(80*60*5.5cm)</t>
    </r>
    <phoneticPr fontId="3" type="noConversion"/>
  </si>
  <si>
    <r>
      <t>57*60*40cm</t>
    </r>
    <r>
      <rPr>
        <b/>
        <sz val="11"/>
        <rFont val="細明體"/>
        <family val="3"/>
      </rPr>
      <t>混凝土</t>
    </r>
    <r>
      <rPr>
        <b/>
        <sz val="11"/>
        <rFont val="細明體"/>
        <family val="3"/>
        <charset val="136"/>
      </rPr>
      <t>止震塊</t>
    </r>
    <phoneticPr fontId="3" type="noConversion"/>
  </si>
  <si>
    <r>
      <t>140*60*30cm</t>
    </r>
    <r>
      <rPr>
        <b/>
        <sz val="11"/>
        <rFont val="細明體"/>
        <family val="3"/>
      </rPr>
      <t>混凝土</t>
    </r>
    <r>
      <rPr>
        <b/>
        <sz val="11"/>
        <rFont val="細明體"/>
        <family val="3"/>
        <charset val="136"/>
      </rPr>
      <t>止震塊</t>
    </r>
    <phoneticPr fontId="3" type="noConversion"/>
  </si>
  <si>
    <r>
      <t>90*80*14.5cm</t>
    </r>
    <r>
      <rPr>
        <b/>
        <sz val="11"/>
        <rFont val="細明體"/>
        <family val="3"/>
      </rPr>
      <t>混凝土墊塊</t>
    </r>
    <phoneticPr fontId="3" type="noConversion"/>
  </si>
  <si>
    <r>
      <rPr>
        <b/>
        <sz val="11"/>
        <rFont val="新細明體"/>
        <family val="1"/>
        <charset val="136"/>
      </rPr>
      <t>預力</t>
    </r>
    <r>
      <rPr>
        <b/>
        <sz val="11"/>
        <rFont val="Times New Roman"/>
        <family val="1"/>
      </rPr>
      <t>I</t>
    </r>
    <r>
      <rPr>
        <b/>
        <sz val="11"/>
        <rFont val="新細明體"/>
        <family val="1"/>
        <charset val="136"/>
      </rPr>
      <t>型梁</t>
    </r>
    <r>
      <rPr>
        <b/>
        <sz val="11"/>
        <rFont val="Times New Roman"/>
        <family val="1"/>
      </rPr>
      <t>L=45M</t>
    </r>
    <phoneticPr fontId="3" type="noConversion"/>
  </si>
  <si>
    <t>每支數量，共4*2=8支</t>
    <phoneticPr fontId="3" type="noConversion"/>
  </si>
  <si>
    <r>
      <t>420KG/CM2</t>
    </r>
    <r>
      <rPr>
        <sz val="11"/>
        <rFont val="細明體"/>
        <family val="3"/>
      </rPr>
      <t>預拌混凝土含澆置</t>
    </r>
    <phoneticPr fontId="3" type="noConversion"/>
  </si>
  <si>
    <t>13根∮12.7㎜鋼鉸線</t>
    <phoneticPr fontId="3" type="noConversion"/>
  </si>
  <si>
    <t>13根-12.7㎜錨錐</t>
    <phoneticPr fontId="3" type="noConversion"/>
  </si>
  <si>
    <t>17根∮12.7㎜鋼鉸線</t>
    <phoneticPr fontId="3" type="noConversion"/>
  </si>
  <si>
    <t>17根-12.7㎜錨錐</t>
    <phoneticPr fontId="3" type="noConversion"/>
  </si>
  <si>
    <t>125/5*2</t>
    <phoneticPr fontId="3" type="noConversion"/>
  </si>
  <si>
    <t>9*2</t>
    <phoneticPr fontId="3" type="noConversion"/>
  </si>
  <si>
    <t>125*2</t>
    <phoneticPr fontId="3" type="noConversion"/>
  </si>
  <si>
    <t>引道箱涵(H=5.9m)</t>
    <phoneticPr fontId="3" type="noConversion"/>
  </si>
  <si>
    <t>每處數量，共2處</t>
    <phoneticPr fontId="3" type="noConversion"/>
  </si>
  <si>
    <t>每m數量，共4.2M</t>
    <phoneticPr fontId="3" type="noConversion"/>
  </si>
  <si>
    <t>每處數量，共4處</t>
    <phoneticPr fontId="3" type="noConversion"/>
  </si>
  <si>
    <t>每m數量，共42+51=93M</t>
    <phoneticPr fontId="3" type="noConversion"/>
  </si>
  <si>
    <t>每m數量，共10+10+10+1.3=31.3M</t>
    <phoneticPr fontId="3" type="noConversion"/>
  </si>
  <si>
    <t>翼牆封牆</t>
    <phoneticPr fontId="3" type="noConversion"/>
  </si>
  <si>
    <t>j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</si>
  <si>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</si>
  <si>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</si>
  <si>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</si>
  <si>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每m數量，共104*2=208M</t>
    <phoneticPr fontId="3" type="noConversion"/>
  </si>
  <si>
    <t>每塊數量，共94塊</t>
    <phoneticPr fontId="3" type="noConversion"/>
  </si>
  <si>
    <t>普通模板</t>
    <phoneticPr fontId="3" type="noConversion"/>
  </si>
  <si>
    <t>普通模板</t>
    <phoneticPr fontId="3" type="noConversion"/>
  </si>
  <si>
    <r>
      <rPr>
        <sz val="11"/>
        <rFont val="細明體"/>
        <family val="3"/>
        <charset val="136"/>
      </rPr>
      <t>合成橡膠支承墊及安裝</t>
    </r>
    <r>
      <rPr>
        <sz val="11"/>
        <rFont val="Times New Roman"/>
        <family val="1"/>
      </rPr>
      <t>(80*60*5.5cm)</t>
    </r>
    <phoneticPr fontId="3" type="noConversion"/>
  </si>
  <si>
    <r>
      <rPr>
        <sz val="11"/>
        <rFont val="細明體"/>
        <family val="3"/>
        <charset val="136"/>
      </rPr>
      <t>合成橡膠支承墊及安裝</t>
    </r>
    <r>
      <rPr>
        <sz val="11"/>
        <rFont val="Times New Roman"/>
        <family val="1"/>
      </rPr>
      <t>(80*60*5.5cm)</t>
    </r>
    <phoneticPr fontId="3" type="noConversion"/>
  </si>
  <si>
    <t>5m一座，共10座</t>
    <phoneticPr fontId="3" type="noConversion"/>
  </si>
  <si>
    <t>20m一處，共10處</t>
    <phoneticPr fontId="3" type="noConversion"/>
  </si>
  <si>
    <t>20m一處，共10處</t>
    <phoneticPr fontId="3" type="noConversion"/>
  </si>
  <si>
    <t>20m一處，共4處</t>
    <phoneticPr fontId="3" type="noConversion"/>
  </si>
  <si>
    <t>普通模板</t>
    <phoneticPr fontId="3" type="noConversion"/>
  </si>
  <si>
    <t>普通模板</t>
    <phoneticPr fontId="3" type="noConversion"/>
  </si>
  <si>
    <t>(17.63+36.41)/2</t>
    <phoneticPr fontId="3" type="noConversion"/>
  </si>
  <si>
    <t>20m一處，共4處</t>
    <phoneticPr fontId="3" type="noConversion"/>
  </si>
  <si>
    <t>(390.21+508.77)/2</t>
    <phoneticPr fontId="3" type="noConversion"/>
  </si>
  <si>
    <t>(11.27+15.96)/2</t>
    <phoneticPr fontId="3" type="noConversion"/>
  </si>
  <si>
    <t>(5.28+25.96)/2</t>
    <phoneticPr fontId="3" type="noConversion"/>
  </si>
  <si>
    <t>20m一處共10處</t>
    <phoneticPr fontId="3" type="noConversion"/>
  </si>
  <si>
    <t>構造物開挖，機械</t>
    <phoneticPr fontId="3" type="noConversion"/>
  </si>
  <si>
    <t>構造物回填，機械</t>
    <phoneticPr fontId="3" type="noConversion"/>
  </si>
  <si>
    <t>路基整理</t>
    <phoneticPr fontId="3" type="noConversion"/>
  </si>
  <si>
    <t>熱拌粗級配瀝青混凝土面層</t>
    <phoneticPr fontId="3" type="noConversion"/>
  </si>
  <si>
    <t>熱拌密級配瀝青混凝土面層</t>
    <phoneticPr fontId="3" type="noConversion"/>
  </si>
  <si>
    <t>普通模板</t>
    <phoneticPr fontId="3" type="noConversion"/>
  </si>
  <si>
    <t>鋼筋彎紮及組立SD280(D10~D16)</t>
    <phoneticPr fontId="3" type="noConversion"/>
  </si>
  <si>
    <t>支撐施工架，鋼管</t>
    <phoneticPr fontId="3" type="noConversion"/>
  </si>
  <si>
    <t>填縫劑，pu樹脂填縫板</t>
    <phoneticPr fontId="3" type="noConversion"/>
  </si>
  <si>
    <t>伸縮縫剪力筋</t>
    <phoneticPr fontId="3" type="noConversion"/>
  </si>
  <si>
    <t>反光導標</t>
    <phoneticPr fontId="3" type="noConversion"/>
  </si>
  <si>
    <t>2mm熱塑性塑膠反光標線</t>
    <phoneticPr fontId="3" type="noConversion"/>
  </si>
  <si>
    <t>構造物回填，餘方近運(就地護岸回填整平，不得外運)</t>
    <phoneticPr fontId="3" type="noConversion"/>
  </si>
  <si>
    <t>錨座補強處理</t>
    <phoneticPr fontId="3" type="noConversion"/>
  </si>
  <si>
    <t>瀝青混凝土面層</t>
    <phoneticPr fontId="12" type="noConversion"/>
  </si>
  <si>
    <t>瀝青混凝土底層</t>
    <phoneticPr fontId="12" type="noConversion"/>
  </si>
  <si>
    <t>（1）瀝青混凝土密級配面層/粗級配底層</t>
    <phoneticPr fontId="11" type="noConversion"/>
  </si>
  <si>
    <t>級配粒料底層</t>
    <phoneticPr fontId="12" type="noConversion"/>
  </si>
  <si>
    <t>（2）級配粒料底層</t>
    <phoneticPr fontId="11" type="noConversion"/>
  </si>
  <si>
    <t>舖設透層</t>
    <phoneticPr fontId="3" type="noConversion"/>
  </si>
  <si>
    <t>PVC PIPE 塑膠管</t>
    <phoneticPr fontId="3" type="noConversion"/>
  </si>
  <si>
    <t>產品，尼龍繩(穿管繩)</t>
    <phoneticPr fontId="3" type="noConversion"/>
  </si>
  <si>
    <t>組</t>
    <phoneticPr fontId="3" type="noConversion"/>
  </si>
  <si>
    <t>金屬橋欄杆，鋼管</t>
    <phoneticPr fontId="3" type="noConversion"/>
  </si>
  <si>
    <t>M</t>
    <phoneticPr fontId="3" type="noConversion"/>
  </si>
  <si>
    <t>全套管式鑽掘混凝土基樁，樁頭處理</t>
  </si>
  <si>
    <t>全套管式鑽掘混凝土基樁，D=1500mm，(鑽掘，含空鑽)</t>
  </si>
  <si>
    <t>全套管式鑽掘混凝土基樁，完整性試驗管及安裝</t>
  </si>
  <si>
    <t>預鑄大梁場地整租費</t>
  </si>
  <si>
    <t>預力梁架設</t>
  </si>
  <si>
    <t>根</t>
  </si>
  <si>
    <t>4*2+5*2</t>
    <phoneticPr fontId="3" type="noConversion"/>
  </si>
  <si>
    <t>機械拆除，建築物拆除，含裝運</t>
    <phoneticPr fontId="3" type="noConversion"/>
  </si>
  <si>
    <t>組</t>
    <phoneticPr fontId="3" type="noConversion"/>
  </si>
  <si>
    <t>橋面排水含金屬柵欄</t>
    <phoneticPr fontId="3" type="noConversion"/>
  </si>
  <si>
    <t>鋼筋彎紮及組立SD420(D19~D32)</t>
    <phoneticPr fontId="3" type="noConversion"/>
  </si>
  <si>
    <t>140KG/CM2預拌混凝土含澆置</t>
    <phoneticPr fontId="3" type="noConversion"/>
  </si>
  <si>
    <t>210KG/CM2預拌混凝土含澆置</t>
    <phoneticPr fontId="3" type="noConversion"/>
  </si>
  <si>
    <t>2"PVC洩水孔</t>
    <phoneticPr fontId="3" type="noConversion"/>
  </si>
  <si>
    <t>鍍鋅格柵板(60*100㎝)</t>
    <phoneticPr fontId="3" type="noConversion"/>
  </si>
  <si>
    <t>RCP管(D=400㎜,t=63㎜)</t>
    <phoneticPr fontId="3" type="noConversion"/>
  </si>
  <si>
    <t>280KG/CM2預拌混凝土含澆置</t>
    <phoneticPr fontId="3" type="noConversion"/>
  </si>
  <si>
    <t>排水孔10㎝*20㎝不銹鋼方管(t=2mm)</t>
    <phoneticPr fontId="3" type="noConversion"/>
  </si>
  <si>
    <t>26.2+48+39.3+73.9</t>
    <phoneticPr fontId="3" type="noConversion"/>
  </si>
  <si>
    <t>((10.4+12.4)*2+(12.4+14.4)*2)*2</t>
    <phoneticPr fontId="3" type="noConversion"/>
  </si>
  <si>
    <t>既有民生橋拆除
橋面版：7.5*110.8*0.2=166.2
I型梁：1.09*110.8*4=483.09
橋台：20.27*7.5=152.03
橋墩：(1.5*7.5*1.6+0.8*0.8*3.14*7.5)*3=99.22</t>
    <phoneticPr fontId="3" type="noConversion"/>
  </si>
  <si>
    <t>橋梁工程</t>
    <phoneticPr fontId="3" type="noConversion"/>
  </si>
  <si>
    <t>5*2*10+4*2*10</t>
    <phoneticPr fontId="3" type="noConversion"/>
  </si>
  <si>
    <t>鋼板樁，L=9m</t>
    <phoneticPr fontId="3" type="noConversion"/>
  </si>
  <si>
    <t>M2</t>
    <phoneticPr fontId="3" type="noConversion"/>
  </si>
  <si>
    <t>(2.4*3.14/2*8)*2</t>
    <phoneticPr fontId="3" type="noConversion"/>
  </si>
  <si>
    <t>(1978.87+2727.11)/2</t>
    <phoneticPr fontId="3" type="noConversion"/>
  </si>
  <si>
    <t>箱涵引道側溝牆體加高</t>
    <phoneticPr fontId="3" type="noConversion"/>
  </si>
  <si>
    <t>既有側溝牆體加高</t>
    <phoneticPr fontId="3" type="noConversion"/>
  </si>
  <si>
    <t>每M2數量，共65M2</t>
    <phoneticPr fontId="3" type="noConversion"/>
  </si>
  <si>
    <t>每M2數量，共31M2</t>
    <phoneticPr fontId="3" type="noConversion"/>
  </si>
  <si>
    <r>
      <t>280KG/CM2</t>
    </r>
    <r>
      <rPr>
        <sz val="11"/>
        <rFont val="細明體"/>
        <family val="3"/>
      </rPr>
      <t>預拌混凝土含澆置</t>
    </r>
    <phoneticPr fontId="3" type="noConversion"/>
  </si>
  <si>
    <t>不銹鋼自動水閘門(0.8m×0.8m)</t>
    <phoneticPr fontId="3" type="noConversion"/>
  </si>
  <si>
    <t>4"PVC管</t>
    <phoneticPr fontId="3" type="noConversion"/>
  </si>
  <si>
    <t>(9-2.6)*9*12.7*2</t>
    <phoneticPr fontId="3" type="noConversion"/>
  </si>
  <si>
    <t>M3</t>
    <phoneticPr fontId="3" type="noConversion"/>
  </si>
  <si>
    <t>20*10</t>
    <phoneticPr fontId="3" type="noConversion"/>
  </si>
  <si>
    <t>組</t>
    <phoneticPr fontId="3" type="noConversion"/>
  </si>
  <si>
    <t>M</t>
    <phoneticPr fontId="3" type="noConversion"/>
  </si>
  <si>
    <t>混凝土泵，泵浦車出車費</t>
    <phoneticPr fontId="3" type="noConversion"/>
  </si>
  <si>
    <t>M3</t>
    <phoneticPr fontId="3" type="noConversion"/>
  </si>
  <si>
    <t>20mm防撞鋼板(A36)(化錨固定安裝)</t>
    <phoneticPr fontId="3" type="noConversion"/>
  </si>
  <si>
    <t>預力混凝土基樁，樁頭處理</t>
    <phoneticPr fontId="3" type="noConversion"/>
  </si>
  <si>
    <t>臨時擋土支撐工法，中間支撐，L=9m(H300*300*10*15)</t>
    <phoneticPr fontId="3" type="noConversion"/>
  </si>
  <si>
    <t>臨時擋土支撐工法，中間支撐，L=16m(H350*350*12*19)</t>
    <phoneticPr fontId="3" type="noConversion"/>
  </si>
  <si>
    <t>T</t>
    <phoneticPr fontId="3" type="noConversion"/>
  </si>
  <si>
    <t>T</t>
    <phoneticPr fontId="3" type="noConversion"/>
  </si>
  <si>
    <t>七</t>
    <phoneticPr fontId="3" type="noConversion"/>
  </si>
  <si>
    <t>水保工程</t>
    <phoneticPr fontId="3" type="noConversion"/>
  </si>
  <si>
    <t>水土保持計畫工程告示牌</t>
    <phoneticPr fontId="3" type="noConversion"/>
  </si>
  <si>
    <t>臨時排水，砂包，水土保持</t>
    <phoneticPr fontId="3" type="noConversion"/>
  </si>
  <si>
    <t>M</t>
    <phoneticPr fontId="3" type="noConversion"/>
  </si>
  <si>
    <t>(30+30+30+10)*4*2</t>
    <phoneticPr fontId="3" type="noConversion"/>
  </si>
  <si>
    <t>(30+30+30+10)*9*1.02</t>
    <phoneticPr fontId="3" type="noConversion"/>
  </si>
  <si>
    <t>鋼結構加工及組裝</t>
    <phoneticPr fontId="3" type="noConversion"/>
  </si>
  <si>
    <t>KG</t>
    <phoneticPr fontId="3" type="noConversion"/>
  </si>
  <si>
    <t>M</t>
    <phoneticPr fontId="3" type="noConversion"/>
  </si>
  <si>
    <t>組</t>
    <phoneticPr fontId="3" type="noConversion"/>
  </si>
  <si>
    <t>維修設備樓梯：1728.58 KG
管道維修門：108.5 KG
南北箱涵引道各兩座：
(1728.58+108.5)*2</t>
    <phoneticPr fontId="3" type="noConversion"/>
  </si>
  <si>
    <t>分向限制線：
(4.2+23.4+32.3+20+20+27.6+15.2)*0.1*2=28.5
行車分向線：
98.3*0.4*0.1=3.9
路面邊線：
(294+277.6)*0.15=85.7
停止線：
(4.7+1.8+2)*0.4=3.4
標字：
1.1*9=9.9</t>
    <phoneticPr fontId="3" type="noConversion"/>
  </si>
  <si>
    <t>集水井</t>
    <phoneticPr fontId="3" type="noConversion"/>
  </si>
  <si>
    <t>紐澤西護欄</t>
    <phoneticPr fontId="3" type="noConversion"/>
  </si>
  <si>
    <t>23.86*5+13.23*25.5+39.52+1.24</t>
    <phoneticPr fontId="3" type="noConversion"/>
  </si>
  <si>
    <t>164.01*5+116.3*25.5+767.83</t>
    <phoneticPr fontId="3" type="noConversion"/>
  </si>
  <si>
    <t>514.74*5+366.13*25.5</t>
    <phoneticPr fontId="3" type="noConversion"/>
  </si>
  <si>
    <t>11.75*5+8.07*25.5+9.88+0.13</t>
    <phoneticPr fontId="3" type="noConversion"/>
  </si>
  <si>
    <t>0.52*5+0.52*25.5</t>
    <phoneticPr fontId="3" type="noConversion"/>
  </si>
  <si>
    <t>19.76*5+14.63*25.5</t>
    <phoneticPr fontId="3" type="noConversion"/>
  </si>
  <si>
    <t>21.04*5+13*21.5+2.9</t>
    <phoneticPr fontId="3" type="noConversion"/>
  </si>
  <si>
    <t>152.08*5+108.35*21.5</t>
    <phoneticPr fontId="3" type="noConversion"/>
  </si>
  <si>
    <t>406.6*5+301.52*21.5</t>
    <phoneticPr fontId="3" type="noConversion"/>
  </si>
  <si>
    <t>9*5+5.97*21.5+0.29</t>
    <phoneticPr fontId="3" type="noConversion"/>
  </si>
  <si>
    <t>0.52*5+0.52*21.5</t>
    <phoneticPr fontId="3" type="noConversion"/>
  </si>
  <si>
    <t>17.87*5+9.66*21.5</t>
    <phoneticPr fontId="3" type="noConversion"/>
  </si>
  <si>
    <t>5.72+3.68*57+2.6+12.3</t>
    <phoneticPr fontId="3" type="noConversion"/>
  </si>
  <si>
    <t>16.2+4.97*57+40.56</t>
    <phoneticPr fontId="3" type="noConversion"/>
  </si>
  <si>
    <t>1.28+0.74*57+0.16+0.73</t>
    <phoneticPr fontId="3" type="noConversion"/>
  </si>
  <si>
    <t>3.67+2.24*57</t>
    <phoneticPr fontId="3" type="noConversion"/>
  </si>
  <si>
    <t>3.67+2.24*5.5</t>
    <phoneticPr fontId="3" type="noConversion"/>
  </si>
  <si>
    <t>5.72+3.68*5.5+2.6+12.3</t>
    <phoneticPr fontId="3" type="noConversion"/>
  </si>
  <si>
    <t>16.2+4.97*5.5+40.56</t>
    <phoneticPr fontId="3" type="noConversion"/>
  </si>
  <si>
    <t>1.28+0.74*5.5+0.16+0.73</t>
    <phoneticPr fontId="3" type="noConversion"/>
  </si>
  <si>
    <t>橋台翼牆(H=7.0m)</t>
    <phoneticPr fontId="3" type="noConversion"/>
  </si>
  <si>
    <t>每支數量，共5*2+4*2=18支</t>
    <phoneticPr fontId="3" type="noConversion"/>
  </si>
  <si>
    <t xml:space="preserve">橋台2座：
(11*2+10*2+10*2+11)*93*2+2*4*71.8*2=14726.8
橋墩2座：
第一階(13*2+11.3*2)*2*93*2+2*10*71.8*2=20951.2  
第二階(13*2+11.3*2)*(135+93)*2+2*10*71.8*2=25033.6
第三階(13*2+11.3*2)*(172+135)*2+1*10*71.8*2=32712.4    </t>
    <phoneticPr fontId="3" type="noConversion"/>
  </si>
  <si>
    <t>T</t>
    <phoneticPr fontId="3" type="noConversion"/>
  </si>
  <si>
    <t>9*2*2*93=3348</t>
    <phoneticPr fontId="3" type="noConversion"/>
  </si>
  <si>
    <t>16*4*2*135=17280</t>
    <phoneticPr fontId="3" type="noConversion"/>
  </si>
  <si>
    <t>3"PVC排水管(含排水器)</t>
    <phoneticPr fontId="3" type="noConversion"/>
  </si>
  <si>
    <t>組</t>
    <phoneticPr fontId="3" type="noConversion"/>
  </si>
  <si>
    <t>箱涵引道開孔
(200-4)/1*2*0.5</t>
    <phoneticPr fontId="3" type="noConversion"/>
  </si>
  <si>
    <t>鋼筋，植筋，D16mm</t>
    <phoneticPr fontId="3" type="noConversion"/>
  </si>
  <si>
    <t>孔</t>
    <phoneticPr fontId="3" type="noConversion"/>
  </si>
  <si>
    <t>(15+13+10+6)/0.2</t>
    <phoneticPr fontId="3" type="noConversion"/>
  </si>
  <si>
    <t>預力混凝土基樁(L=10m)，D=400mm，B種</t>
    <phoneticPr fontId="3" type="noConversion"/>
  </si>
  <si>
    <t>125*40*40cm混凝土止震塊</t>
  </si>
  <si>
    <t>工程名稱：OOOO工程</t>
    <phoneticPr fontId="3" type="noConversion"/>
  </si>
  <si>
    <t>OOO單位</t>
    <phoneticPr fontId="3" type="noConversion"/>
  </si>
  <si>
    <t>普通模板</t>
  </si>
  <si>
    <t>210KG/CM2預拌混凝土含澆置</t>
  </si>
  <si>
    <t>140KG/CM2預拌混凝土含澆置</t>
  </si>
  <si>
    <t>2"PVC洩水孔</t>
  </si>
  <si>
    <t>鍍鋅格柵板(60*100㎝)</t>
  </si>
  <si>
    <t>填縫劑，pu樹脂填縫板</t>
  </si>
  <si>
    <t>橡膠止水帶</t>
  </si>
  <si>
    <t>280KG/CM2預拌混凝土含澆置</t>
  </si>
  <si>
    <t>伸縮縫剪力筋</t>
  </si>
  <si>
    <t>60*100㎝格柵蓋板</t>
  </si>
  <si>
    <t>鋼模組立</t>
  </si>
  <si>
    <t>排水孔10㎝*20㎝不銹鋼方管(t=2mm)</t>
  </si>
  <si>
    <t>反光導標</t>
  </si>
  <si>
    <t>RCP管(D=400㎜,t=63㎜)</t>
  </si>
  <si>
    <t>土方回填</t>
  </si>
  <si>
    <t>鋼筋彎紮及組立SD280</t>
  </si>
  <si>
    <r>
      <t>鋼筋彎紮及組立</t>
    </r>
    <r>
      <rPr>
        <sz val="11"/>
        <rFont val="Times New Roman"/>
        <family val="1"/>
        <charset val="136"/>
      </rPr>
      <t>SD280</t>
    </r>
  </si>
  <si>
    <r>
      <rPr>
        <sz val="11"/>
        <rFont val="微軟正黑體"/>
        <family val="1"/>
        <charset val="136"/>
      </rPr>
      <t>鋼筋彎紮及組立</t>
    </r>
    <r>
      <rPr>
        <sz val="11"/>
        <rFont val="Times New Roman"/>
        <family val="1"/>
      </rPr>
      <t>SD280</t>
    </r>
    <phoneticPr fontId="3" type="noConversion"/>
  </si>
  <si>
    <r>
      <t>鋼筋彎紮及組立</t>
    </r>
    <r>
      <rPr>
        <sz val="11"/>
        <rFont val="Times New Roman"/>
        <family val="1"/>
      </rPr>
      <t>SD280</t>
    </r>
  </si>
  <si>
    <t>鋼筋彎紮及組立SD420</t>
  </si>
  <si>
    <r>
      <t>鋼筋彎紮及組立</t>
    </r>
    <r>
      <rPr>
        <sz val="11"/>
        <rFont val="Times New Roman"/>
        <family val="3"/>
      </rPr>
      <t>SD420</t>
    </r>
  </si>
  <si>
    <r>
      <t>鋼筋彎紮及組立</t>
    </r>
    <r>
      <rPr>
        <sz val="11"/>
        <rFont val="Times New Roman"/>
        <family val="1"/>
      </rPr>
      <t>SD420</t>
    </r>
  </si>
  <si>
    <t>m2</t>
    <phoneticPr fontId="3" type="noConversion"/>
  </si>
  <si>
    <t>道路排水溝(0.8m*0.8-1.8m)</t>
    <phoneticPr fontId="3" type="noConversion"/>
  </si>
  <si>
    <t>引道箱涵(H=1.2m-5.9m)</t>
    <phoneticPr fontId="3" type="noConversion"/>
  </si>
  <si>
    <t>下田便道(H=0.4-1.4M，L=58m)含封牆</t>
    <phoneticPr fontId="3" type="noConversion"/>
  </si>
  <si>
    <t>下田便道(H=1.0-6.3M，L=30.5m)含封牆</t>
    <phoneticPr fontId="3" type="noConversion"/>
  </si>
  <si>
    <t>下田便道(H=1.0-5.5M，L=26.5m)含封牆</t>
    <phoneticPr fontId="3" type="noConversion"/>
  </si>
  <si>
    <t>下田便道(H=0.4-1.4M，L=6.5m)含封牆</t>
    <phoneticPr fontId="3" type="noConversion"/>
  </si>
  <si>
    <t>m!!</t>
    <phoneticPr fontId="3" type="noConversion"/>
  </si>
  <si>
    <t>處2</t>
    <phoneticPr fontId="3" type="noConversion"/>
  </si>
  <si>
    <t>處3</t>
    <phoneticPr fontId="3" type="noConversion"/>
  </si>
  <si>
    <t>m5</t>
    <phoneticPr fontId="3" type="noConversion"/>
  </si>
  <si>
    <t>構造物開挖,砂土礫石，含抽水</t>
  </si>
  <si>
    <t>構造物回填</t>
  </si>
  <si>
    <t>支承墊剪力鋼棒處理</t>
  </si>
  <si>
    <t>合成橡膠支承墊及安裝(80*60*5.5cm)</t>
  </si>
  <si>
    <t>普通模板(作業高度超過2公尺)</t>
  </si>
  <si>
    <t>橋面排水含金屬柵欄</t>
  </si>
  <si>
    <t>鉸接處理</t>
  </si>
  <si>
    <t>金屬橋欄杆，鋼管</t>
  </si>
  <si>
    <t>350KG/CM2預拌混凝土含澆置</t>
  </si>
  <si>
    <t>填縫板</t>
  </si>
  <si>
    <t>420KG/CM2預拌混凝土含澆置</t>
  </si>
  <si>
    <t>13根∮12.7㎜鋼鉸線</t>
  </si>
  <si>
    <t>∮9.0㎝鍍鋅套管</t>
  </si>
  <si>
    <t>∮9.0㎝套管灌漿</t>
  </si>
  <si>
    <t>13根-12.7㎜錨錐</t>
  </si>
  <si>
    <t>錨座補強處理</t>
  </si>
  <si>
    <t>17根∮12.7㎜鋼鉸線</t>
  </si>
  <si>
    <t>17根-12.7㎜錨錐</t>
  </si>
  <si>
    <t>水中混凝土280KG/CM2混凝土</t>
  </si>
  <si>
    <t>執行步驟</t>
    <phoneticPr fontId="3" type="noConversion"/>
  </si>
  <si>
    <t>將元件表填寫完畢</t>
    <phoneticPr fontId="3" type="noConversion"/>
  </si>
  <si>
    <t>操作</t>
    <phoneticPr fontId="3" type="noConversion"/>
  </si>
  <si>
    <t>備註</t>
    <phoneticPr fontId="3" type="noConversion"/>
  </si>
  <si>
    <t>盡可能避免波浪符號出現"~"</t>
    <phoneticPr fontId="3" type="noConversion"/>
  </si>
  <si>
    <t>執行VBA，匯出元件、材料統整表</t>
    <phoneticPr fontId="3" type="noConversion"/>
  </si>
  <si>
    <t>執行VBA，取得元件、材料單位，以及材料數量</t>
    <phoneticPr fontId="3" type="noConversion"/>
  </si>
  <si>
    <t>元件數量計算表名稱</t>
    <phoneticPr fontId="3" type="noConversion"/>
  </si>
  <si>
    <t>目標工程數量統計表名稱</t>
    <phoneticPr fontId="3" type="noConversion"/>
  </si>
  <si>
    <t>表3_元件數量計算表</t>
    <phoneticPr fontId="3" type="noConversion"/>
  </si>
  <si>
    <t>塊</t>
    <phoneticPr fontId="3" type="noConversion"/>
  </si>
  <si>
    <t>米</t>
    <phoneticPr fontId="3" type="noConversion"/>
  </si>
  <si>
    <t xml:space="preserve">表2_道路排水工程數量統計表 </t>
  </si>
  <si>
    <t>手動小計</t>
    <phoneticPr fontId="3" type="noConversion"/>
  </si>
  <si>
    <r>
      <t>會依工程將材料、元件依序整理，並產生【材料整理】工作表，</t>
    </r>
    <r>
      <rPr>
        <b/>
        <sz val="12"/>
        <rFont val="新細明體"/>
        <family val="1"/>
        <charset val="136"/>
      </rPr>
      <t>後續要手動複製到對應的工程數量統計表</t>
    </r>
    <phoneticPr fontId="3" type="noConversion"/>
  </si>
  <si>
    <r>
      <t>元件表中
a. 工程名稱編號必須為中文，即一、二、三…
b. 元件必須填色，才能與材料區別
c. 元件與元件之間以</t>
    </r>
    <r>
      <rPr>
        <b/>
        <sz val="12"/>
        <rFont val="新細明體"/>
        <family val="1"/>
        <charset val="136"/>
      </rPr>
      <t>空白列</t>
    </r>
    <r>
      <rPr>
        <sz val="12"/>
        <rFont val="新細明體"/>
        <family val="1"/>
        <charset val="136"/>
      </rPr>
      <t>隔開</t>
    </r>
    <phoneticPr fontId="3" type="noConversion"/>
  </si>
  <si>
    <t>目標工程編號</t>
    <phoneticPr fontId="3" type="noConversion"/>
  </si>
  <si>
    <t>目標工程編號與工程數量統計表要屬於同一項工程
例如工程編號填1，表示要取得工程一的材料，在元件表中得知工程一為橋梁工程
因此工程數量統計表要選擇橋梁工程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</si>
</sst>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2" formatCode="_-&quot;$&quot;* #,##0_-;\-&quot;$&quot;* #,##0_-;_-&quot;$&quot;* &quot;-&quot;_-;_-@_-"/>
    <numFmt numFmtId="43" formatCode="_-* #,##0.00_-;\-* #,##0.00_-;_-* &quot;-&quot;??_-;_-@_-"/>
    <numFmt numFmtId="176" formatCode="0.000"/>
    <numFmt numFmtId="177" formatCode="0.00_);[Red]\(0.00\)"/>
    <numFmt numFmtId="178" formatCode="0.0_);[Red]\(0.0\)"/>
    <numFmt numFmtId="179" formatCode="#,##0.00_ "/>
    <numFmt numFmtId="180" formatCode="0.00_ "/>
    <numFmt numFmtId="181" formatCode="General_)"/>
    <numFmt numFmtId="182" formatCode="0.00_)"/>
    <numFmt numFmtId="183" formatCode="General&quot;(詳表6 透層及黏層數量計算表)&quot;"/>
    <numFmt numFmtId="184" formatCode="0&quot;座&quot;"/>
    <numFmt numFmtId="185" formatCode="0&quot;個&quot;"/>
    <numFmt numFmtId="186" formatCode="0.000_ "/>
    <numFmt numFmtId="187" formatCode="0&quot;處&quot;"/>
    <numFmt numFmtId="188" formatCode="0&quot;支&quot;"/>
    <numFmt numFmtId="189" formatCode="0&quot;處2&quot;"/>
    <numFmt numFmtId="190" formatCode="0&quot;m!!&quot;"/>
    <numFmt numFmtId="191" formatCode="0&quot;處3&quot;"/>
    <numFmt numFmtId="192" formatCode="0&quot;m5&quot;"/>
    <numFmt numFmtId="193" formatCode="0&quot;m2&quot;"/>
    <numFmt numFmtId="194" formatCode="0&quot;塊&quot;"/>
    <numFmt numFmtId="195" formatCode="0&quot;米&quot;"/>
    <numFmt numFmtId="196" formatCode="0&quot;m&quot;"/>
  </numFmts>
  <fonts count="64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Times New Roman"/>
      <family val="1"/>
    </font>
    <font>
      <u/>
      <sz val="12"/>
      <color indexed="12"/>
      <name val="新細明體"/>
      <family val="1"/>
      <charset val="136"/>
    </font>
    <font>
      <sz val="11"/>
      <name val="Times New Roman"/>
      <family val="1"/>
    </font>
    <font>
      <sz val="12"/>
      <name val="Courier"/>
      <family val="3"/>
    </font>
    <font>
      <b/>
      <i/>
      <sz val="16"/>
      <name val="Helv"/>
      <family val="2"/>
    </font>
    <font>
      <sz val="10"/>
      <name val="Arial"/>
      <family val="2"/>
    </font>
    <font>
      <sz val="12"/>
      <name val="新細明體"/>
      <family val="1"/>
      <charset val="136"/>
    </font>
    <font>
      <sz val="16"/>
      <name val="經典楷書"/>
      <family val="3"/>
      <charset val="136"/>
    </font>
    <font>
      <sz val="12"/>
      <name val="經典楷書"/>
      <family val="3"/>
      <charset val="136"/>
    </font>
    <font>
      <sz val="12"/>
      <name val="細明體"/>
      <family val="3"/>
    </font>
    <font>
      <sz val="11"/>
      <name val="細明體"/>
      <family val="3"/>
    </font>
    <font>
      <b/>
      <sz val="10"/>
      <name val="細明體"/>
      <family val="3"/>
    </font>
    <font>
      <sz val="20"/>
      <name val="細明體"/>
      <family val="3"/>
    </font>
    <font>
      <sz val="11"/>
      <name val="細明體"/>
      <family val="3"/>
    </font>
    <font>
      <sz val="11"/>
      <name val="細明體"/>
      <family val="3"/>
    </font>
    <font>
      <sz val="20"/>
      <name val="細明體"/>
      <family val="3"/>
    </font>
    <font>
      <sz val="11"/>
      <name val="細明體"/>
      <family val="3"/>
    </font>
    <font>
      <b/>
      <sz val="11"/>
      <name val="細明體"/>
      <family val="3"/>
    </font>
    <font>
      <sz val="20"/>
      <name val="標楷體"/>
      <family val="4"/>
      <charset val="136"/>
    </font>
    <font>
      <b/>
      <sz val="14"/>
      <name val="標楷體"/>
      <family val="4"/>
      <charset val="136"/>
    </font>
    <font>
      <b/>
      <sz val="11"/>
      <name val="標楷體"/>
      <family val="4"/>
      <charset val="136"/>
    </font>
    <font>
      <sz val="11"/>
      <name val="標楷體"/>
      <family val="4"/>
      <charset val="136"/>
    </font>
    <font>
      <b/>
      <sz val="12"/>
      <name val="標楷體"/>
      <family val="4"/>
      <charset val="136"/>
    </font>
    <font>
      <sz val="10"/>
      <name val="標楷體"/>
      <family val="4"/>
      <charset val="136"/>
    </font>
    <font>
      <sz val="12"/>
      <name val="標楷體"/>
      <family val="4"/>
      <charset val="136"/>
    </font>
    <font>
      <b/>
      <sz val="20"/>
      <name val="標楷體"/>
      <family val="4"/>
      <charset val="136"/>
    </font>
    <font>
      <sz val="18"/>
      <name val="標楷體"/>
      <family val="4"/>
      <charset val="136"/>
    </font>
    <font>
      <vertAlign val="superscript"/>
      <sz val="12"/>
      <name val="標楷體"/>
      <family val="4"/>
      <charset val="136"/>
    </font>
    <font>
      <sz val="11"/>
      <name val="微軟正黑體"/>
      <family val="2"/>
      <charset val="136"/>
    </font>
    <font>
      <vertAlign val="superscript"/>
      <sz val="11"/>
      <name val="微軟正黑體"/>
      <family val="2"/>
      <charset val="136"/>
    </font>
    <font>
      <sz val="12"/>
      <name val="微軟正黑體"/>
      <family val="2"/>
      <charset val="136"/>
    </font>
    <font>
      <sz val="12"/>
      <name val="細明體"/>
      <family val="3"/>
      <charset val="136"/>
    </font>
    <font>
      <b/>
      <sz val="20"/>
      <name val="Times New Roman"/>
      <family val="1"/>
    </font>
    <font>
      <sz val="20"/>
      <name val="Times New Roman"/>
      <family val="1"/>
    </font>
    <font>
      <sz val="18"/>
      <name val="Times New Roman"/>
      <family val="1"/>
    </font>
    <font>
      <sz val="14"/>
      <name val="Times New Roman"/>
      <family val="1"/>
    </font>
    <font>
      <vertAlign val="superscript"/>
      <sz val="12"/>
      <name val="Times New Roman"/>
      <family val="1"/>
    </font>
    <font>
      <b/>
      <sz val="12"/>
      <name val="Times New Roman"/>
      <family val="1"/>
    </font>
    <font>
      <sz val="12"/>
      <name val="細明體"/>
      <family val="1"/>
      <charset val="136"/>
    </font>
    <font>
      <b/>
      <sz val="11"/>
      <name val="Times New Roman"/>
      <family val="1"/>
    </font>
    <font>
      <sz val="11"/>
      <name val="細明體"/>
      <family val="3"/>
      <charset val="136"/>
    </font>
    <font>
      <sz val="11"/>
      <name val="新細明體"/>
      <family val="1"/>
      <charset val="136"/>
    </font>
    <font>
      <b/>
      <sz val="11"/>
      <name val="細明體"/>
      <family val="3"/>
      <charset val="136"/>
    </font>
    <font>
      <sz val="11"/>
      <name val="細明體"/>
      <family val="1"/>
      <charset val="136"/>
    </font>
    <font>
      <sz val="11"/>
      <name val="Segoe UI Symbol"/>
      <family val="1"/>
    </font>
    <font>
      <sz val="11"/>
      <name val="新細明體"/>
      <family val="3"/>
      <charset val="136"/>
    </font>
    <font>
      <sz val="11"/>
      <name val="Times New Roman"/>
      <family val="3"/>
      <charset val="136"/>
    </font>
    <font>
      <b/>
      <sz val="11"/>
      <name val="新細明體"/>
      <family val="1"/>
      <charset val="136"/>
    </font>
    <font>
      <b/>
      <sz val="11"/>
      <name val="Times New Roman"/>
      <family val="1"/>
      <charset val="136"/>
    </font>
    <font>
      <sz val="11"/>
      <name val="Times New Roman"/>
      <family val="1"/>
      <charset val="136"/>
    </font>
    <font>
      <b/>
      <sz val="11"/>
      <name val="細明體"/>
      <family val="1"/>
      <charset val="136"/>
    </font>
    <font>
      <sz val="11"/>
      <name val="Times New Roman"/>
      <family val="3"/>
    </font>
    <font>
      <sz val="9"/>
      <name val="標楷體"/>
      <family val="4"/>
      <charset val="136"/>
    </font>
    <font>
      <sz val="11"/>
      <color theme="1"/>
      <name val="標楷體"/>
      <family val="4"/>
      <charset val="136"/>
    </font>
    <font>
      <sz val="10"/>
      <color rgb="FFFF0000"/>
      <name val="標楷體"/>
      <family val="4"/>
      <charset val="136"/>
    </font>
    <font>
      <sz val="12"/>
      <name val="Times New Roman"/>
      <family val="1"/>
      <charset val="136"/>
    </font>
    <font>
      <sz val="11"/>
      <name val="微軟正黑體"/>
      <family val="1"/>
      <charset val="136"/>
    </font>
    <font>
      <sz val="11"/>
      <color theme="1"/>
      <name val="細明體"/>
      <family val="1"/>
      <charset val="136"/>
    </font>
    <font>
      <sz val="12"/>
      <color rgb="FF000000"/>
      <name val="新細明體"/>
      <family val="1"/>
      <charset val="136"/>
    </font>
    <font>
      <b/>
      <sz val="12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7">
    <xf numFmtId="0" fontId="0" fillId="0" borderId="0"/>
    <xf numFmtId="38" fontId="6" fillId="0" borderId="0" applyBorder="0" applyAlignment="0"/>
    <xf numFmtId="181" fontId="7" fillId="2" borderId="1" applyNumberFormat="0" applyFont="0" applyFill="0" applyBorder="0">
      <alignment horizontal="center" vertical="center"/>
    </xf>
    <xf numFmtId="182" fontId="8" fillId="0" borderId="0"/>
    <xf numFmtId="0" fontId="9" fillId="0" borderId="0"/>
    <xf numFmtId="43" fontId="2" fillId="0" borderId="0" applyFont="0" applyFill="0" applyBorder="0" applyAlignment="0" applyProtection="0"/>
    <xf numFmtId="43" fontId="10" fillId="0" borderId="0" applyFont="0" applyFill="0" applyBorder="0" applyAlignment="0" applyProtection="0"/>
    <xf numFmtId="42" fontId="4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" fillId="0" borderId="0"/>
    <xf numFmtId="0" fontId="1" fillId="0" borderId="0">
      <alignment vertical="center"/>
    </xf>
    <xf numFmtId="0" fontId="2" fillId="0" borderId="0"/>
    <xf numFmtId="0" fontId="9" fillId="0" borderId="0"/>
    <xf numFmtId="0" fontId="9" fillId="0" borderId="0"/>
    <xf numFmtId="0" fontId="34" fillId="0" borderId="0">
      <alignment vertical="center"/>
    </xf>
    <xf numFmtId="43" fontId="2" fillId="0" borderId="0" applyFont="0" applyFill="0" applyBorder="0" applyAlignment="0" applyProtection="0"/>
  </cellStyleXfs>
  <cellXfs count="311">
    <xf numFmtId="0" fontId="0" fillId="0" borderId="0" xfId="0"/>
    <xf numFmtId="0" fontId="18" fillId="0" borderId="0" xfId="0" applyFont="1"/>
    <xf numFmtId="0" fontId="20" fillId="0" borderId="0" xfId="0" applyFont="1"/>
    <xf numFmtId="0" fontId="14" fillId="0" borderId="0" xfId="0" applyFont="1"/>
    <xf numFmtId="0" fontId="14" fillId="0" borderId="0" xfId="0" applyFont="1" applyAlignment="1">
      <alignment vertical="center"/>
    </xf>
    <xf numFmtId="0" fontId="17" fillId="0" borderId="0" xfId="0" applyFont="1"/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21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25" fillId="0" borderId="0" xfId="0" applyFont="1" applyAlignment="1">
      <alignment vertical="center"/>
    </xf>
    <xf numFmtId="0" fontId="25" fillId="0" borderId="0" xfId="0" applyFont="1" applyAlignment="1">
      <alignment vertical="top"/>
    </xf>
    <xf numFmtId="0" fontId="25" fillId="0" borderId="0" xfId="0" applyFont="1" applyAlignment="1">
      <alignment wrapText="1"/>
    </xf>
    <xf numFmtId="177" fontId="25" fillId="0" borderId="0" xfId="0" applyNumberFormat="1" applyFont="1" applyAlignment="1">
      <alignment vertical="top"/>
    </xf>
    <xf numFmtId="177" fontId="28" fillId="0" borderId="0" xfId="0" applyNumberFormat="1" applyFont="1" applyAlignment="1">
      <alignment vertical="top"/>
    </xf>
    <xf numFmtId="0" fontId="25" fillId="0" borderId="0" xfId="0" applyFont="1" applyAlignment="1">
      <alignment horizontal="center" vertical="top"/>
    </xf>
    <xf numFmtId="177" fontId="27" fillId="0" borderId="0" xfId="0" applyNumberFormat="1" applyFont="1" applyAlignment="1">
      <alignment horizontal="right" vertical="top"/>
    </xf>
    <xf numFmtId="0" fontId="25" fillId="0" borderId="0" xfId="0" applyFont="1" applyAlignment="1">
      <alignment horizontal="center" vertical="center"/>
    </xf>
    <xf numFmtId="0" fontId="27" fillId="0" borderId="1" xfId="0" applyFont="1" applyBorder="1" applyAlignment="1">
      <alignment horizontal="center" vertical="center" shrinkToFit="1"/>
    </xf>
    <xf numFmtId="0" fontId="26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 wrapText="1"/>
    </xf>
    <xf numFmtId="177" fontId="26" fillId="2" borderId="1" xfId="0" applyNumberFormat="1" applyFont="1" applyFill="1" applyBorder="1" applyAlignment="1">
      <alignment horizontal="center" vertical="center"/>
    </xf>
    <xf numFmtId="178" fontId="26" fillId="2" borderId="1" xfId="0" applyNumberFormat="1" applyFont="1" applyFill="1" applyBorder="1" applyAlignment="1">
      <alignment horizontal="right" vertical="center"/>
    </xf>
    <xf numFmtId="43" fontId="27" fillId="2" borderId="1" xfId="0" applyNumberFormat="1" applyFont="1" applyFill="1" applyBorder="1" applyAlignment="1">
      <alignment horizontal="left" vertical="center" wrapText="1" shrinkToFit="1"/>
    </xf>
    <xf numFmtId="179" fontId="27" fillId="2" borderId="1" xfId="0" applyNumberFormat="1" applyFont="1" applyFill="1" applyBorder="1" applyAlignment="1">
      <alignment horizontal="right" vertical="center" wrapText="1" shrinkToFit="1"/>
    </xf>
    <xf numFmtId="43" fontId="27" fillId="2" borderId="1" xfId="5" applyFont="1" applyFill="1" applyBorder="1" applyAlignment="1">
      <alignment horizontal="right" vertical="center" wrapText="1" shrinkToFit="1"/>
    </xf>
    <xf numFmtId="0" fontId="27" fillId="0" borderId="1" xfId="0" applyFont="1" applyBorder="1" applyAlignment="1">
      <alignment horizontal="left" vertical="center" indent="1" shrinkToFit="1"/>
    </xf>
    <xf numFmtId="0" fontId="27" fillId="2" borderId="1" xfId="0" applyFont="1" applyFill="1" applyBorder="1" applyAlignment="1">
      <alignment horizontal="center" vertical="center" wrapText="1" shrinkToFit="1"/>
    </xf>
    <xf numFmtId="177" fontId="27" fillId="0" borderId="0" xfId="0" applyNumberFormat="1" applyFont="1" applyAlignment="1">
      <alignment horizontal="center" vertical="top"/>
    </xf>
    <xf numFmtId="0" fontId="28" fillId="0" borderId="0" xfId="8" applyFont="1" applyFill="1" applyBorder="1" applyAlignment="1" applyProtection="1">
      <alignment horizontal="left" vertical="center"/>
    </xf>
    <xf numFmtId="177" fontId="28" fillId="0" borderId="0" xfId="0" applyNumberFormat="1" applyFont="1" applyAlignment="1">
      <alignment horizontal="right" vertical="center"/>
    </xf>
    <xf numFmtId="177" fontId="28" fillId="0" borderId="0" xfId="0" applyNumberFormat="1" applyFont="1" applyAlignment="1">
      <alignment horizontal="center" vertical="center"/>
    </xf>
    <xf numFmtId="0" fontId="28" fillId="0" borderId="0" xfId="8" applyFont="1" applyFill="1" applyBorder="1" applyAlignment="1" applyProtection="1">
      <alignment horizontal="left" vertical="center" wrapText="1"/>
    </xf>
    <xf numFmtId="2" fontId="28" fillId="0" borderId="0" xfId="8" applyNumberFormat="1" applyFont="1" applyFill="1" applyBorder="1" applyAlignment="1" applyProtection="1">
      <alignment horizontal="left" vertical="center"/>
    </xf>
    <xf numFmtId="0" fontId="28" fillId="0" borderId="0" xfId="0" applyFont="1" applyAlignment="1">
      <alignment vertical="center" wrapText="1"/>
    </xf>
    <xf numFmtId="0" fontId="28" fillId="0" borderId="9" xfId="0" applyFont="1" applyBorder="1" applyAlignment="1">
      <alignment horizontal="right" vertical="center"/>
    </xf>
    <xf numFmtId="0" fontId="28" fillId="0" borderId="0" xfId="0" applyFont="1" applyAlignment="1">
      <alignment horizontal="left" vertical="center" wrapText="1"/>
    </xf>
    <xf numFmtId="0" fontId="28" fillId="0" borderId="0" xfId="0" applyFont="1" applyAlignment="1">
      <alignment vertical="center"/>
    </xf>
    <xf numFmtId="0" fontId="28" fillId="0" borderId="0" xfId="0" applyFont="1" applyAlignment="1">
      <alignment vertical="top"/>
    </xf>
    <xf numFmtId="0" fontId="28" fillId="0" borderId="0" xfId="0" applyFont="1" applyAlignment="1">
      <alignment wrapText="1"/>
    </xf>
    <xf numFmtId="0" fontId="28" fillId="0" borderId="0" xfId="0" applyFont="1" applyAlignment="1">
      <alignment horizontal="center" vertical="top"/>
    </xf>
    <xf numFmtId="177" fontId="28" fillId="0" borderId="0" xfId="0" applyNumberFormat="1" applyFont="1" applyAlignment="1">
      <alignment horizontal="right" vertical="top"/>
    </xf>
    <xf numFmtId="177" fontId="28" fillId="0" borderId="0" xfId="0" applyNumberFormat="1" applyFont="1" applyAlignment="1">
      <alignment horizontal="center" vertical="top"/>
    </xf>
    <xf numFmtId="0" fontId="28" fillId="0" borderId="0" xfId="0" applyFont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183" fontId="27" fillId="2" borderId="1" xfId="0" applyNumberFormat="1" applyFont="1" applyFill="1" applyBorder="1" applyAlignment="1">
      <alignment horizontal="left" vertical="top" wrapText="1" shrinkToFit="1"/>
    </xf>
    <xf numFmtId="0" fontId="27" fillId="0" borderId="1" xfId="0" applyFont="1" applyBorder="1" applyAlignment="1">
      <alignment horizontal="left" vertical="center" wrapText="1" shrinkToFit="1"/>
    </xf>
    <xf numFmtId="0" fontId="27" fillId="0" borderId="1" xfId="0" applyFont="1" applyBorder="1" applyAlignment="1">
      <alignment horizontal="left" vertical="center" wrapText="1" indent="1" shrinkToFit="1"/>
    </xf>
    <xf numFmtId="0" fontId="32" fillId="0" borderId="3" xfId="9" applyFont="1" applyBorder="1" applyAlignment="1">
      <alignment horizontal="center" vertical="center"/>
    </xf>
    <xf numFmtId="176" fontId="32" fillId="0" borderId="4" xfId="9" applyNumberFormat="1" applyFont="1" applyBorder="1" applyAlignment="1">
      <alignment horizontal="center" vertical="center"/>
    </xf>
    <xf numFmtId="179" fontId="32" fillId="0" borderId="4" xfId="9" applyNumberFormat="1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43" fontId="27" fillId="2" borderId="1" xfId="0" applyNumberFormat="1" applyFont="1" applyFill="1" applyBorder="1" applyAlignment="1">
      <alignment horizontal="right" vertical="center" wrapText="1" shrinkToFit="1"/>
    </xf>
    <xf numFmtId="0" fontId="37" fillId="0" borderId="0" xfId="0" applyFont="1" applyAlignment="1">
      <alignment horizontal="left" vertical="center"/>
    </xf>
    <xf numFmtId="0" fontId="38" fillId="0" borderId="0" xfId="0" applyFont="1" applyAlignment="1">
      <alignment vertical="center"/>
    </xf>
    <xf numFmtId="0" fontId="39" fillId="0" borderId="0" xfId="9" applyFont="1" applyAlignment="1">
      <alignment vertical="center"/>
    </xf>
    <xf numFmtId="0" fontId="39" fillId="0" borderId="0" xfId="0" applyFont="1" applyAlignment="1">
      <alignment vertical="center"/>
    </xf>
    <xf numFmtId="0" fontId="4" fillId="0" borderId="0" xfId="9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3" xfId="9" applyFont="1" applyBorder="1" applyAlignment="1">
      <alignment horizontal="center" vertical="center"/>
    </xf>
    <xf numFmtId="176" fontId="4" fillId="0" borderId="4" xfId="9" applyNumberFormat="1" applyFont="1" applyBorder="1" applyAlignment="1">
      <alignment horizontal="center" vertical="center"/>
    </xf>
    <xf numFmtId="179" fontId="4" fillId="0" borderId="4" xfId="9" applyNumberFormat="1" applyFont="1" applyBorder="1" applyAlignment="1">
      <alignment horizontal="center" vertical="center"/>
    </xf>
    <xf numFmtId="179" fontId="4" fillId="0" borderId="7" xfId="9" applyNumberFormat="1" applyFont="1" applyBorder="1" applyAlignment="1">
      <alignment horizontal="center" vertical="center"/>
    </xf>
    <xf numFmtId="0" fontId="4" fillId="0" borderId="5" xfId="9" applyFont="1" applyBorder="1" applyAlignment="1">
      <alignment horizontal="center" vertical="center"/>
    </xf>
    <xf numFmtId="176" fontId="4" fillId="0" borderId="5" xfId="9" applyNumberFormat="1" applyFont="1" applyBorder="1" applyAlignment="1">
      <alignment horizontal="center" vertical="center"/>
    </xf>
    <xf numFmtId="0" fontId="4" fillId="0" borderId="30" xfId="9" applyFont="1" applyBorder="1" applyAlignment="1">
      <alignment horizontal="center" vertical="center"/>
    </xf>
    <xf numFmtId="0" fontId="41" fillId="0" borderId="0" xfId="9" applyFont="1" applyAlignment="1">
      <alignment vertical="center"/>
    </xf>
    <xf numFmtId="0" fontId="41" fillId="2" borderId="6" xfId="9" applyFont="1" applyFill="1" applyBorder="1" applyAlignment="1">
      <alignment horizontal="left" vertical="center"/>
    </xf>
    <xf numFmtId="0" fontId="28" fillId="0" borderId="0" xfId="9" applyFont="1" applyAlignment="1">
      <alignment horizontal="center" vertical="center"/>
    </xf>
    <xf numFmtId="179" fontId="28" fillId="0" borderId="0" xfId="16" applyNumberFormat="1" applyFont="1" applyBorder="1" applyAlignment="1">
      <alignment horizontal="left" vertical="center"/>
    </xf>
    <xf numFmtId="0" fontId="4" fillId="0" borderId="2" xfId="9" applyFont="1" applyBorder="1" applyAlignment="1">
      <alignment horizontal="left" vertical="center"/>
    </xf>
    <xf numFmtId="43" fontId="28" fillId="3" borderId="3" xfId="16" applyFont="1" applyFill="1" applyBorder="1" applyAlignment="1">
      <alignment horizontal="center" vertical="center"/>
    </xf>
    <xf numFmtId="43" fontId="4" fillId="0" borderId="3" xfId="16" applyFont="1" applyBorder="1" applyAlignment="1">
      <alignment horizontal="center" vertical="center"/>
    </xf>
    <xf numFmtId="43" fontId="4" fillId="0" borderId="7" xfId="16" applyFont="1" applyBorder="1" applyAlignment="1">
      <alignment horizontal="center" vertical="center"/>
    </xf>
    <xf numFmtId="0" fontId="4" fillId="0" borderId="6" xfId="9" applyFont="1" applyBorder="1" applyAlignment="1">
      <alignment horizontal="left" vertical="center"/>
    </xf>
    <xf numFmtId="0" fontId="42" fillId="0" borderId="2" xfId="9" applyFont="1" applyBorder="1" applyAlignment="1">
      <alignment horizontal="left" vertical="center"/>
    </xf>
    <xf numFmtId="0" fontId="4" fillId="0" borderId="2" xfId="9" applyFont="1" applyBorder="1" applyAlignment="1">
      <alignment horizontal="center" vertical="center"/>
    </xf>
    <xf numFmtId="0" fontId="4" fillId="0" borderId="6" xfId="9" applyFont="1" applyBorder="1" applyAlignment="1">
      <alignment vertical="center"/>
    </xf>
    <xf numFmtId="176" fontId="4" fillId="0" borderId="0" xfId="9" applyNumberFormat="1" applyFont="1" applyAlignment="1">
      <alignment vertical="center"/>
    </xf>
    <xf numFmtId="0" fontId="4" fillId="0" borderId="0" xfId="10" applyFont="1" applyAlignment="1">
      <alignment vertical="center"/>
    </xf>
    <xf numFmtId="176" fontId="4" fillId="0" borderId="0" xfId="10" applyNumberFormat="1" applyFont="1" applyAlignment="1">
      <alignment vertic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43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wrapText="1"/>
    </xf>
    <xf numFmtId="0" fontId="43" fillId="0" borderId="11" xfId="0" applyFont="1" applyBorder="1" applyAlignment="1">
      <alignment horizontal="center" vertical="center"/>
    </xf>
    <xf numFmtId="0" fontId="43" fillId="3" borderId="1" xfId="0" applyFont="1" applyFill="1" applyBorder="1" applyAlignment="1">
      <alignment horizontal="center" vertical="center"/>
    </xf>
    <xf numFmtId="0" fontId="21" fillId="3" borderId="1" xfId="0" applyFont="1" applyFill="1" applyBorder="1" applyAlignment="1">
      <alignment vertical="center"/>
    </xf>
    <xf numFmtId="0" fontId="14" fillId="3" borderId="1" xfId="8" applyFont="1" applyFill="1" applyBorder="1" applyAlignment="1" applyProtection="1">
      <alignment horizontal="left" vertical="center" wrapText="1"/>
    </xf>
    <xf numFmtId="0" fontId="6" fillId="3" borderId="1" xfId="0" applyFont="1" applyFill="1" applyBorder="1" applyAlignment="1">
      <alignment horizontal="center" vertical="center"/>
    </xf>
    <xf numFmtId="177" fontId="6" fillId="3" borderId="1" xfId="0" applyNumberFormat="1" applyFont="1" applyFill="1" applyBorder="1" applyAlignment="1">
      <alignment horizontal="right" vertical="center"/>
    </xf>
    <xf numFmtId="0" fontId="6" fillId="3" borderId="3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right" vertical="center"/>
    </xf>
    <xf numFmtId="0" fontId="6" fillId="0" borderId="1" xfId="0" applyFont="1" applyBorder="1" applyAlignment="1">
      <alignment horizontal="left" vertical="center" wrapText="1"/>
    </xf>
    <xf numFmtId="0" fontId="6" fillId="0" borderId="1" xfId="8" applyFont="1" applyFill="1" applyBorder="1" applyAlignment="1" applyProtection="1">
      <alignment horizontal="left" vertical="center"/>
    </xf>
    <xf numFmtId="0" fontId="6" fillId="0" borderId="1" xfId="0" applyFont="1" applyBorder="1" applyAlignment="1">
      <alignment horizontal="center" vertical="center"/>
    </xf>
    <xf numFmtId="177" fontId="6" fillId="0" borderId="1" xfId="0" applyNumberFormat="1" applyFont="1" applyBorder="1" applyAlignment="1">
      <alignment horizontal="right" vertical="center"/>
    </xf>
    <xf numFmtId="0" fontId="6" fillId="0" borderId="1" xfId="8" applyFont="1" applyFill="1" applyBorder="1" applyAlignment="1" applyProtection="1">
      <alignment horizontal="left" vertical="center" wrapText="1"/>
    </xf>
    <xf numFmtId="0" fontId="44" fillId="0" borderId="1" xfId="0" applyFont="1" applyBorder="1" applyAlignment="1">
      <alignment horizontal="left" vertical="center" wrapText="1"/>
    </xf>
    <xf numFmtId="0" fontId="44" fillId="0" borderId="1" xfId="8" applyFont="1" applyFill="1" applyBorder="1" applyAlignment="1" applyProtection="1">
      <alignment horizontal="left" vertical="center"/>
    </xf>
    <xf numFmtId="0" fontId="44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shrinkToFit="1"/>
    </xf>
    <xf numFmtId="0" fontId="44" fillId="0" borderId="1" xfId="8" applyFont="1" applyFill="1" applyBorder="1" applyAlignment="1" applyProtection="1">
      <alignment horizontal="left" vertical="center" wrapText="1"/>
    </xf>
    <xf numFmtId="0" fontId="6" fillId="0" borderId="0" xfId="0" applyFont="1" applyAlignment="1">
      <alignment horizontal="left" vertical="center"/>
    </xf>
    <xf numFmtId="4" fontId="6" fillId="0" borderId="1" xfId="8" applyNumberFormat="1" applyFont="1" applyFill="1" applyBorder="1" applyAlignment="1" applyProtection="1">
      <alignment horizontal="left" vertical="center" wrapText="1"/>
    </xf>
    <xf numFmtId="0" fontId="43" fillId="3" borderId="1" xfId="0" applyFont="1" applyFill="1" applyBorder="1" applyAlignment="1">
      <alignment vertical="center"/>
    </xf>
    <xf numFmtId="0" fontId="6" fillId="0" borderId="0" xfId="0" applyFont="1" applyAlignment="1">
      <alignment vertical="top"/>
    </xf>
    <xf numFmtId="0" fontId="6" fillId="0" borderId="0" xfId="0" applyFont="1" applyAlignment="1">
      <alignment wrapText="1"/>
    </xf>
    <xf numFmtId="0" fontId="6" fillId="0" borderId="0" xfId="0" applyFont="1" applyAlignment="1">
      <alignment horizontal="center" vertical="top"/>
    </xf>
    <xf numFmtId="177" fontId="6" fillId="0" borderId="0" xfId="0" applyNumberFormat="1" applyFont="1" applyAlignment="1">
      <alignment horizontal="right" vertical="top"/>
    </xf>
    <xf numFmtId="0" fontId="6" fillId="0" borderId="0" xfId="0" applyFont="1" applyAlignment="1">
      <alignment horizontal="center" vertical="center"/>
    </xf>
    <xf numFmtId="0" fontId="50" fillId="0" borderId="1" xfId="0" applyFont="1" applyBorder="1" applyAlignment="1">
      <alignment horizontal="left" vertical="center" wrapText="1"/>
    </xf>
    <xf numFmtId="0" fontId="14" fillId="3" borderId="1" xfId="8" applyFont="1" applyFill="1" applyBorder="1" applyAlignment="1" applyProtection="1">
      <alignment horizontal="left" vertical="center"/>
    </xf>
    <xf numFmtId="0" fontId="47" fillId="0" borderId="1" xfId="0" applyFont="1" applyBorder="1" applyAlignment="1">
      <alignment horizontal="left" vertical="center" wrapText="1"/>
    </xf>
    <xf numFmtId="0" fontId="47" fillId="0" borderId="1" xfId="0" applyFont="1" applyBorder="1" applyAlignment="1">
      <alignment horizontal="center" shrinkToFit="1"/>
    </xf>
    <xf numFmtId="0" fontId="52" fillId="3" borderId="1" xfId="0" applyFont="1" applyFill="1" applyBorder="1" applyAlignment="1">
      <alignment vertical="center"/>
    </xf>
    <xf numFmtId="0" fontId="47" fillId="0" borderId="1" xfId="0" applyFont="1" applyBorder="1" applyAlignment="1">
      <alignment horizontal="center" vertical="center"/>
    </xf>
    <xf numFmtId="0" fontId="46" fillId="3" borderId="1" xfId="0" applyFont="1" applyFill="1" applyBorder="1" applyAlignment="1">
      <alignment vertical="center"/>
    </xf>
    <xf numFmtId="0" fontId="53" fillId="0" borderId="1" xfId="0" applyFont="1" applyBorder="1" applyAlignment="1">
      <alignment horizontal="left" vertical="center" wrapText="1"/>
    </xf>
    <xf numFmtId="0" fontId="6" fillId="0" borderId="31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shrinkToFit="1"/>
    </xf>
    <xf numFmtId="0" fontId="4" fillId="0" borderId="1" xfId="0" applyFont="1" applyBorder="1" applyAlignment="1">
      <alignment horizontal="center"/>
    </xf>
    <xf numFmtId="0" fontId="39" fillId="0" borderId="1" xfId="0" applyFont="1" applyBorder="1"/>
    <xf numFmtId="0" fontId="39" fillId="0" borderId="0" xfId="0" applyFont="1"/>
    <xf numFmtId="0" fontId="4" fillId="0" borderId="1" xfId="0" applyFont="1" applyBorder="1" applyAlignment="1">
      <alignment horizontal="center" shrinkToFit="1"/>
    </xf>
    <xf numFmtId="0" fontId="4" fillId="0" borderId="0" xfId="0" applyFont="1"/>
    <xf numFmtId="185" fontId="4" fillId="3" borderId="3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43" fontId="4" fillId="3" borderId="1" xfId="16" applyFont="1" applyFill="1" applyBorder="1" applyAlignment="1">
      <alignment horizontal="center" vertical="center"/>
    </xf>
    <xf numFmtId="180" fontId="4" fillId="0" borderId="0" xfId="0" applyNumberFormat="1" applyFont="1"/>
    <xf numFmtId="186" fontId="4" fillId="0" borderId="1" xfId="0" applyNumberFormat="1" applyFont="1" applyBorder="1" applyAlignment="1">
      <alignment horizontal="center" vertical="center"/>
    </xf>
    <xf numFmtId="0" fontId="4" fillId="0" borderId="1" xfId="0" applyFont="1" applyBorder="1"/>
    <xf numFmtId="0" fontId="13" fillId="0" borderId="1" xfId="0" applyFont="1" applyBorder="1" applyAlignment="1">
      <alignment horizontal="center" vertical="center"/>
    </xf>
    <xf numFmtId="180" fontId="4" fillId="0" borderId="4" xfId="0" applyNumberFormat="1" applyFont="1" applyBorder="1" applyAlignment="1">
      <alignment horizontal="center" vertical="center"/>
    </xf>
    <xf numFmtId="187" fontId="4" fillId="3" borderId="31" xfId="0" applyNumberFormat="1" applyFont="1" applyFill="1" applyBorder="1" applyAlignment="1">
      <alignment horizontal="center"/>
    </xf>
    <xf numFmtId="0" fontId="43" fillId="0" borderId="31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shrinkToFit="1"/>
    </xf>
    <xf numFmtId="0" fontId="27" fillId="0" borderId="1" xfId="0" applyFont="1" applyBorder="1" applyAlignment="1">
      <alignment horizontal="left" vertical="center" shrinkToFit="1"/>
    </xf>
    <xf numFmtId="0" fontId="56" fillId="0" borderId="1" xfId="0" applyFont="1" applyBorder="1" applyAlignment="1">
      <alignment horizontal="left" vertical="center" wrapText="1" shrinkToFit="1"/>
    </xf>
    <xf numFmtId="0" fontId="28" fillId="2" borderId="0" xfId="0" applyFont="1" applyFill="1" applyAlignment="1">
      <alignment vertical="top"/>
    </xf>
    <xf numFmtId="0" fontId="25" fillId="2" borderId="0" xfId="0" applyFont="1" applyFill="1" applyAlignment="1">
      <alignment horizontal="left" vertical="top" wrapText="1" shrinkToFit="1"/>
    </xf>
    <xf numFmtId="0" fontId="57" fillId="2" borderId="0" xfId="0" applyFont="1" applyFill="1" applyAlignment="1">
      <alignment horizontal="left" vertical="top" wrapText="1" shrinkToFit="1"/>
    </xf>
    <xf numFmtId="0" fontId="27" fillId="0" borderId="0" xfId="0" applyFont="1" applyAlignment="1">
      <alignment horizontal="center" vertical="top" shrinkToFit="1"/>
    </xf>
    <xf numFmtId="0" fontId="27" fillId="0" borderId="1" xfId="0" applyFont="1" applyBorder="1" applyAlignment="1">
      <alignment horizontal="center" vertical="top" shrinkToFit="1"/>
    </xf>
    <xf numFmtId="0" fontId="27" fillId="0" borderId="1" xfId="0" applyFont="1" applyBorder="1" applyAlignment="1">
      <alignment horizontal="left" vertical="top" shrinkToFit="1"/>
    </xf>
    <xf numFmtId="43" fontId="27" fillId="2" borderId="1" xfId="0" applyNumberFormat="1" applyFont="1" applyFill="1" applyBorder="1" applyAlignment="1">
      <alignment horizontal="left" vertical="top" wrapText="1" shrinkToFit="1"/>
    </xf>
    <xf numFmtId="43" fontId="27" fillId="2" borderId="1" xfId="0" applyNumberFormat="1" applyFont="1" applyFill="1" applyBorder="1" applyAlignment="1">
      <alignment horizontal="right" vertical="top" wrapText="1" shrinkToFit="1"/>
    </xf>
    <xf numFmtId="0" fontId="27" fillId="2" borderId="1" xfId="0" applyFont="1" applyFill="1" applyBorder="1" applyAlignment="1">
      <alignment horizontal="center" vertical="top" wrapText="1" shrinkToFit="1"/>
    </xf>
    <xf numFmtId="43" fontId="27" fillId="2" borderId="1" xfId="5" applyFont="1" applyFill="1" applyBorder="1" applyAlignment="1">
      <alignment horizontal="right" vertical="top" wrapText="1" shrinkToFit="1"/>
    </xf>
    <xf numFmtId="0" fontId="25" fillId="2" borderId="1" xfId="0" applyFont="1" applyFill="1" applyBorder="1" applyAlignment="1">
      <alignment horizontal="left" vertical="top" wrapText="1" shrinkToFit="1"/>
    </xf>
    <xf numFmtId="0" fontId="27" fillId="0" borderId="0" xfId="0" applyFont="1" applyAlignment="1">
      <alignment horizontal="left" vertical="top" shrinkToFit="1"/>
    </xf>
    <xf numFmtId="49" fontId="27" fillId="2" borderId="1" xfId="0" applyNumberFormat="1" applyFont="1" applyFill="1" applyBorder="1" applyAlignment="1">
      <alignment horizontal="left" vertical="top" wrapText="1" shrinkToFit="1"/>
    </xf>
    <xf numFmtId="179" fontId="27" fillId="2" borderId="1" xfId="0" applyNumberFormat="1" applyFont="1" applyFill="1" applyBorder="1" applyAlignment="1">
      <alignment horizontal="right" vertical="top" wrapText="1" shrinkToFit="1"/>
    </xf>
    <xf numFmtId="0" fontId="58" fillId="0" borderId="0" xfId="0" applyFont="1" applyAlignment="1">
      <alignment horizontal="left" vertical="top" shrinkToFit="1"/>
    </xf>
    <xf numFmtId="43" fontId="58" fillId="2" borderId="0" xfId="0" applyNumberFormat="1" applyFont="1" applyFill="1" applyAlignment="1">
      <alignment horizontal="left" vertical="top" wrapText="1" shrinkToFit="1"/>
    </xf>
    <xf numFmtId="179" fontId="58" fillId="2" borderId="0" xfId="0" applyNumberFormat="1" applyFont="1" applyFill="1" applyAlignment="1">
      <alignment horizontal="right" vertical="top" wrapText="1" shrinkToFit="1"/>
    </xf>
    <xf numFmtId="0" fontId="27" fillId="2" borderId="0" xfId="0" applyFont="1" applyFill="1" applyAlignment="1">
      <alignment horizontal="center" vertical="top" wrapText="1" shrinkToFit="1"/>
    </xf>
    <xf numFmtId="43" fontId="27" fillId="2" borderId="0" xfId="5" applyFont="1" applyFill="1" applyBorder="1" applyAlignment="1">
      <alignment horizontal="right" vertical="top" wrapText="1" shrinkToFit="1"/>
    </xf>
    <xf numFmtId="43" fontId="58" fillId="0" borderId="0" xfId="0" applyNumberFormat="1" applyFont="1" applyAlignment="1">
      <alignment horizontal="left" vertical="top" shrinkToFit="1"/>
    </xf>
    <xf numFmtId="180" fontId="27" fillId="0" borderId="0" xfId="0" applyNumberFormat="1" applyFont="1" applyAlignment="1">
      <alignment horizontal="left" vertical="top" shrinkToFit="1"/>
    </xf>
    <xf numFmtId="0" fontId="25" fillId="2" borderId="0" xfId="0" applyFont="1" applyFill="1" applyAlignment="1">
      <alignment horizontal="center" vertical="top" wrapText="1" shrinkToFit="1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center" vertical="top" wrapText="1"/>
    </xf>
    <xf numFmtId="0" fontId="25" fillId="0" borderId="0" xfId="8" applyFont="1" applyFill="1" applyBorder="1" applyAlignment="1" applyProtection="1">
      <alignment vertical="top"/>
    </xf>
    <xf numFmtId="0" fontId="25" fillId="0" borderId="0" xfId="8" applyFont="1" applyFill="1" applyBorder="1" applyAlignment="1" applyProtection="1">
      <alignment horizontal="center" vertical="top"/>
    </xf>
    <xf numFmtId="0" fontId="25" fillId="0" borderId="0" xfId="0" applyFont="1" applyAlignment="1">
      <alignment vertical="top" wrapText="1"/>
    </xf>
    <xf numFmtId="0" fontId="25" fillId="0" borderId="0" xfId="0" applyFont="1" applyAlignment="1">
      <alignment horizontal="center" vertical="top" wrapText="1"/>
    </xf>
    <xf numFmtId="0" fontId="26" fillId="0" borderId="0" xfId="0" applyFont="1" applyAlignment="1">
      <alignment vertical="top"/>
    </xf>
    <xf numFmtId="0" fontId="26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8" fillId="0" borderId="0" xfId="0" applyFont="1" applyAlignment="1">
      <alignment vertical="top" wrapText="1"/>
    </xf>
    <xf numFmtId="178" fontId="28" fillId="0" borderId="0" xfId="0" applyNumberFormat="1" applyFont="1" applyAlignment="1">
      <alignment horizontal="right" vertical="top"/>
    </xf>
    <xf numFmtId="0" fontId="46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 wrapText="1"/>
    </xf>
    <xf numFmtId="0" fontId="45" fillId="0" borderId="1" xfId="0" applyFont="1" applyBorder="1" applyAlignment="1">
      <alignment horizontal="left" vertical="center" wrapText="1"/>
    </xf>
    <xf numFmtId="0" fontId="14" fillId="0" borderId="35" xfId="0" applyFont="1" applyBorder="1" applyAlignment="1">
      <alignment vertical="center"/>
    </xf>
    <xf numFmtId="0" fontId="25" fillId="0" borderId="35" xfId="0" applyFont="1" applyBorder="1" applyAlignment="1">
      <alignment horizontal="left" vertical="center"/>
    </xf>
    <xf numFmtId="0" fontId="17" fillId="0" borderId="35" xfId="0" applyFont="1" applyBorder="1"/>
    <xf numFmtId="49" fontId="28" fillId="0" borderId="35" xfId="0" applyNumberFormat="1" applyFont="1" applyBorder="1" applyAlignment="1">
      <alignment horizontal="center" wrapText="1"/>
    </xf>
    <xf numFmtId="0" fontId="28" fillId="0" borderId="35" xfId="0" applyFont="1" applyBorder="1" applyAlignment="1">
      <alignment horizontal="center"/>
    </xf>
    <xf numFmtId="177" fontId="28" fillId="0" borderId="35" xfId="0" applyNumberFormat="1" applyFont="1" applyBorder="1" applyAlignment="1">
      <alignment horizontal="right" vertical="center"/>
    </xf>
    <xf numFmtId="0" fontId="28" fillId="0" borderId="35" xfId="0" applyFont="1" applyBorder="1" applyAlignment="1">
      <alignment horizontal="center" vertical="center"/>
    </xf>
    <xf numFmtId="0" fontId="14" fillId="0" borderId="35" xfId="0" applyFont="1" applyBorder="1"/>
    <xf numFmtId="0" fontId="25" fillId="0" borderId="36" xfId="0" applyFont="1" applyBorder="1" applyAlignment="1">
      <alignment horizontal="left" vertical="center"/>
    </xf>
    <xf numFmtId="0" fontId="25" fillId="0" borderId="37" xfId="0" applyFont="1" applyBorder="1" applyAlignment="1">
      <alignment horizontal="left" vertical="center"/>
    </xf>
    <xf numFmtId="0" fontId="25" fillId="0" borderId="38" xfId="0" applyFont="1" applyBorder="1" applyAlignment="1">
      <alignment horizontal="left" vertical="center"/>
    </xf>
    <xf numFmtId="0" fontId="27" fillId="0" borderId="36" xfId="0" applyFont="1" applyBorder="1" applyAlignment="1">
      <alignment horizontal="left" vertical="center"/>
    </xf>
    <xf numFmtId="0" fontId="27" fillId="0" borderId="37" xfId="0" applyFont="1" applyBorder="1" applyAlignment="1">
      <alignment horizontal="left" vertical="center"/>
    </xf>
    <xf numFmtId="49" fontId="28" fillId="0" borderId="37" xfId="0" applyNumberFormat="1" applyFont="1" applyBorder="1" applyAlignment="1">
      <alignment horizontal="center" wrapText="1"/>
    </xf>
    <xf numFmtId="0" fontId="28" fillId="0" borderId="37" xfId="0" applyFont="1" applyBorder="1"/>
    <xf numFmtId="0" fontId="28" fillId="0" borderId="38" xfId="0" applyFont="1" applyBorder="1"/>
    <xf numFmtId="0" fontId="28" fillId="0" borderId="36" xfId="0" applyFont="1" applyBorder="1" applyAlignment="1">
      <alignment horizontal="center"/>
    </xf>
    <xf numFmtId="177" fontId="28" fillId="0" borderId="36" xfId="0" applyNumberFormat="1" applyFont="1" applyBorder="1" applyAlignment="1">
      <alignment horizontal="right" vertical="center"/>
    </xf>
    <xf numFmtId="0" fontId="28" fillId="0" borderId="36" xfId="0" applyFont="1" applyBorder="1" applyAlignment="1">
      <alignment horizontal="center" vertical="center"/>
    </xf>
    <xf numFmtId="0" fontId="27" fillId="0" borderId="20" xfId="0" applyFont="1" applyBorder="1" applyAlignment="1">
      <alignment horizontal="left" shrinkToFit="1"/>
    </xf>
    <xf numFmtId="0" fontId="27" fillId="0" borderId="21" xfId="0" applyFont="1" applyBorder="1" applyAlignment="1">
      <alignment horizontal="left" shrinkToFit="1"/>
    </xf>
    <xf numFmtId="0" fontId="27" fillId="0" borderId="1" xfId="0" applyFont="1" applyBorder="1" applyAlignment="1">
      <alignment shrinkToFit="1"/>
    </xf>
    <xf numFmtId="0" fontId="27" fillId="0" borderId="11" xfId="0" applyFont="1" applyBorder="1" applyAlignment="1">
      <alignment horizontal="center" vertical="center" shrinkToFit="1"/>
    </xf>
    <xf numFmtId="43" fontId="27" fillId="2" borderId="11" xfId="5" applyFont="1" applyFill="1" applyBorder="1" applyAlignment="1">
      <alignment horizontal="right" vertical="center" wrapText="1" shrinkToFit="1"/>
    </xf>
    <xf numFmtId="0" fontId="51" fillId="3" borderId="1" xfId="0" applyFont="1" applyFill="1" applyBorder="1" applyAlignment="1">
      <alignment vertical="center"/>
    </xf>
    <xf numFmtId="0" fontId="15" fillId="3" borderId="1" xfId="0" applyFont="1" applyFill="1" applyBorder="1" applyAlignment="1">
      <alignment vertical="center"/>
    </xf>
    <xf numFmtId="0" fontId="49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179" fontId="27" fillId="0" borderId="1" xfId="0" applyNumberFormat="1" applyFont="1" applyBorder="1" applyAlignment="1">
      <alignment horizontal="left" vertical="center" wrapText="1" shrinkToFit="1"/>
    </xf>
    <xf numFmtId="0" fontId="45" fillId="0" borderId="1" xfId="0" applyFont="1" applyBorder="1" applyAlignment="1">
      <alignment horizontal="center" vertical="center"/>
    </xf>
    <xf numFmtId="0" fontId="39" fillId="0" borderId="1" xfId="0" applyFont="1" applyBorder="1" applyAlignment="1">
      <alignment vertical="center"/>
    </xf>
    <xf numFmtId="184" fontId="4" fillId="3" borderId="31" xfId="0" applyNumberFormat="1" applyFont="1" applyFill="1" applyBorder="1" applyAlignment="1">
      <alignment horizontal="center" vertical="center"/>
    </xf>
    <xf numFmtId="187" fontId="4" fillId="3" borderId="1" xfId="0" applyNumberFormat="1" applyFont="1" applyFill="1" applyBorder="1" applyAlignment="1">
      <alignment horizontal="center" vertical="center"/>
    </xf>
    <xf numFmtId="188" fontId="4" fillId="3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shrinkToFit="1"/>
    </xf>
    <xf numFmtId="0" fontId="42" fillId="0" borderId="1" xfId="0" applyFont="1" applyBorder="1" applyAlignment="1">
      <alignment horizontal="left" vertical="center" shrinkToFit="1"/>
    </xf>
    <xf numFmtId="0" fontId="35" fillId="0" borderId="1" xfId="0" applyFont="1" applyBorder="1" applyAlignment="1">
      <alignment horizontal="left" vertical="center" shrinkToFit="1"/>
    </xf>
    <xf numFmtId="0" fontId="44" fillId="0" borderId="1" xfId="0" applyFont="1" applyBorder="1" applyAlignment="1">
      <alignment horizontal="left" vertical="center" shrinkToFit="1"/>
    </xf>
    <xf numFmtId="0" fontId="4" fillId="0" borderId="1" xfId="0" applyFont="1" applyBorder="1" applyAlignment="1">
      <alignment vertical="center"/>
    </xf>
    <xf numFmtId="0" fontId="59" fillId="0" borderId="1" xfId="0" applyFont="1" applyBorder="1" applyAlignment="1">
      <alignment horizontal="left" vertical="center" shrinkToFit="1"/>
    </xf>
    <xf numFmtId="0" fontId="35" fillId="0" borderId="1" xfId="0" applyFont="1" applyBorder="1" applyAlignment="1">
      <alignment vertical="center" shrinkToFit="1"/>
    </xf>
    <xf numFmtId="0" fontId="42" fillId="0" borderId="1" xfId="0" applyFont="1" applyBorder="1" applyAlignment="1">
      <alignment vertical="center"/>
    </xf>
    <xf numFmtId="0" fontId="56" fillId="0" borderId="1" xfId="0" applyFont="1" applyBorder="1" applyAlignment="1">
      <alignment horizontal="left" vertical="center" indent="1" shrinkToFit="1"/>
    </xf>
    <xf numFmtId="177" fontId="4" fillId="0" borderId="1" xfId="0" applyNumberFormat="1" applyFont="1" applyBorder="1" applyAlignment="1">
      <alignment horizontal="center" vertical="center"/>
    </xf>
    <xf numFmtId="0" fontId="0" fillId="0" borderId="1" xfId="0" applyBorder="1"/>
    <xf numFmtId="0" fontId="13" fillId="0" borderId="1" xfId="0" applyFont="1" applyBorder="1" applyAlignment="1">
      <alignment horizontal="left" wrapText="1" shrinkToFit="1"/>
    </xf>
    <xf numFmtId="0" fontId="47" fillId="3" borderId="31" xfId="0" applyFont="1" applyFill="1" applyBorder="1" applyAlignment="1">
      <alignment horizontal="center" vertical="center"/>
    </xf>
    <xf numFmtId="189" fontId="4" fillId="3" borderId="31" xfId="0" applyNumberFormat="1" applyFont="1" applyFill="1" applyBorder="1" applyAlignment="1">
      <alignment horizontal="center"/>
    </xf>
    <xf numFmtId="0" fontId="13" fillId="0" borderId="1" xfId="0" applyFont="1" applyBorder="1" applyAlignment="1">
      <alignment horizontal="center" vertical="center" wrapText="1" shrinkToFit="1"/>
    </xf>
    <xf numFmtId="190" fontId="4" fillId="3" borderId="31" xfId="0" applyNumberFormat="1" applyFont="1" applyFill="1" applyBorder="1" applyAlignment="1">
      <alignment horizontal="center"/>
    </xf>
    <xf numFmtId="191" fontId="4" fillId="3" borderId="31" xfId="0" applyNumberFormat="1" applyFont="1" applyFill="1" applyBorder="1" applyAlignment="1">
      <alignment horizontal="center"/>
    </xf>
    <xf numFmtId="192" fontId="4" fillId="3" borderId="31" xfId="0" applyNumberFormat="1" applyFont="1" applyFill="1" applyBorder="1" applyAlignment="1">
      <alignment horizontal="center"/>
    </xf>
    <xf numFmtId="193" fontId="4" fillId="3" borderId="31" xfId="0" applyNumberFormat="1" applyFont="1" applyFill="1" applyBorder="1" applyAlignment="1">
      <alignment horizontal="center"/>
    </xf>
    <xf numFmtId="0" fontId="0" fillId="4" borderId="0" xfId="0" applyFill="1"/>
    <xf numFmtId="0" fontId="0" fillId="0" borderId="0" xfId="0" applyAlignment="1">
      <alignment horizontal="center"/>
    </xf>
    <xf numFmtId="0" fontId="47" fillId="3" borderId="1" xfId="0" applyFont="1" applyFill="1" applyBorder="1" applyAlignment="1">
      <alignment horizontal="center" vertical="center"/>
    </xf>
    <xf numFmtId="194" fontId="4" fillId="3" borderId="31" xfId="0" applyNumberFormat="1" applyFont="1" applyFill="1" applyBorder="1" applyAlignment="1">
      <alignment horizontal="center" vertical="center"/>
    </xf>
    <xf numFmtId="195" fontId="4" fillId="3" borderId="1" xfId="0" applyNumberFormat="1" applyFont="1" applyFill="1" applyBorder="1" applyAlignment="1">
      <alignment horizontal="center" vertical="center"/>
    </xf>
    <xf numFmtId="196" fontId="4" fillId="3" borderId="1" xfId="0" applyNumberFormat="1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7" fillId="0" borderId="1" xfId="0" applyFont="1" applyBorder="1" applyAlignment="1">
      <alignment horizontal="left" vertical="center" shrinkToFit="1"/>
    </xf>
    <xf numFmtId="0" fontId="23" fillId="0" borderId="0" xfId="0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27" fillId="0" borderId="11" xfId="0" applyFont="1" applyBorder="1" applyAlignment="1">
      <alignment horizontal="left" vertical="center" shrinkToFit="1"/>
    </xf>
    <xf numFmtId="0" fontId="27" fillId="0" borderId="12" xfId="0" applyFont="1" applyBorder="1" applyAlignment="1">
      <alignment horizontal="left" vertical="center" shrinkToFit="1"/>
    </xf>
    <xf numFmtId="0" fontId="27" fillId="0" borderId="13" xfId="0" applyFont="1" applyBorder="1" applyAlignment="1">
      <alignment horizontal="left" vertical="center" shrinkToFit="1"/>
    </xf>
    <xf numFmtId="0" fontId="27" fillId="0" borderId="33" xfId="0" applyFont="1" applyBorder="1" applyAlignment="1">
      <alignment horizontal="left" vertical="center" shrinkToFit="1"/>
    </xf>
    <xf numFmtId="0" fontId="27" fillId="0" borderId="32" xfId="0" applyFont="1" applyBorder="1" applyAlignment="1">
      <alignment horizontal="left" vertical="center" shrinkToFit="1"/>
    </xf>
    <xf numFmtId="0" fontId="27" fillId="0" borderId="34" xfId="0" applyFont="1" applyBorder="1" applyAlignment="1">
      <alignment horizontal="left" vertical="center" shrinkToFit="1"/>
    </xf>
    <xf numFmtId="0" fontId="4" fillId="0" borderId="1" xfId="0" applyFont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0" fontId="4" fillId="3" borderId="31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top"/>
    </xf>
    <xf numFmtId="0" fontId="43" fillId="0" borderId="0" xfId="0" applyFont="1" applyAlignment="1">
      <alignment horizontal="center"/>
    </xf>
    <xf numFmtId="0" fontId="6" fillId="0" borderId="10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43" fontId="4" fillId="0" borderId="8" xfId="16" applyFont="1" applyBorder="1" applyAlignment="1">
      <alignment horizontal="right" vertical="center"/>
    </xf>
    <xf numFmtId="43" fontId="4" fillId="0" borderId="14" xfId="16" applyFont="1" applyBorder="1" applyAlignment="1">
      <alignment horizontal="right" vertical="center"/>
    </xf>
    <xf numFmtId="43" fontId="4" fillId="0" borderId="15" xfId="16" applyFont="1" applyBorder="1" applyAlignment="1">
      <alignment horizontal="right" vertical="center"/>
    </xf>
    <xf numFmtId="43" fontId="4" fillId="0" borderId="9" xfId="16" applyFont="1" applyBorder="1" applyAlignment="1">
      <alignment horizontal="center" vertical="center"/>
    </xf>
    <xf numFmtId="43" fontId="4" fillId="0" borderId="2" xfId="16" applyFont="1" applyBorder="1" applyAlignment="1">
      <alignment horizontal="center" vertical="center"/>
    </xf>
    <xf numFmtId="0" fontId="28" fillId="0" borderId="16" xfId="9" applyFont="1" applyBorder="1" applyAlignment="1">
      <alignment horizontal="center" vertical="center"/>
    </xf>
    <xf numFmtId="0" fontId="4" fillId="0" borderId="14" xfId="9" applyFont="1" applyBorder="1" applyAlignment="1">
      <alignment horizontal="center" vertical="center"/>
    </xf>
    <xf numFmtId="0" fontId="4" fillId="0" borderId="15" xfId="9" applyFont="1" applyBorder="1" applyAlignment="1">
      <alignment horizontal="center" vertical="center"/>
    </xf>
    <xf numFmtId="43" fontId="4" fillId="0" borderId="8" xfId="16" applyFont="1" applyBorder="1" applyAlignment="1">
      <alignment horizontal="center" vertical="center"/>
    </xf>
    <xf numFmtId="43" fontId="4" fillId="0" borderId="15" xfId="16" applyFont="1" applyBorder="1" applyAlignment="1">
      <alignment horizontal="center" vertical="center"/>
    </xf>
    <xf numFmtId="0" fontId="41" fillId="2" borderId="17" xfId="9" applyFont="1" applyFill="1" applyBorder="1" applyAlignment="1">
      <alignment horizontal="left" vertical="center"/>
    </xf>
    <xf numFmtId="0" fontId="41" fillId="2" borderId="18" xfId="9" applyFont="1" applyFill="1" applyBorder="1" applyAlignment="1">
      <alignment horizontal="left" vertical="center"/>
    </xf>
    <xf numFmtId="0" fontId="41" fillId="2" borderId="19" xfId="9" applyFont="1" applyFill="1" applyBorder="1" applyAlignment="1">
      <alignment horizontal="left" vertical="center"/>
    </xf>
    <xf numFmtId="0" fontId="29" fillId="0" borderId="0" xfId="9" applyFont="1" applyAlignment="1">
      <alignment horizontal="center" vertical="center"/>
    </xf>
    <xf numFmtId="0" fontId="36" fillId="0" borderId="0" xfId="9" applyFont="1" applyAlignment="1">
      <alignment horizontal="center" vertical="center"/>
    </xf>
    <xf numFmtId="0" fontId="30" fillId="0" borderId="0" xfId="9" applyFont="1" applyAlignment="1">
      <alignment horizontal="center" vertical="center"/>
    </xf>
    <xf numFmtId="0" fontId="38" fillId="0" borderId="0" xfId="9" applyFont="1" applyAlignment="1">
      <alignment horizontal="center" vertical="center"/>
    </xf>
    <xf numFmtId="0" fontId="2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center"/>
    </xf>
    <xf numFmtId="0" fontId="4" fillId="0" borderId="20" xfId="9" applyFont="1" applyBorder="1" applyAlignment="1">
      <alignment horizontal="center" vertical="center"/>
    </xf>
    <xf numFmtId="0" fontId="4" fillId="0" borderId="21" xfId="9" applyFont="1" applyBorder="1" applyAlignment="1">
      <alignment horizontal="center" vertical="center"/>
    </xf>
    <xf numFmtId="0" fontId="4" fillId="0" borderId="22" xfId="9" applyFont="1" applyBorder="1" applyAlignment="1">
      <alignment horizontal="center" vertical="center"/>
    </xf>
    <xf numFmtId="0" fontId="4" fillId="0" borderId="6" xfId="9" applyFont="1" applyBorder="1" applyAlignment="1">
      <alignment horizontal="center" vertical="center"/>
    </xf>
    <xf numFmtId="0" fontId="4" fillId="0" borderId="0" xfId="9" applyFont="1" applyAlignment="1">
      <alignment horizontal="center" vertical="center"/>
    </xf>
    <xf numFmtId="0" fontId="4" fillId="0" borderId="2" xfId="9" applyFont="1" applyBorder="1" applyAlignment="1">
      <alignment horizontal="center" vertical="center"/>
    </xf>
    <xf numFmtId="0" fontId="4" fillId="0" borderId="23" xfId="9" applyFont="1" applyBorder="1" applyAlignment="1">
      <alignment horizontal="center" vertical="center"/>
    </xf>
    <xf numFmtId="0" fontId="4" fillId="0" borderId="24" xfId="9" applyFont="1" applyBorder="1" applyAlignment="1">
      <alignment horizontal="center" vertical="center"/>
    </xf>
    <xf numFmtId="0" fontId="4" fillId="0" borderId="25" xfId="9" applyFont="1" applyBorder="1" applyAlignment="1">
      <alignment horizontal="center" vertical="center"/>
    </xf>
    <xf numFmtId="0" fontId="4" fillId="0" borderId="26" xfId="9" applyFont="1" applyBorder="1" applyAlignment="1">
      <alignment horizontal="center" vertical="center"/>
    </xf>
    <xf numFmtId="0" fontId="4" fillId="0" borderId="9" xfId="9" applyFont="1" applyBorder="1" applyAlignment="1">
      <alignment horizontal="center" vertical="center"/>
    </xf>
    <xf numFmtId="0" fontId="4" fillId="0" borderId="27" xfId="9" applyFont="1" applyBorder="1" applyAlignment="1">
      <alignment horizontal="center" vertical="center"/>
    </xf>
    <xf numFmtId="0" fontId="4" fillId="0" borderId="18" xfId="9" applyFont="1" applyBorder="1" applyAlignment="1">
      <alignment horizontal="center" vertical="center"/>
    </xf>
    <xf numFmtId="0" fontId="4" fillId="0" borderId="28" xfId="9" applyFont="1" applyBorder="1" applyAlignment="1">
      <alignment horizontal="center" vertical="center"/>
    </xf>
    <xf numFmtId="0" fontId="4" fillId="0" borderId="19" xfId="9" applyFont="1" applyBorder="1" applyAlignment="1">
      <alignment horizontal="center" vertical="center"/>
    </xf>
    <xf numFmtId="0" fontId="4" fillId="0" borderId="29" xfId="9" applyFont="1" applyBorder="1" applyAlignment="1">
      <alignment horizontal="center" vertical="center"/>
    </xf>
    <xf numFmtId="0" fontId="26" fillId="2" borderId="17" xfId="9" applyFont="1" applyFill="1" applyBorder="1" applyAlignment="1">
      <alignment horizontal="left" vertical="center"/>
    </xf>
    <xf numFmtId="0" fontId="32" fillId="0" borderId="27" xfId="9" applyFont="1" applyBorder="1" applyAlignment="1">
      <alignment horizontal="center" vertical="center"/>
    </xf>
    <xf numFmtId="0" fontId="32" fillId="0" borderId="18" xfId="9" applyFont="1" applyBorder="1" applyAlignment="1">
      <alignment horizontal="center" vertical="center"/>
    </xf>
    <xf numFmtId="0" fontId="32" fillId="0" borderId="28" xfId="9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8" fillId="0" borderId="35" xfId="0" applyFont="1" applyBorder="1"/>
    <xf numFmtId="0" fontId="27" fillId="0" borderId="17" xfId="0" applyFont="1" applyBorder="1" applyAlignment="1">
      <alignment horizontal="left" shrinkToFit="1"/>
    </xf>
    <xf numFmtId="0" fontId="27" fillId="0" borderId="19" xfId="0" applyFont="1" applyBorder="1" applyAlignment="1">
      <alignment horizontal="left" shrinkToFit="1"/>
    </xf>
    <xf numFmtId="0" fontId="28" fillId="0" borderId="35" xfId="0" applyFont="1" applyBorder="1" applyAlignment="1">
      <alignment horizontal="left"/>
    </xf>
    <xf numFmtId="0" fontId="28" fillId="0" borderId="9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7" fillId="0" borderId="35" xfId="0" applyFont="1" applyBorder="1" applyAlignment="1">
      <alignment horizontal="left" vertical="center"/>
    </xf>
    <xf numFmtId="0" fontId="28" fillId="0" borderId="35" xfId="0" applyFont="1" applyBorder="1" applyAlignment="1">
      <alignment horizontal="left" vertical="center"/>
    </xf>
    <xf numFmtId="0" fontId="28" fillId="0" borderId="35" xfId="0" applyFont="1" applyBorder="1" applyAlignment="1">
      <alignment horizontal="right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</cellXfs>
  <cellStyles count="17">
    <cellStyle name="eng" xfId="1" xr:uid="{00000000-0005-0000-0000-000000000000}"/>
    <cellStyle name="lu" xfId="2" xr:uid="{00000000-0005-0000-0000-000001000000}"/>
    <cellStyle name="Normal - Style1" xfId="3" xr:uid="{00000000-0005-0000-0000-000002000000}"/>
    <cellStyle name="Normal_Basic Assumptions" xfId="4" xr:uid="{00000000-0005-0000-0000-000003000000}"/>
    <cellStyle name="一般" xfId="0" builtinId="0"/>
    <cellStyle name="一般 10" xfId="13" xr:uid="{00000000-0005-0000-0000-000005000000}"/>
    <cellStyle name="一般 2" xfId="11" xr:uid="{00000000-0005-0000-0000-000006000000}"/>
    <cellStyle name="一般 3" xfId="12" xr:uid="{00000000-0005-0000-0000-000007000000}"/>
    <cellStyle name="一般 4" xfId="15" xr:uid="{00000000-0005-0000-0000-000008000000}"/>
    <cellStyle name="一般_東澳北溪預算書234-6 2" xfId="10" xr:uid="{00000000-0005-0000-0000-00000B000000}"/>
    <cellStyle name="一般_概算書206-2 2" xfId="9" xr:uid="{00000000-0005-0000-0000-00000C000000}"/>
    <cellStyle name="千分位" xfId="5" builtinId="3"/>
    <cellStyle name="千分位 2" xfId="6" xr:uid="{00000000-0005-0000-0000-00000E000000}"/>
    <cellStyle name="千分位 2 2" xfId="16" xr:uid="{00000000-0005-0000-0000-00000F000000}"/>
    <cellStyle name="千分位[0] 2" xfId="14" xr:uid="{00000000-0005-0000-0000-000010000000}"/>
    <cellStyle name="貨幣[0]_Apply" xfId="7" xr:uid="{00000000-0005-0000-0000-000013000000}"/>
    <cellStyle name="超連結" xfId="8" builtinId="8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externalLink" Target="externalLinks/externalLink17.xml"/><Relationship Id="rId21" Type="http://schemas.openxmlformats.org/officeDocument/2006/relationships/externalLink" Target="externalLinks/externalLink12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externalLink" Target="externalLinks/externalLink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externalLink" Target="externalLinks/externalLink19.xml"/><Relationship Id="rId36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externalLink" Target="externalLinks/externalLink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externalLink" Target="externalLinks/externalLink18.xml"/><Relationship Id="rId30" Type="http://schemas.openxmlformats.org/officeDocument/2006/relationships/externalLink" Target="externalLinks/externalLink21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3</xdr:row>
          <xdr:rowOff>19050</xdr:rowOff>
        </xdr:from>
        <xdr:to>
          <xdr:col>1</xdr:col>
          <xdr:colOff>1609725</xdr:colOff>
          <xdr:row>5</xdr:row>
          <xdr:rowOff>190500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1. 匯出元件材料統整表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1762125</xdr:colOff>
          <xdr:row>3</xdr:row>
          <xdr:rowOff>19050</xdr:rowOff>
        </xdr:from>
        <xdr:to>
          <xdr:col>2</xdr:col>
          <xdr:colOff>514350</xdr:colOff>
          <xdr:row>5</xdr:row>
          <xdr:rowOff>200025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2. 填入元件材料單位與數量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6</xdr:row>
      <xdr:rowOff>0</xdr:rowOff>
    </xdr:from>
    <xdr:to>
      <xdr:col>2</xdr:col>
      <xdr:colOff>361950</xdr:colOff>
      <xdr:row>6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ShapeType="1"/>
        </xdr:cNvSpPr>
      </xdr:nvSpPr>
      <xdr:spPr bwMode="auto">
        <a:xfrm>
          <a:off x="3429000" y="1276350"/>
          <a:ext cx="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DATA\WRL\CHISAN\BGT-GAT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DATA\CYH\CHISAN\DOC\BGT-GAT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USR\LMC\TPGM\TPGM1\TAIP\WRL\CHISAN\BGT-GATE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ou\d\&#24037;&#26989;&#31649;&#36335;\&#31532;&#19971;&#31449;&#31400;&#20117;\WRL\CHISAN\BGT-GAT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app\WRL\CHISAN\BGT-GAT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APP\USR\LMC\TPGM\TPGM1\TAIP\WRL\CHISAN\BGT-GAT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21934;&#20729;&#20998;&#26512;&#34920;(1-11)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&#20844;&#25991;\&#21271;&#38272;&#21312;&#39908;&#27743;&#28317;&#25490;&#27700;&#21491;&#23736;&#35703;&#23736;&#24489;&#24314;&#24037;&#31243;\&#31532;2&#27425;&#35722;&#26356;&#35373;&#35336;\WRL\CHISAN\BGT-GAT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WINDOWS\TEMP\&#31649;&#29702;AC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Documents%20and%20Settings\Administer\&#26700;&#38754;\&#23559;&#36557;&#28330;&#25329;&#27211;\WRL\CHISAN\BGT-GAT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99W31\SI-END\CD\&#31532;&#20108;&#27425;&#35722;&#26356;\&#25976;&#37327;&#35336;&#31639;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Documents%20and%20Settings\Administer\&#26700;&#38754;\&#23559;&#36557;&#28330;&#25329;&#27211;\Documents%20and%20Settings\pc\&#26700;&#38754;\&#21069;&#26399;&#32080;&#31639;\My%20Documents\Book1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New%20&#24037;&#31243;&#38928;&#31639;\&#38928;&#31639;&#26360;\&#23559;&#36557;&#37129;&#20844;&#25152;\Documents%20and%20Settings\pc\&#26700;&#38754;\&#21069;&#26399;&#32080;&#31639;\2003.11&#22025;&#26481;&#31038;&#21312;\&#21021;&#31295;&#25552;&#36865;&#26360;&#12289;&#22294;&#12289;&#38928;&#31639;\&#38928;&#31639;&#21450;&#25976;&#37327;&#20462;&#27491;930305\WRL\CHISAN\BGT-GATE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Documents%20and%20Settings\Administer\&#26700;&#38754;\&#23559;&#36557;&#28330;&#25329;&#27211;\Documents%20and%20Settings\pc\&#26700;&#38754;\&#21069;&#26399;&#32080;&#31639;\2003.11&#22025;&#26481;&#31038;&#21312;\&#21021;&#31295;&#25552;&#36865;&#26360;&#12289;&#22294;&#12289;&#38928;&#31639;\&#38928;&#31639;&#21450;&#25976;&#37327;&#20462;&#27491;930305\WRL\CHISAN\BGT-GATE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Documents%20and%20Settings\Administer\&#26700;&#38754;\&#23559;&#36557;&#28330;&#25329;&#27211;\Documents%20and%20Settings\pc\&#26700;&#38754;\&#21069;&#26399;&#32080;&#31639;\WU\1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-01g\project\Documents%20and%20Settings\limi\&#26700;&#38754;\WRL\CHISAN\BGT-GATE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limi\&#26700;&#38754;\WRL\CHISAN\BGT-GATE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tone\&#22522;&#26412;940803\WRL\CHISAN\BGT-GATE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USR\LMC\TPGM\TPGM1\TAIP\WRL\CHISAN\BGT-GATE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My%20Documents\Book1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IC\SYS\WORK\EEE\E050-5\E050-5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U\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基本資料表"/>
      <sheetName val="工程預算書"/>
      <sheetName val="工程預算書 "/>
      <sheetName val="預算"/>
      <sheetName val="封面"/>
      <sheetName val="工程資料"/>
      <sheetName val="進度(日)"/>
      <sheetName val="施工封面"/>
      <sheetName val="0530"/>
      <sheetName val="0531"/>
      <sheetName val="0601"/>
      <sheetName val="0602"/>
      <sheetName val="0603"/>
      <sheetName val="0604"/>
      <sheetName val="0605"/>
      <sheetName val="0606"/>
      <sheetName val="0607"/>
      <sheetName val="0608"/>
      <sheetName val="0609"/>
      <sheetName val="0610"/>
      <sheetName val="0611"/>
      <sheetName val="0612"/>
      <sheetName val="0613"/>
      <sheetName val="0614"/>
      <sheetName val="0615"/>
      <sheetName val="0616"/>
      <sheetName val="0617"/>
      <sheetName val="0618"/>
      <sheetName val="0619"/>
      <sheetName val="0620"/>
      <sheetName val="0621"/>
      <sheetName val="0622ok"/>
      <sheetName val="0623"/>
      <sheetName val="0624"/>
      <sheetName val="0625"/>
      <sheetName val="0626"/>
      <sheetName val="0627"/>
      <sheetName val="0628"/>
      <sheetName val="0629"/>
      <sheetName val="0630"/>
      <sheetName val="0701"/>
      <sheetName val="0702"/>
      <sheetName val="0703"/>
      <sheetName val="0704"/>
      <sheetName val="0705"/>
      <sheetName val="0706"/>
      <sheetName val="0707"/>
      <sheetName val="0708"/>
      <sheetName val="0709"/>
      <sheetName val="0710"/>
      <sheetName val="0711"/>
      <sheetName val="0712"/>
      <sheetName val="0713"/>
      <sheetName val="0714"/>
      <sheetName val="0715"/>
      <sheetName val="0716"/>
      <sheetName val="0717"/>
      <sheetName val="0718"/>
      <sheetName val="0719"/>
      <sheetName val="0720"/>
      <sheetName val="0721"/>
      <sheetName val="0722"/>
      <sheetName val="0723"/>
      <sheetName val="0724"/>
      <sheetName val="0725"/>
      <sheetName val="0726"/>
      <sheetName val="0727"/>
      <sheetName val="0728"/>
      <sheetName val="0729"/>
      <sheetName val="0730"/>
      <sheetName val="0731"/>
      <sheetName val="0801"/>
      <sheetName val="0802"/>
      <sheetName val="0803"/>
      <sheetName val="0804"/>
      <sheetName val="0805"/>
      <sheetName val="0806"/>
      <sheetName val="0807"/>
      <sheetName val="0808"/>
      <sheetName val="0809"/>
      <sheetName val="0810"/>
      <sheetName val="0811"/>
      <sheetName val="0812"/>
      <sheetName val="0813"/>
      <sheetName val="0814"/>
      <sheetName val="0815"/>
      <sheetName val="0816"/>
      <sheetName val="0817"/>
      <sheetName val="0818"/>
      <sheetName val="0819"/>
      <sheetName val="0820"/>
      <sheetName val="0821"/>
      <sheetName val="0822"/>
      <sheetName val="0823"/>
      <sheetName val="0824"/>
      <sheetName val="0825"/>
      <sheetName val="0826"/>
      <sheetName val="0827"/>
      <sheetName val="0828"/>
      <sheetName val="0829"/>
      <sheetName val="0830"/>
      <sheetName val="0831"/>
      <sheetName val="0901"/>
      <sheetName val="0902"/>
      <sheetName val="0903"/>
      <sheetName val="0904"/>
      <sheetName val="0905"/>
      <sheetName val="0906"/>
      <sheetName val="0907"/>
      <sheetName val="0908"/>
      <sheetName val="資料庫日"/>
      <sheetName val="各部完成"/>
      <sheetName val="坍度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BGT-GATE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  <sheetName val="預算明細表"/>
      <sheetName val="右岸"/>
      <sheetName val="左岸"/>
      <sheetName val="左右岸"/>
      <sheetName val="右排"/>
      <sheetName val="左No1"/>
      <sheetName val="左No2"/>
      <sheetName val="合計"/>
      <sheetName val="_x0000_"/>
      <sheetName val="預算資源統計表"/>
      <sheetName val="Sheet2"/>
      <sheetName val="基本單價"/>
      <sheetName val="分析資料"/>
    </sheetNames>
    <sheetDataSet>
      <sheetData sheetId="0" refreshError="1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/>
      <sheetData sheetId="135"/>
      <sheetData sheetId="136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工程預算書"/>
      <sheetName val="單價分析表"/>
      <sheetName val="合約2"/>
      <sheetName val="單價總表"/>
      <sheetName val="BGT-GATE"/>
      <sheetName val="經費總表"/>
      <sheetName val="分年經費"/>
      <sheetName val="成本明細(方案一)"/>
      <sheetName val="成本明細(方案二)"/>
      <sheetName val="基本單價說明"/>
      <sheetName val="基本資料表"/>
      <sheetName val="工程預算書 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  <sheetName val="A6-面積數量計算表"/>
      <sheetName val="A7體積數量計算表"/>
      <sheetName val="項目分析(備用)"/>
      <sheetName val="項目分析"/>
      <sheetName val="右岸"/>
      <sheetName val="左岸"/>
      <sheetName val="左右岸"/>
      <sheetName val="右排"/>
      <sheetName val="左No1"/>
      <sheetName val="左No2"/>
      <sheetName val="合計"/>
      <sheetName val="預算"/>
      <sheetName val="資料庫"/>
      <sheetName val="預算明細表"/>
      <sheetName val="計算工作表"/>
      <sheetName val="發包檔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/>
      <sheetData sheetId="11"/>
      <sheetData sheetId="12"/>
      <sheetData sheetId="13"/>
      <sheetData sheetId="14"/>
      <sheetData sheetId="15"/>
      <sheetData sheetId="16" refreshError="1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BGT-GATE"/>
      <sheetName val="基本資料表"/>
      <sheetName val="工程預算書 "/>
      <sheetName val="工程預算書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  <sheetName val="工程預算書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BGT-GATE"/>
      <sheetName val="基本資料表"/>
      <sheetName val="工程預算書 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  <sheetName val="單價分析表_1_11_"/>
      <sheetName val="基本資料表"/>
      <sheetName val="_x0000_"/>
      <sheetName val="?"/>
      <sheetName val="資料庫2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工程預算書"/>
      <sheetName val="BGT-GATE"/>
      <sheetName val="右岸"/>
      <sheetName val="左岸"/>
      <sheetName val="左右岸"/>
      <sheetName val="右排"/>
      <sheetName val="左No1"/>
      <sheetName val="左No2"/>
      <sheetName val="合計"/>
      <sheetName val="工程預算書 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  <sheetName val="鳳農土"/>
      <sheetName val="預算資源統計表"/>
      <sheetName val="表"/>
      <sheetName val="單價"/>
      <sheetName val="預算書10"/>
      <sheetName val="Sheet2"/>
      <sheetName val="_"/>
      <sheetName val="單價分析(包商用)"/>
      <sheetName val="單價分析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單價分析表_1_11_"/>
      <sheetName val="工程預算書"/>
      <sheetName val="基本資料"/>
      <sheetName val="初稿審查意見處理表"/>
      <sheetName val="初稿審核單"/>
      <sheetName val="封面"/>
      <sheetName val="工程計畫說明書"/>
      <sheetName val="預算書總表"/>
      <sheetName val="主體工程費"/>
      <sheetName val="雜項工程費"/>
      <sheetName val="環境保護措施費"/>
      <sheetName val="品質檢驗費"/>
      <sheetName val="勞工安全衛生費"/>
      <sheetName val="單價分析表1"/>
      <sheetName val="單價分析表2"/>
      <sheetName val="單價分析表3 "/>
      <sheetName val="單價分析表4"/>
      <sheetName val="單價分析表5"/>
      <sheetName val="單價分析表6"/>
      <sheetName val="單價計算表"/>
      <sheetName val="工程數量總表A4"/>
      <sheetName val="數量計算表"/>
      <sheetName val="土石方計算表"/>
      <sheetName val="計算空污費表"/>
      <sheetName val="空污費"/>
      <sheetName val="工期分析表"/>
      <sheetName val="預定進度表"/>
      <sheetName val="注意事項"/>
      <sheetName val="施工補充說明書封面"/>
      <sheetName val="剩餘土石方運棄計畫表"/>
      <sheetName val="各處所地點"/>
      <sheetName val="修改"/>
      <sheetName val="U型溝暗溝 (0.6X1.3)"/>
      <sheetName val="材料表"/>
      <sheetName val="預算明細表"/>
      <sheetName val="總表"/>
      <sheetName val="計1"/>
      <sheetName val="計2"/>
      <sheetName val="計3"/>
      <sheetName val="計4"/>
      <sheetName val="資料庫"/>
      <sheetName val="發包檔"/>
      <sheetName val="單價2"/>
      <sheetName val="工程計算表"/>
      <sheetName val="單價分析表"/>
    </sheetNames>
    <sheetDataSet>
      <sheetData sheetId="0" refreshError="1"/>
      <sheetData sheetId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右岸"/>
      <sheetName val="左岸"/>
      <sheetName val="左右岸"/>
      <sheetName val="右排"/>
      <sheetName val="左No1"/>
      <sheetName val="左No2"/>
      <sheetName val="合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C"/>
      <sheetName val="Sheet1"/>
      <sheetName val="Module1"/>
    </sheetNames>
    <sheetDataSet>
      <sheetData sheetId="0" refreshError="1">
        <row r="13">
          <cell r="O13">
            <v>0</v>
          </cell>
        </row>
      </sheetData>
      <sheetData sheetId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右岸"/>
      <sheetName val="左岸"/>
      <sheetName val="左右岸"/>
      <sheetName val="右排"/>
      <sheetName val="左No1"/>
      <sheetName val="左No2"/>
      <sheetName val="合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數量計算"/>
      <sheetName val="單價分析表(1-11)"/>
      <sheetName val="#REF"/>
      <sheetName val="工程預算書"/>
      <sheetName val="預算明細表"/>
      <sheetName val="材料表"/>
      <sheetName val="工程項目"/>
      <sheetName val="單價分析表-範例勿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單價分析表(1-11)"/>
      <sheetName val="#REF"/>
      <sheetName val="單價分析"/>
      <sheetName val="工程預算書"/>
      <sheetName val="Book1"/>
      <sheetName val="St2"/>
      <sheetName val="St3"/>
      <sheetName val="St4"/>
      <sheetName val="St5"/>
      <sheetName val="St6"/>
      <sheetName val="St7"/>
      <sheetName val="St8"/>
      <sheetName val="St9"/>
      <sheetName val="St10"/>
      <sheetName val="St11"/>
      <sheetName val="St12"/>
      <sheetName val="St13"/>
      <sheetName val="St14"/>
      <sheetName val="St15"/>
      <sheetName val="St16"/>
      <sheetName val="St17 "/>
      <sheetName val="St1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數量(含竣工)"/>
      <sheetName val="單價"/>
    </sheetNames>
    <sheetDataSet>
      <sheetData sheetId="0"/>
      <sheetData sheetId="1" refreshError="1"/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預算明細"/>
    </sheetNames>
    <sheetDataSet>
      <sheetData sheetId="0"/>
      <sheetData sheetId="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"/>
      <sheetName val="單價分析表(1-11)"/>
      <sheetName val="工程預算書"/>
      <sheetName val="#REF"/>
      <sheetName val="St2"/>
      <sheetName val="St3"/>
      <sheetName val="St4"/>
      <sheetName val="St5"/>
      <sheetName val="St6"/>
      <sheetName val="St7"/>
      <sheetName val="St8"/>
      <sheetName val="St9"/>
      <sheetName val="St10"/>
      <sheetName val="St11"/>
      <sheetName val="St12"/>
      <sheetName val="St13"/>
      <sheetName val="St14"/>
      <sheetName val="St15"/>
      <sheetName val="St16"/>
      <sheetName val="St17 "/>
      <sheetName val="St1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右岸"/>
      <sheetName val="左岸"/>
      <sheetName val="左右岸"/>
      <sheetName val="右排"/>
      <sheetName val="左No1"/>
      <sheetName val="左No2"/>
      <sheetName val="合計"/>
      <sheetName val="預算明細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右岸"/>
      <sheetName val="左岸"/>
      <sheetName val="左右岸"/>
      <sheetName val="右排"/>
      <sheetName val="左No1"/>
      <sheetName val="左No2"/>
      <sheetName val="合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預算明細"/>
    </sheetNames>
    <sheetDataSet>
      <sheetData sheetId="0" refreshError="1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  <sheetName val="預算明細表"/>
      <sheetName val="工程預算書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單價分析表(1-11)"/>
      <sheetName val="#REF"/>
      <sheetName val="單價分析"/>
      <sheetName val="工程預算書"/>
      <sheetName val="Book1"/>
      <sheetName val="St2"/>
      <sheetName val="St3"/>
      <sheetName val="St4"/>
      <sheetName val="St5"/>
      <sheetName val="St6"/>
      <sheetName val="St7"/>
      <sheetName val="St8"/>
      <sheetName val="St9"/>
      <sheetName val="St10"/>
      <sheetName val="St11"/>
      <sheetName val="St12"/>
      <sheetName val="St13"/>
      <sheetName val="St14"/>
      <sheetName val="St15"/>
      <sheetName val="St16"/>
      <sheetName val="St17 "/>
      <sheetName val="St18"/>
      <sheetName val="統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封面"/>
      <sheetName val="封面 (2)"/>
      <sheetName val="預1"/>
      <sheetName val="預2"/>
      <sheetName val="單1"/>
      <sheetName val="單2"/>
      <sheetName val="單3"/>
      <sheetName val="單4"/>
      <sheetName val="單5"/>
      <sheetName val="單6"/>
      <sheetName val="單7"/>
      <sheetName val="統1"/>
      <sheetName val="計1"/>
      <sheetName val="G1水土保持"/>
      <sheetName val="工程預算書 "/>
    </sheetNames>
    <sheetDataSet>
      <sheetData sheetId="0"/>
      <sheetData sheetId="1"/>
      <sheetData sheetId="2"/>
      <sheetData sheetId="3" refreshError="1">
        <row r="8">
          <cell r="A8">
            <v>1</v>
          </cell>
        </row>
        <row r="9">
          <cell r="A9">
            <v>2</v>
          </cell>
        </row>
        <row r="10">
          <cell r="A10">
            <v>3</v>
          </cell>
        </row>
        <row r="11">
          <cell r="A11">
            <v>4</v>
          </cell>
        </row>
        <row r="12">
          <cell r="A12">
            <v>5</v>
          </cell>
        </row>
        <row r="13">
          <cell r="A13">
            <v>6</v>
          </cell>
        </row>
        <row r="14">
          <cell r="A14">
            <v>7</v>
          </cell>
        </row>
        <row r="15">
          <cell r="A15">
            <v>8</v>
          </cell>
        </row>
        <row r="16">
          <cell r="A16">
            <v>9</v>
          </cell>
        </row>
        <row r="17">
          <cell r="A17">
            <v>10</v>
          </cell>
        </row>
        <row r="18">
          <cell r="A18">
            <v>11</v>
          </cell>
        </row>
        <row r="19">
          <cell r="A19">
            <v>12</v>
          </cell>
        </row>
        <row r="20">
          <cell r="A20">
            <v>13</v>
          </cell>
        </row>
        <row r="21">
          <cell r="A21">
            <v>14</v>
          </cell>
        </row>
        <row r="22">
          <cell r="A22">
            <v>15</v>
          </cell>
        </row>
        <row r="23">
          <cell r="A23">
            <v>16</v>
          </cell>
        </row>
        <row r="24">
          <cell r="A24">
            <v>17</v>
          </cell>
        </row>
        <row r="25">
          <cell r="A25">
            <v>18</v>
          </cell>
        </row>
        <row r="26">
          <cell r="A26">
            <v>19</v>
          </cell>
        </row>
        <row r="27">
          <cell r="A27">
            <v>20</v>
          </cell>
        </row>
        <row r="28">
          <cell r="A28">
            <v>21</v>
          </cell>
        </row>
        <row r="29">
          <cell r="A29">
            <v>22</v>
          </cell>
        </row>
        <row r="30">
          <cell r="A30">
            <v>23</v>
          </cell>
        </row>
        <row r="31">
          <cell r="A31">
            <v>24</v>
          </cell>
        </row>
        <row r="32">
          <cell r="A32">
            <v>25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"/>
      <sheetName val="單價分析表(1-11)"/>
      <sheetName val="工程預算書"/>
      <sheetName val="#REF"/>
      <sheetName val="St2"/>
      <sheetName val="St3"/>
      <sheetName val="St4"/>
      <sheetName val="St5"/>
      <sheetName val="St6"/>
      <sheetName val="St7"/>
      <sheetName val="St8"/>
      <sheetName val="St9"/>
      <sheetName val="St10"/>
      <sheetName val="St11"/>
      <sheetName val="St12"/>
      <sheetName val="St13"/>
      <sheetName val="St14"/>
      <sheetName val="St15"/>
      <sheetName val="St16"/>
      <sheetName val="St17 "/>
      <sheetName val="St18"/>
      <sheetName val="參數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454EC-737F-4F94-807D-C08677086E06}">
  <sheetPr codeName="工作表3"/>
  <dimension ref="A1:D10"/>
  <sheetViews>
    <sheetView tabSelected="1" workbookViewId="0">
      <selection activeCell="C18" sqref="C18"/>
    </sheetView>
  </sheetViews>
  <sheetFormatPr defaultRowHeight="16.5"/>
  <cols>
    <col min="1" max="1" width="9" style="309"/>
    <col min="2" max="2" width="43.125" style="309" customWidth="1"/>
    <col min="3" max="3" width="45.125" style="309" customWidth="1"/>
    <col min="4" max="4" width="43.375" style="309" customWidth="1"/>
  </cols>
  <sheetData>
    <row r="1" spans="1:4" s="234" customFormat="1">
      <c r="A1" s="307"/>
      <c r="B1" s="307" t="s">
        <v>541</v>
      </c>
      <c r="C1" s="307" t="s">
        <v>543</v>
      </c>
      <c r="D1" s="307"/>
    </row>
    <row r="2" spans="1:4" s="234" customFormat="1">
      <c r="A2" s="307"/>
      <c r="B2" s="307" t="s">
        <v>550</v>
      </c>
      <c r="C2" s="307">
        <v>2</v>
      </c>
      <c r="D2" s="307"/>
    </row>
    <row r="3" spans="1:4" s="234" customFormat="1">
      <c r="A3" s="307"/>
      <c r="B3" s="307" t="s">
        <v>542</v>
      </c>
      <c r="C3" s="307" t="s">
        <v>546</v>
      </c>
      <c r="D3" s="307"/>
    </row>
    <row r="4" spans="1:4" s="234" customFormat="1">
      <c r="A4" s="307"/>
      <c r="B4" s="307"/>
      <c r="C4" s="307"/>
      <c r="D4" s="307"/>
    </row>
    <row r="5" spans="1:4" s="234" customFormat="1">
      <c r="A5" s="307"/>
      <c r="B5" s="307"/>
      <c r="C5" s="307"/>
      <c r="D5" s="307"/>
    </row>
    <row r="6" spans="1:4" s="234" customFormat="1">
      <c r="A6" s="307"/>
      <c r="B6" s="307"/>
      <c r="C6" s="307"/>
      <c r="D6" s="307"/>
    </row>
    <row r="7" spans="1:4" s="233" customFormat="1">
      <c r="A7" s="308" t="s">
        <v>534</v>
      </c>
      <c r="B7" s="308" t="s">
        <v>536</v>
      </c>
      <c r="C7" s="308" t="s">
        <v>537</v>
      </c>
      <c r="D7" s="308"/>
    </row>
    <row r="8" spans="1:4">
      <c r="A8" s="309">
        <v>1</v>
      </c>
      <c r="B8" s="309" t="s">
        <v>535</v>
      </c>
      <c r="C8" s="309" t="s">
        <v>538</v>
      </c>
    </row>
    <row r="9" spans="1:4" ht="66">
      <c r="A9" s="309">
        <v>2</v>
      </c>
      <c r="B9" s="309" t="s">
        <v>539</v>
      </c>
      <c r="C9" s="310" t="s">
        <v>548</v>
      </c>
      <c r="D9" s="310" t="s">
        <v>549</v>
      </c>
    </row>
    <row r="10" spans="1:4" ht="82.5">
      <c r="A10" s="309">
        <v>3</v>
      </c>
      <c r="B10" s="309" t="s">
        <v>540</v>
      </c>
      <c r="C10" s="310" t="s">
        <v>551</v>
      </c>
    </row>
  </sheetData>
  <phoneticPr fontId="3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makeElementsMaterialsByWork.makeElementsMaterialsByWork">
                <anchor moveWithCells="1" sizeWithCells="1">
                  <from>
                    <xdr:col>0</xdr:col>
                    <xdr:colOff>590550</xdr:colOff>
                    <xdr:row>3</xdr:row>
                    <xdr:rowOff>19050</xdr:rowOff>
                  </from>
                  <to>
                    <xdr:col>1</xdr:col>
                    <xdr:colOff>1609725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5" name="Button 7">
              <controlPr defaultSize="0" print="0" autoFill="0" autoPict="0" macro="[0]!calMaterialsQuantityByElement.calMaterialsQuantityByElement">
                <anchor moveWithCells="1" sizeWithCells="1">
                  <from>
                    <xdr:col>1</xdr:col>
                    <xdr:colOff>1762125</xdr:colOff>
                    <xdr:row>3</xdr:row>
                    <xdr:rowOff>19050</xdr:rowOff>
                  </from>
                  <to>
                    <xdr:col>2</xdr:col>
                    <xdr:colOff>514350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G323"/>
  <sheetViews>
    <sheetView view="pageBreakPreview" zoomScaleNormal="115" zoomScaleSheetLayoutView="100" workbookViewId="0">
      <selection activeCell="J156" sqref="J156"/>
    </sheetView>
  </sheetViews>
  <sheetFormatPr defaultColWidth="9" defaultRowHeight="16.5"/>
  <cols>
    <col min="1" max="1" width="5.625" style="40" customWidth="1"/>
    <col min="2" max="2" width="28" style="174" customWidth="1"/>
    <col min="3" max="3" width="26.625" style="175" customWidth="1"/>
    <col min="4" max="4" width="12.625" style="16" customWidth="1"/>
    <col min="5" max="5" width="3.625" style="42" customWidth="1"/>
    <col min="6" max="6" width="12.5" style="176" customWidth="1"/>
    <col min="7" max="7" width="5.625" style="42" customWidth="1"/>
    <col min="8" max="16384" width="9" style="40"/>
  </cols>
  <sheetData>
    <row r="1" spans="1:7" ht="18" customHeight="1">
      <c r="A1" s="240" t="s">
        <v>481</v>
      </c>
      <c r="B1" s="240"/>
      <c r="C1" s="240"/>
      <c r="D1" s="240"/>
      <c r="E1" s="240"/>
      <c r="F1" s="240"/>
      <c r="G1" s="240"/>
    </row>
    <row r="2" spans="1:7" ht="18" customHeight="1">
      <c r="A2" s="240"/>
      <c r="B2" s="240"/>
      <c r="C2" s="240"/>
      <c r="D2" s="240"/>
      <c r="E2" s="240"/>
      <c r="F2" s="240"/>
      <c r="G2" s="240"/>
    </row>
    <row r="3" spans="1:7" ht="21.95" customHeight="1">
      <c r="A3" s="242" t="s">
        <v>81</v>
      </c>
      <c r="B3" s="242"/>
      <c r="C3" s="242"/>
      <c r="D3" s="242"/>
      <c r="E3" s="242"/>
      <c r="F3" s="242"/>
      <c r="G3" s="242"/>
    </row>
    <row r="4" spans="1:7" ht="21.95" customHeight="1">
      <c r="A4" s="243" t="s">
        <v>480</v>
      </c>
      <c r="B4" s="243"/>
      <c r="C4" s="243"/>
      <c r="D4" s="243"/>
      <c r="E4" s="243"/>
      <c r="F4" s="243"/>
      <c r="G4" s="243"/>
    </row>
    <row r="5" spans="1:7" s="144" customFormat="1" ht="24.95" customHeight="1">
      <c r="A5" s="21" t="s">
        <v>0</v>
      </c>
      <c r="B5" s="21" t="s">
        <v>62</v>
      </c>
      <c r="C5" s="22" t="s">
        <v>1</v>
      </c>
      <c r="D5" s="23" t="s">
        <v>2</v>
      </c>
      <c r="E5" s="21"/>
      <c r="F5" s="24" t="s">
        <v>3</v>
      </c>
      <c r="G5" s="21" t="s">
        <v>4</v>
      </c>
    </row>
    <row r="6" spans="1:7" s="145" customFormat="1" ht="20.45" customHeight="1">
      <c r="A6" s="20" t="s">
        <v>29</v>
      </c>
      <c r="B6" s="241" t="s">
        <v>219</v>
      </c>
      <c r="C6" s="241"/>
      <c r="D6" s="241"/>
      <c r="E6" s="241"/>
      <c r="F6" s="241"/>
      <c r="G6" s="241"/>
    </row>
    <row r="7" spans="1:7" s="145" customFormat="1" ht="20.45" customHeight="1">
      <c r="A7" s="202">
        <v>1</v>
      </c>
      <c r="B7" s="49" t="s">
        <v>359</v>
      </c>
      <c r="C7" s="48" t="s">
        <v>231</v>
      </c>
      <c r="D7" s="26">
        <f>表4_土方數量計算表!H34</f>
        <v>2434.42</v>
      </c>
      <c r="E7" s="29" t="s">
        <v>5</v>
      </c>
      <c r="F7" s="27">
        <f>ROUND(D7,0)</f>
        <v>2434</v>
      </c>
      <c r="G7" s="20" t="s">
        <v>6</v>
      </c>
    </row>
    <row r="8" spans="1:7" s="145" customFormat="1" ht="22.5">
      <c r="A8" s="202">
        <f t="shared" ref="A8:A35" si="0">A7+1</f>
        <v>2</v>
      </c>
      <c r="B8" s="49" t="s">
        <v>360</v>
      </c>
      <c r="C8" s="143" t="s">
        <v>232</v>
      </c>
      <c r="D8" s="26">
        <f>表4_土方數量計算表!K34+'表2_道路排水工程數量統計表 '!T22</f>
        <v>708.1</v>
      </c>
      <c r="E8" s="29" t="s">
        <v>5</v>
      </c>
      <c r="F8" s="27">
        <f t="shared" ref="F8:F31" si="1">ROUND(D8,0)</f>
        <v>708</v>
      </c>
      <c r="G8" s="20" t="s">
        <v>6</v>
      </c>
    </row>
    <row r="9" spans="1:7" s="145" customFormat="1" ht="20.45" customHeight="1">
      <c r="A9" s="202">
        <f t="shared" si="0"/>
        <v>3</v>
      </c>
      <c r="B9" s="49" t="s">
        <v>361</v>
      </c>
      <c r="C9" s="48" t="s">
        <v>233</v>
      </c>
      <c r="D9" s="26">
        <f>表5_道路面積數量計算表!H59</f>
        <v>620.4</v>
      </c>
      <c r="E9" s="29" t="s">
        <v>5</v>
      </c>
      <c r="F9" s="27">
        <f t="shared" si="1"/>
        <v>620</v>
      </c>
      <c r="G9" s="20" t="s">
        <v>13</v>
      </c>
    </row>
    <row r="10" spans="1:7" s="145" customFormat="1" ht="20.45" customHeight="1">
      <c r="A10" s="202">
        <f t="shared" si="0"/>
        <v>4</v>
      </c>
      <c r="B10" s="49" t="s">
        <v>82</v>
      </c>
      <c r="C10" s="48" t="s">
        <v>234</v>
      </c>
      <c r="D10" s="26">
        <f>表5_道路面積數量計算表!H59*0.35</f>
        <v>217.14</v>
      </c>
      <c r="E10" s="29" t="s">
        <v>5</v>
      </c>
      <c r="F10" s="27">
        <f t="shared" si="1"/>
        <v>217</v>
      </c>
      <c r="G10" s="20" t="s">
        <v>6</v>
      </c>
    </row>
    <row r="11" spans="1:7" s="145" customFormat="1" ht="20.45" customHeight="1">
      <c r="A11" s="202">
        <f t="shared" si="0"/>
        <v>5</v>
      </c>
      <c r="B11" s="49" t="s">
        <v>378</v>
      </c>
      <c r="C11" s="48" t="s">
        <v>235</v>
      </c>
      <c r="D11" s="26">
        <f>表5_道路面積數量計算表!K31</f>
        <v>2145</v>
      </c>
      <c r="E11" s="29" t="s">
        <v>5</v>
      </c>
      <c r="F11" s="27">
        <f t="shared" si="1"/>
        <v>2145</v>
      </c>
      <c r="G11" s="20" t="s">
        <v>13</v>
      </c>
    </row>
    <row r="12" spans="1:7" s="145" customFormat="1" ht="20.45" customHeight="1">
      <c r="A12" s="202">
        <f t="shared" si="0"/>
        <v>6</v>
      </c>
      <c r="B12" s="49" t="s">
        <v>74</v>
      </c>
      <c r="C12" s="48" t="s">
        <v>235</v>
      </c>
      <c r="D12" s="26">
        <f>表5_道路面積數量計算表!H31</f>
        <v>2145</v>
      </c>
      <c r="E12" s="29" t="s">
        <v>5</v>
      </c>
      <c r="F12" s="27">
        <f t="shared" si="1"/>
        <v>2145</v>
      </c>
      <c r="G12" s="20" t="s">
        <v>13</v>
      </c>
    </row>
    <row r="13" spans="1:7" s="145" customFormat="1" ht="28.5">
      <c r="A13" s="202">
        <f t="shared" si="0"/>
        <v>7</v>
      </c>
      <c r="B13" s="49" t="s">
        <v>362</v>
      </c>
      <c r="C13" s="47" t="s">
        <v>236</v>
      </c>
      <c r="D13" s="54">
        <f>表5_道路面積數量計算表!K31*0.05*2.3</f>
        <v>246.67499999999998</v>
      </c>
      <c r="E13" s="29" t="s">
        <v>5</v>
      </c>
      <c r="F13" s="27">
        <f t="shared" si="1"/>
        <v>247</v>
      </c>
      <c r="G13" s="20" t="s">
        <v>75</v>
      </c>
    </row>
    <row r="14" spans="1:7" s="145" customFormat="1" ht="28.5">
      <c r="A14" s="202">
        <f t="shared" si="0"/>
        <v>8</v>
      </c>
      <c r="B14" s="49" t="s">
        <v>363</v>
      </c>
      <c r="C14" s="47" t="s">
        <v>236</v>
      </c>
      <c r="D14" s="54">
        <f>表5_道路面積數量計算表!H31*0.05*2.3</f>
        <v>246.67499999999998</v>
      </c>
      <c r="E14" s="29" t="s">
        <v>5</v>
      </c>
      <c r="F14" s="27">
        <f t="shared" si="1"/>
        <v>247</v>
      </c>
      <c r="G14" s="20" t="s">
        <v>75</v>
      </c>
    </row>
    <row r="15" spans="1:7" s="145" customFormat="1" ht="28.5">
      <c r="A15" s="202">
        <f t="shared" si="0"/>
        <v>9</v>
      </c>
      <c r="B15" s="49" t="s">
        <v>364</v>
      </c>
      <c r="C15" s="48" t="s">
        <v>238</v>
      </c>
      <c r="D15" s="54">
        <f>'表2_道路排水工程數量統計表 '!T6</f>
        <v>5944.34</v>
      </c>
      <c r="E15" s="29"/>
      <c r="F15" s="27">
        <f t="shared" si="1"/>
        <v>5944</v>
      </c>
      <c r="G15" s="20" t="str">
        <f>'表2_道路排水工程數量統計表 '!C6</f>
        <v>M2</v>
      </c>
    </row>
    <row r="16" spans="1:7" s="145" customFormat="1" ht="28.5">
      <c r="A16" s="202">
        <f t="shared" si="0"/>
        <v>10</v>
      </c>
      <c r="B16" s="49" t="s">
        <v>68</v>
      </c>
      <c r="C16" s="48" t="s">
        <v>238</v>
      </c>
      <c r="D16" s="54">
        <f>'表2_道路排水工程數量統計表 '!T7</f>
        <v>70043.5</v>
      </c>
      <c r="E16" s="29" t="s">
        <v>5</v>
      </c>
      <c r="F16" s="27">
        <f t="shared" si="1"/>
        <v>70044</v>
      </c>
      <c r="G16" s="20" t="str">
        <f>'表2_道路排水工程數量統計表 '!C7</f>
        <v>KG</v>
      </c>
    </row>
    <row r="17" spans="1:7" s="145" customFormat="1" ht="28.5">
      <c r="A17" s="202">
        <f t="shared" si="0"/>
        <v>11</v>
      </c>
      <c r="B17" s="49" t="s">
        <v>365</v>
      </c>
      <c r="C17" s="48" t="s">
        <v>238</v>
      </c>
      <c r="D17" s="54">
        <f>'表2_道路排水工程數量統計表 '!T8</f>
        <v>292350.2</v>
      </c>
      <c r="E17" s="29" t="s">
        <v>5</v>
      </c>
      <c r="F17" s="27">
        <f t="shared" si="1"/>
        <v>292350</v>
      </c>
      <c r="G17" s="20" t="str">
        <f>'表2_道路排水工程數量統計表 '!C8</f>
        <v>KG</v>
      </c>
    </row>
    <row r="18" spans="1:7" s="145" customFormat="1" ht="28.5">
      <c r="A18" s="202">
        <f t="shared" si="0"/>
        <v>12</v>
      </c>
      <c r="B18" s="49" t="s">
        <v>394</v>
      </c>
      <c r="C18" s="48" t="s">
        <v>238</v>
      </c>
      <c r="D18" s="54">
        <f>'表2_道路排水工程數量統計表 '!T9</f>
        <v>791.54</v>
      </c>
      <c r="E18" s="29" t="s">
        <v>5</v>
      </c>
      <c r="F18" s="27">
        <f t="shared" si="1"/>
        <v>792</v>
      </c>
      <c r="G18" s="20" t="str">
        <f>'表2_道路排水工程數量統計表 '!C9</f>
        <v>M3</v>
      </c>
    </row>
    <row r="19" spans="1:7" s="145" customFormat="1" ht="28.5">
      <c r="A19" s="202">
        <f t="shared" si="0"/>
        <v>13</v>
      </c>
      <c r="B19" s="49" t="s">
        <v>395</v>
      </c>
      <c r="C19" s="48" t="s">
        <v>238</v>
      </c>
      <c r="D19" s="54">
        <f>'表2_道路排水工程數量統計表 '!T10</f>
        <v>152.33000000000001</v>
      </c>
      <c r="E19" s="29" t="s">
        <v>5</v>
      </c>
      <c r="F19" s="27">
        <f t="shared" si="1"/>
        <v>152</v>
      </c>
      <c r="G19" s="20" t="str">
        <f>'表2_道路排水工程數量統計表 '!C10</f>
        <v>M3</v>
      </c>
    </row>
    <row r="20" spans="1:7" s="145" customFormat="1" ht="28.5">
      <c r="A20" s="202">
        <f t="shared" si="0"/>
        <v>14</v>
      </c>
      <c r="B20" s="49" t="s">
        <v>396</v>
      </c>
      <c r="C20" s="48" t="s">
        <v>238</v>
      </c>
      <c r="D20" s="54">
        <f>'表2_道路排水工程數量統計表 '!T11</f>
        <v>94</v>
      </c>
      <c r="E20" s="29" t="s">
        <v>5</v>
      </c>
      <c r="F20" s="27">
        <f t="shared" si="1"/>
        <v>94</v>
      </c>
      <c r="G20" s="20" t="str">
        <f>'表2_道路排水工程數量統計表 '!C11</f>
        <v>處</v>
      </c>
    </row>
    <row r="21" spans="1:7" s="145" customFormat="1" ht="28.5" customHeight="1">
      <c r="A21" s="202">
        <f t="shared" si="0"/>
        <v>15</v>
      </c>
      <c r="B21" s="49" t="s">
        <v>400</v>
      </c>
      <c r="C21" s="48" t="s">
        <v>238</v>
      </c>
      <c r="D21" s="54">
        <f>'表2_道路排水工程數量統計表 '!T12</f>
        <v>1880</v>
      </c>
      <c r="E21" s="29" t="s">
        <v>5</v>
      </c>
      <c r="F21" s="27">
        <f t="shared" si="1"/>
        <v>1880</v>
      </c>
      <c r="G21" s="20" t="str">
        <f>'表2_道路排水工程數量統計表 '!C12</f>
        <v>組</v>
      </c>
    </row>
    <row r="22" spans="1:7" s="145" customFormat="1" ht="28.5">
      <c r="A22" s="202">
        <f t="shared" si="0"/>
        <v>16</v>
      </c>
      <c r="B22" s="49" t="s">
        <v>366</v>
      </c>
      <c r="C22" s="48" t="s">
        <v>238</v>
      </c>
      <c r="D22" s="54" t="e">
        <f>'表2_道路排水工程數量統計表 '!T13</f>
        <v>#VALUE!</v>
      </c>
      <c r="E22" s="29" t="s">
        <v>5</v>
      </c>
      <c r="F22" s="27" t="e">
        <f t="shared" si="1"/>
        <v>#VALUE!</v>
      </c>
      <c r="G22" s="20" t="str">
        <f>'表2_道路排水工程數量統計表 '!C13</f>
        <v>M2</v>
      </c>
    </row>
    <row r="23" spans="1:7" s="145" customFormat="1" ht="28.5">
      <c r="A23" s="202">
        <f t="shared" si="0"/>
        <v>17</v>
      </c>
      <c r="B23" s="49" t="s">
        <v>397</v>
      </c>
      <c r="C23" s="48" t="s">
        <v>238</v>
      </c>
      <c r="D23" s="54">
        <f>'表2_道路排水工程數量統計表 '!T14</f>
        <v>2252</v>
      </c>
      <c r="E23" s="29" t="s">
        <v>5</v>
      </c>
      <c r="F23" s="27">
        <f t="shared" si="1"/>
        <v>2252</v>
      </c>
      <c r="G23" s="20" t="str">
        <f>'表2_道路排水工程數量統計表 '!C14</f>
        <v>M</v>
      </c>
    </row>
    <row r="24" spans="1:7" s="145" customFormat="1" ht="28.5">
      <c r="A24" s="202">
        <f t="shared" si="0"/>
        <v>18</v>
      </c>
      <c r="B24" s="49" t="s">
        <v>398</v>
      </c>
      <c r="C24" s="48" t="s">
        <v>238</v>
      </c>
      <c r="D24" s="54">
        <f>'表2_道路排水工程數量統計表 '!T15</f>
        <v>1497.22</v>
      </c>
      <c r="E24" s="29" t="s">
        <v>5</v>
      </c>
      <c r="F24" s="27">
        <f t="shared" si="1"/>
        <v>1497</v>
      </c>
      <c r="G24" s="20" t="str">
        <f>'表2_道路排水工程數量統計表 '!C15</f>
        <v>M3</v>
      </c>
    </row>
    <row r="25" spans="1:7" s="145" customFormat="1" ht="28.5">
      <c r="A25" s="202">
        <f t="shared" si="0"/>
        <v>19</v>
      </c>
      <c r="B25" s="49" t="s">
        <v>401</v>
      </c>
      <c r="C25" s="48" t="s">
        <v>238</v>
      </c>
      <c r="D25" s="54">
        <f>'表2_道路排水工程數量統計表 '!T16</f>
        <v>1764.18</v>
      </c>
      <c r="E25" s="29" t="s">
        <v>5</v>
      </c>
      <c r="F25" s="27">
        <f t="shared" si="1"/>
        <v>1764</v>
      </c>
      <c r="G25" s="20" t="str">
        <f>'表2_道路排水工程數量統計表 '!C16</f>
        <v>M3</v>
      </c>
    </row>
    <row r="26" spans="1:7" s="145" customFormat="1" ht="28.5">
      <c r="A26" s="202">
        <f t="shared" si="0"/>
        <v>20</v>
      </c>
      <c r="B26" s="49" t="s">
        <v>399</v>
      </c>
      <c r="C26" s="48" t="s">
        <v>238</v>
      </c>
      <c r="D26" s="54">
        <f>'表2_道路排水工程數量統計表 '!T17</f>
        <v>372</v>
      </c>
      <c r="E26" s="29" t="s">
        <v>5</v>
      </c>
      <c r="F26" s="27">
        <f t="shared" si="1"/>
        <v>372</v>
      </c>
      <c r="G26" s="20" t="str">
        <f>'表2_道路排水工程數量統計表 '!C17</f>
        <v>支</v>
      </c>
    </row>
    <row r="27" spans="1:7" s="145" customFormat="1" ht="28.5">
      <c r="A27" s="202">
        <f t="shared" si="0"/>
        <v>21</v>
      </c>
      <c r="B27" s="49" t="s">
        <v>367</v>
      </c>
      <c r="C27" s="48" t="s">
        <v>238</v>
      </c>
      <c r="D27" s="54">
        <f>'表2_道路排水工程數量統計表 '!T18</f>
        <v>8</v>
      </c>
      <c r="E27" s="29" t="s">
        <v>5</v>
      </c>
      <c r="F27" s="27">
        <f t="shared" si="1"/>
        <v>8</v>
      </c>
      <c r="G27" s="20" t="str">
        <f>'表2_道路排水工程數量統計表 '!C18</f>
        <v>組</v>
      </c>
    </row>
    <row r="28" spans="1:7" s="145" customFormat="1" ht="28.5">
      <c r="A28" s="202">
        <f t="shared" si="0"/>
        <v>22</v>
      </c>
      <c r="B28" s="49" t="s">
        <v>244</v>
      </c>
      <c r="C28" s="48" t="s">
        <v>238</v>
      </c>
      <c r="D28" s="54">
        <f>'表2_道路排水工程數量統計表 '!T19</f>
        <v>411.84</v>
      </c>
      <c r="E28" s="29" t="s">
        <v>5</v>
      </c>
      <c r="F28" s="27">
        <f t="shared" si="1"/>
        <v>412</v>
      </c>
      <c r="G28" s="20" t="str">
        <f>'表2_道路排水工程數量統計表 '!C19</f>
        <v>M2</v>
      </c>
    </row>
    <row r="29" spans="1:7" s="145" customFormat="1" ht="28.5">
      <c r="A29" s="202">
        <f t="shared" si="0"/>
        <v>23</v>
      </c>
      <c r="B29" s="49" t="s">
        <v>368</v>
      </c>
      <c r="C29" s="48" t="s">
        <v>238</v>
      </c>
      <c r="D29" s="54">
        <f>'表2_道路排水工程數量統計表 '!T20</f>
        <v>41.6</v>
      </c>
      <c r="E29" s="29" t="s">
        <v>5</v>
      </c>
      <c r="F29" s="27">
        <f t="shared" si="1"/>
        <v>42</v>
      </c>
      <c r="G29" s="20" t="str">
        <f>'表2_道路排水工程數量統計表 '!C20</f>
        <v>處</v>
      </c>
    </row>
    <row r="30" spans="1:7" s="145" customFormat="1" ht="28.5">
      <c r="A30" s="202">
        <f t="shared" si="0"/>
        <v>24</v>
      </c>
      <c r="B30" s="49" t="s">
        <v>369</v>
      </c>
      <c r="C30" s="48" t="s">
        <v>238</v>
      </c>
      <c r="D30" s="54">
        <f>'表2_道路排水工程數量統計表 '!T21</f>
        <v>171.5</v>
      </c>
      <c r="E30" s="29" t="s">
        <v>5</v>
      </c>
      <c r="F30" s="27">
        <f t="shared" si="1"/>
        <v>172</v>
      </c>
      <c r="G30" s="20" t="str">
        <f>'表2_道路排水工程數量統計表 '!C21</f>
        <v>處</v>
      </c>
    </row>
    <row r="31" spans="1:7" s="145" customFormat="1" ht="156.75">
      <c r="A31" s="202">
        <f t="shared" si="0"/>
        <v>25</v>
      </c>
      <c r="B31" s="49" t="s">
        <v>370</v>
      </c>
      <c r="C31" s="48" t="s">
        <v>443</v>
      </c>
      <c r="D31" s="26">
        <f>28.5+3.9+85.7+3.4+9.9</f>
        <v>131.4</v>
      </c>
      <c r="E31" s="29" t="s">
        <v>5</v>
      </c>
      <c r="F31" s="27">
        <f t="shared" si="1"/>
        <v>131</v>
      </c>
      <c r="G31" s="20" t="s">
        <v>13</v>
      </c>
    </row>
    <row r="32" spans="1:7" s="145" customFormat="1" ht="20.45" customHeight="1">
      <c r="A32" s="202">
        <f t="shared" si="0"/>
        <v>26</v>
      </c>
      <c r="B32" s="49" t="s">
        <v>416</v>
      </c>
      <c r="C32" s="48">
        <v>4</v>
      </c>
      <c r="D32" s="54">
        <f>C32</f>
        <v>4</v>
      </c>
      <c r="E32" s="29" t="s">
        <v>5</v>
      </c>
      <c r="F32" s="27">
        <f>ROUND(D32,0)</f>
        <v>4</v>
      </c>
      <c r="G32" s="20" t="s">
        <v>441</v>
      </c>
    </row>
    <row r="33" spans="1:7" s="145" customFormat="1" ht="28.5">
      <c r="A33" s="202">
        <f t="shared" si="0"/>
        <v>27</v>
      </c>
      <c r="B33" s="49" t="s">
        <v>417</v>
      </c>
      <c r="C33" s="48" t="s">
        <v>474</v>
      </c>
      <c r="D33" s="54">
        <f>(200-4)/1*2*0.5</f>
        <v>196</v>
      </c>
      <c r="E33" s="29" t="s">
        <v>5</v>
      </c>
      <c r="F33" s="27">
        <f>ROUND(D33,0)</f>
        <v>196</v>
      </c>
      <c r="G33" s="20" t="s">
        <v>440</v>
      </c>
    </row>
    <row r="34" spans="1:7" s="145" customFormat="1" ht="57">
      <c r="A34" s="202">
        <f t="shared" si="0"/>
        <v>28</v>
      </c>
      <c r="B34" s="49" t="s">
        <v>438</v>
      </c>
      <c r="C34" s="48" t="s">
        <v>442</v>
      </c>
      <c r="D34" s="54">
        <f>(1728.58+108.5)*2</f>
        <v>3674.16</v>
      </c>
      <c r="E34" s="29" t="s">
        <v>5</v>
      </c>
      <c r="F34" s="27">
        <f>ROUND(D34,0)</f>
        <v>3674</v>
      </c>
      <c r="G34" s="20" t="s">
        <v>439</v>
      </c>
    </row>
    <row r="35" spans="1:7" s="145" customFormat="1" ht="15.75">
      <c r="A35" s="202">
        <f t="shared" si="0"/>
        <v>29</v>
      </c>
      <c r="B35" s="49" t="s">
        <v>475</v>
      </c>
      <c r="C35" s="48" t="s">
        <v>477</v>
      </c>
      <c r="D35" s="54">
        <f>(15+13+10+6)/0.2</f>
        <v>220</v>
      </c>
      <c r="E35" s="29" t="s">
        <v>5</v>
      </c>
      <c r="F35" s="27">
        <f>ROUND(D35,0)</f>
        <v>220</v>
      </c>
      <c r="G35" s="20" t="s">
        <v>476</v>
      </c>
    </row>
    <row r="36" spans="1:7" s="144" customFormat="1" ht="20.45" customHeight="1">
      <c r="A36" s="20" t="s">
        <v>39</v>
      </c>
      <c r="B36" s="241" t="s">
        <v>405</v>
      </c>
      <c r="C36" s="241"/>
      <c r="D36" s="241"/>
      <c r="E36" s="241"/>
      <c r="F36" s="241"/>
      <c r="G36" s="241"/>
    </row>
    <row r="37" spans="1:7" s="145" customFormat="1" ht="20.45" customHeight="1">
      <c r="A37" s="202">
        <v>1</v>
      </c>
      <c r="B37" s="49" t="str">
        <f>表1_橋梁工程數量統計表!B6</f>
        <v>構造物開挖,砂土礫石，含抽水</v>
      </c>
      <c r="C37" s="48" t="s">
        <v>248</v>
      </c>
      <c r="D37" s="26">
        <f>表1_橋梁工程數量統計表!O6</f>
        <v>820.08</v>
      </c>
      <c r="E37" s="29" t="s">
        <v>5</v>
      </c>
      <c r="F37" s="27">
        <f t="shared" ref="F37:F66" si="2">ROUND(D37,0)</f>
        <v>820</v>
      </c>
      <c r="G37" s="53" t="str">
        <f>表1_橋梁工程數量統計表!C6</f>
        <v>M3</v>
      </c>
    </row>
    <row r="38" spans="1:7" s="145" customFormat="1" ht="20.45" customHeight="1">
      <c r="A38" s="202">
        <f t="shared" ref="A38:A76" si="3">A37+1</f>
        <v>2</v>
      </c>
      <c r="B38" s="49" t="str">
        <f>表1_橋梁工程數量統計表!B7</f>
        <v>構造物回填</v>
      </c>
      <c r="C38" s="48" t="s">
        <v>248</v>
      </c>
      <c r="D38" s="26">
        <f>表1_橋梁工程數量統計表!O7</f>
        <v>421.08</v>
      </c>
      <c r="E38" s="29" t="s">
        <v>5</v>
      </c>
      <c r="F38" s="27">
        <f t="shared" si="2"/>
        <v>421</v>
      </c>
      <c r="G38" s="53" t="str">
        <f>表1_橋梁工程數量統計表!C7</f>
        <v>M3</v>
      </c>
    </row>
    <row r="39" spans="1:7" s="145" customFormat="1" ht="28.5">
      <c r="A39" s="202">
        <f t="shared" si="3"/>
        <v>3</v>
      </c>
      <c r="B39" s="49" t="s">
        <v>371</v>
      </c>
      <c r="C39" s="48" t="s">
        <v>251</v>
      </c>
      <c r="D39" s="26">
        <f>F37-F38</f>
        <v>399</v>
      </c>
      <c r="E39" s="29" t="s">
        <v>5</v>
      </c>
      <c r="F39" s="27">
        <f t="shared" si="2"/>
        <v>399</v>
      </c>
      <c r="G39" s="53" t="s">
        <v>14</v>
      </c>
    </row>
    <row r="40" spans="1:7" s="145" customFormat="1" ht="99.75">
      <c r="A40" s="202">
        <f t="shared" si="3"/>
        <v>4</v>
      </c>
      <c r="B40" s="49" t="s">
        <v>391</v>
      </c>
      <c r="C40" s="48" t="s">
        <v>404</v>
      </c>
      <c r="D40" s="26">
        <f>166.2+483.09+152.03+99.22</f>
        <v>900.54</v>
      </c>
      <c r="E40" s="29" t="s">
        <v>5</v>
      </c>
      <c r="F40" s="27">
        <f>ROUND(D40,0)</f>
        <v>901</v>
      </c>
      <c r="G40" s="53" t="s">
        <v>14</v>
      </c>
    </row>
    <row r="41" spans="1:7" s="145" customFormat="1" ht="20.45" customHeight="1">
      <c r="A41" s="202">
        <f t="shared" si="3"/>
        <v>5</v>
      </c>
      <c r="B41" s="49" t="str">
        <f>表1_橋梁工程數量統計表!B8</f>
        <v>普通模板</v>
      </c>
      <c r="C41" s="48" t="s">
        <v>248</v>
      </c>
      <c r="D41" s="26">
        <f>表1_橋梁工程數量統計表!O8</f>
        <v>1272.57</v>
      </c>
      <c r="E41" s="29" t="s">
        <v>5</v>
      </c>
      <c r="F41" s="27">
        <f t="shared" si="2"/>
        <v>1273</v>
      </c>
      <c r="G41" s="53" t="str">
        <f>表1_橋梁工程數量統計表!C8</f>
        <v>M2</v>
      </c>
    </row>
    <row r="42" spans="1:7" s="145" customFormat="1" ht="20.45" customHeight="1">
      <c r="A42" s="202">
        <f t="shared" si="3"/>
        <v>6</v>
      </c>
      <c r="B42" s="49" t="str">
        <f>表1_橋梁工程數量統計表!B9</f>
        <v>鋼筋彎紮及組立SD280</v>
      </c>
      <c r="C42" s="48" t="s">
        <v>248</v>
      </c>
      <c r="D42" s="26">
        <f>表1_橋梁工程數量統計表!O9</f>
        <v>120758.72</v>
      </c>
      <c r="E42" s="29" t="s">
        <v>5</v>
      </c>
      <c r="F42" s="27">
        <f t="shared" si="2"/>
        <v>120759</v>
      </c>
      <c r="G42" s="53" t="str">
        <f>表1_橋梁工程數量統計表!C9</f>
        <v>KG</v>
      </c>
    </row>
    <row r="43" spans="1:7" s="145" customFormat="1" ht="20.45" customHeight="1">
      <c r="A43" s="202">
        <f t="shared" si="3"/>
        <v>7</v>
      </c>
      <c r="B43" s="49" t="str">
        <f>表1_橋梁工程數量統計表!B10</f>
        <v>鋼筋彎紮及組立SD420</v>
      </c>
      <c r="C43" s="48" t="s">
        <v>248</v>
      </c>
      <c r="D43" s="26">
        <f>表1_橋梁工程數量統計表!O10</f>
        <v>181912.05</v>
      </c>
      <c r="E43" s="29" t="s">
        <v>5</v>
      </c>
      <c r="F43" s="27">
        <f t="shared" si="2"/>
        <v>181912</v>
      </c>
      <c r="G43" s="53" t="str">
        <f>表1_橋梁工程數量統計表!C10</f>
        <v>KG</v>
      </c>
    </row>
    <row r="44" spans="1:7" s="145" customFormat="1" ht="20.45" customHeight="1">
      <c r="A44" s="202">
        <f t="shared" si="3"/>
        <v>8</v>
      </c>
      <c r="B44" s="49" t="str">
        <f>表1_橋梁工程數量統計表!B11</f>
        <v>280KG/CM2預拌混凝土含澆置</v>
      </c>
      <c r="C44" s="48" t="s">
        <v>248</v>
      </c>
      <c r="D44" s="26">
        <f>表1_橋梁工程數量統計表!O11</f>
        <v>1427.09</v>
      </c>
      <c r="E44" s="29" t="s">
        <v>5</v>
      </c>
      <c r="F44" s="27">
        <f t="shared" si="2"/>
        <v>1427</v>
      </c>
      <c r="G44" s="53" t="str">
        <f>表1_橋梁工程數量統計表!C11</f>
        <v>M3</v>
      </c>
    </row>
    <row r="45" spans="1:7" s="146" customFormat="1" ht="20.45" customHeight="1">
      <c r="A45" s="202">
        <f t="shared" si="3"/>
        <v>9</v>
      </c>
      <c r="B45" s="49" t="str">
        <f>表1_橋梁工程數量統計表!B12</f>
        <v>140KG/CM2預拌混凝土含澆置</v>
      </c>
      <c r="C45" s="48" t="s">
        <v>248</v>
      </c>
      <c r="D45" s="26">
        <f>表1_橋梁工程數量統計表!O12</f>
        <v>47.64</v>
      </c>
      <c r="E45" s="29" t="s">
        <v>5</v>
      </c>
      <c r="F45" s="27">
        <f t="shared" si="2"/>
        <v>48</v>
      </c>
      <c r="G45" s="53" t="str">
        <f>表1_橋梁工程數量統計表!C12</f>
        <v>M3</v>
      </c>
    </row>
    <row r="46" spans="1:7" s="145" customFormat="1" ht="20.45" customHeight="1">
      <c r="A46" s="202">
        <f t="shared" si="3"/>
        <v>10</v>
      </c>
      <c r="B46" s="49" t="str">
        <f>表1_橋梁工程數量統計表!B13</f>
        <v>支承墊剪力鋼棒處理</v>
      </c>
      <c r="C46" s="48" t="s">
        <v>248</v>
      </c>
      <c r="D46" s="26">
        <f>表1_橋梁工程數量統計表!O13</f>
        <v>16</v>
      </c>
      <c r="E46" s="29" t="s">
        <v>5</v>
      </c>
      <c r="F46" s="27">
        <f t="shared" si="2"/>
        <v>16</v>
      </c>
      <c r="G46" s="53" t="str">
        <f>表1_橋梁工程數量統計表!C13</f>
        <v>組</v>
      </c>
    </row>
    <row r="47" spans="1:7" s="145" customFormat="1" ht="20.45" customHeight="1">
      <c r="A47" s="202">
        <f t="shared" si="3"/>
        <v>11</v>
      </c>
      <c r="B47" s="49" t="str">
        <f>表1_橋梁工程數量統計表!B14</f>
        <v>合成橡膠支承墊及安裝(80*60*5.5cm)</v>
      </c>
      <c r="C47" s="48" t="s">
        <v>248</v>
      </c>
      <c r="D47" s="54">
        <f>表1_橋梁工程數量統計表!O14</f>
        <v>24</v>
      </c>
      <c r="E47" s="29" t="s">
        <v>5</v>
      </c>
      <c r="F47" s="27">
        <f t="shared" si="2"/>
        <v>24</v>
      </c>
      <c r="G47" s="53" t="str">
        <f>表1_橋梁工程數量統計表!C14</f>
        <v>組</v>
      </c>
    </row>
    <row r="48" spans="1:7" s="145" customFormat="1" ht="20.45" customHeight="1">
      <c r="A48" s="202">
        <f t="shared" si="3"/>
        <v>12</v>
      </c>
      <c r="B48" s="49" t="str">
        <f>表1_橋梁工程數量統計表!B15</f>
        <v>鋼模組立</v>
      </c>
      <c r="C48" s="48" t="s">
        <v>248</v>
      </c>
      <c r="D48" s="26">
        <f>表1_橋梁工程數量統計表!O15</f>
        <v>3248.8</v>
      </c>
      <c r="E48" s="29" t="s">
        <v>5</v>
      </c>
      <c r="F48" s="27">
        <f t="shared" si="2"/>
        <v>3249</v>
      </c>
      <c r="G48" s="53" t="str">
        <f>表1_橋梁工程數量統計表!C15</f>
        <v>M2</v>
      </c>
    </row>
    <row r="49" spans="1:7" s="145" customFormat="1" ht="20.45" customHeight="1">
      <c r="A49" s="202">
        <f t="shared" si="3"/>
        <v>13</v>
      </c>
      <c r="B49" s="49" t="str">
        <f>表1_橋梁工程數量統計表!B16</f>
        <v>普通模板(作業高度超過2公尺)</v>
      </c>
      <c r="C49" s="48" t="s">
        <v>248</v>
      </c>
      <c r="D49" s="26">
        <f>表1_橋梁工程數量統計表!O16</f>
        <v>2414.39</v>
      </c>
      <c r="E49" s="29" t="s">
        <v>5</v>
      </c>
      <c r="F49" s="27">
        <f t="shared" si="2"/>
        <v>2414</v>
      </c>
      <c r="G49" s="53" t="str">
        <f>表1_橋梁工程數量統計表!C16</f>
        <v>M2</v>
      </c>
    </row>
    <row r="50" spans="1:7" s="145" customFormat="1" ht="20.45" customHeight="1">
      <c r="A50" s="202">
        <f t="shared" si="3"/>
        <v>14</v>
      </c>
      <c r="B50" s="49" t="str">
        <f>表1_橋梁工程數量統計表!B17</f>
        <v>橋面排水含金屬柵欄</v>
      </c>
      <c r="C50" s="48" t="s">
        <v>248</v>
      </c>
      <c r="D50" s="26">
        <f>表1_橋梁工程數量統計表!O17</f>
        <v>50</v>
      </c>
      <c r="E50" s="29" t="s">
        <v>5</v>
      </c>
      <c r="F50" s="27">
        <f t="shared" si="2"/>
        <v>50</v>
      </c>
      <c r="G50" s="53" t="str">
        <f>表1_橋梁工程數量統計表!C17</f>
        <v>組</v>
      </c>
    </row>
    <row r="51" spans="1:7" s="145" customFormat="1" ht="20.45" customHeight="1">
      <c r="A51" s="202">
        <f t="shared" si="3"/>
        <v>15</v>
      </c>
      <c r="B51" s="49" t="str">
        <f>表1_橋梁工程數量統計表!B18</f>
        <v>齒型伸縮縫及安裝</v>
      </c>
      <c r="C51" s="48" t="s">
        <v>248</v>
      </c>
      <c r="D51" s="26">
        <f>表1_橋梁工程數量統計表!O18</f>
        <v>18</v>
      </c>
      <c r="E51" s="29" t="s">
        <v>5</v>
      </c>
      <c r="F51" s="27">
        <f t="shared" si="2"/>
        <v>18</v>
      </c>
      <c r="G51" s="53" t="str">
        <f>表1_橋梁工程數量統計表!C18</f>
        <v>M</v>
      </c>
    </row>
    <row r="52" spans="1:7" s="145" customFormat="1" ht="20.45" customHeight="1">
      <c r="A52" s="202">
        <f t="shared" si="3"/>
        <v>16</v>
      </c>
      <c r="B52" s="49" t="s">
        <v>206</v>
      </c>
      <c r="C52" s="48" t="s">
        <v>418</v>
      </c>
      <c r="D52" s="54">
        <f>(9-2.6)*9*12.7*2</f>
        <v>1463.04</v>
      </c>
      <c r="E52" s="29" t="s">
        <v>5</v>
      </c>
      <c r="F52" s="27">
        <f t="shared" si="2"/>
        <v>1463</v>
      </c>
      <c r="G52" s="53" t="s">
        <v>419</v>
      </c>
    </row>
    <row r="53" spans="1:7" s="145" customFormat="1" ht="20.45" customHeight="1">
      <c r="A53" s="202">
        <f t="shared" si="3"/>
        <v>17</v>
      </c>
      <c r="B53" s="49" t="str">
        <f>表1_橋梁工程數量統計表!B19</f>
        <v>鉸接處理</v>
      </c>
      <c r="C53" s="48" t="s">
        <v>248</v>
      </c>
      <c r="D53" s="26">
        <f>表1_橋梁工程數量統計表!O19</f>
        <v>2</v>
      </c>
      <c r="E53" s="29" t="s">
        <v>5</v>
      </c>
      <c r="F53" s="27">
        <f t="shared" si="2"/>
        <v>2</v>
      </c>
      <c r="G53" s="53" t="str">
        <f>表1_橋梁工程數量統計表!C19</f>
        <v>處</v>
      </c>
    </row>
    <row r="54" spans="1:7" s="145" customFormat="1" ht="20.45" customHeight="1">
      <c r="A54" s="202">
        <f t="shared" si="3"/>
        <v>18</v>
      </c>
      <c r="B54" s="49" t="str">
        <f>表1_橋梁工程數量統計表!B20</f>
        <v>金屬橋欄杆，鋼管</v>
      </c>
      <c r="C54" s="48" t="s">
        <v>248</v>
      </c>
      <c r="D54" s="26">
        <f>表1_橋梁工程數量統計表!O20</f>
        <v>250</v>
      </c>
      <c r="E54" s="29" t="s">
        <v>5</v>
      </c>
      <c r="F54" s="27">
        <f t="shared" si="2"/>
        <v>250</v>
      </c>
      <c r="G54" s="53" t="str">
        <f>表1_橋梁工程數量統計表!C20</f>
        <v>M</v>
      </c>
    </row>
    <row r="55" spans="1:7" s="145" customFormat="1" ht="20.45" customHeight="1">
      <c r="A55" s="202">
        <f t="shared" si="3"/>
        <v>19</v>
      </c>
      <c r="B55" s="49" t="str">
        <f>表1_橋梁工程數量統計表!B21</f>
        <v>350KG/CM2預拌混凝土含澆置</v>
      </c>
      <c r="C55" s="48" t="s">
        <v>248</v>
      </c>
      <c r="D55" s="26">
        <f>表1_橋梁工程數量統計表!O21</f>
        <v>8.58</v>
      </c>
      <c r="E55" s="29" t="s">
        <v>5</v>
      </c>
      <c r="F55" s="27">
        <f t="shared" si="2"/>
        <v>9</v>
      </c>
      <c r="G55" s="53" t="str">
        <f>表1_橋梁工程數量統計表!C21</f>
        <v>M3</v>
      </c>
    </row>
    <row r="56" spans="1:7" s="145" customFormat="1" ht="20.45" customHeight="1">
      <c r="A56" s="202">
        <f t="shared" si="3"/>
        <v>20</v>
      </c>
      <c r="B56" s="49" t="str">
        <f>表1_橋梁工程數量統計表!B22</f>
        <v>填縫板</v>
      </c>
      <c r="C56" s="48" t="s">
        <v>248</v>
      </c>
      <c r="D56" s="26">
        <f>表1_橋梁工程數量統計表!O22</f>
        <v>6.48</v>
      </c>
      <c r="E56" s="29" t="s">
        <v>5</v>
      </c>
      <c r="F56" s="27">
        <f t="shared" si="2"/>
        <v>6</v>
      </c>
      <c r="G56" s="53" t="str">
        <f>表1_橋梁工程數量統計表!C22</f>
        <v>M2</v>
      </c>
    </row>
    <row r="57" spans="1:7" s="145" customFormat="1" ht="20.45" customHeight="1">
      <c r="A57" s="202">
        <f t="shared" si="3"/>
        <v>21</v>
      </c>
      <c r="B57" s="49" t="str">
        <f>表1_橋梁工程數量統計表!B23</f>
        <v>420KG/CM2預拌混凝土含澆置</v>
      </c>
      <c r="C57" s="48" t="s">
        <v>248</v>
      </c>
      <c r="D57" s="26">
        <f>表1_橋梁工程數量統計表!O23</f>
        <v>590</v>
      </c>
      <c r="E57" s="29" t="s">
        <v>5</v>
      </c>
      <c r="F57" s="27">
        <f t="shared" si="2"/>
        <v>590</v>
      </c>
      <c r="G57" s="53" t="str">
        <f>表1_橋梁工程數量統計表!C23</f>
        <v>M3</v>
      </c>
    </row>
    <row r="58" spans="1:7" s="145" customFormat="1" ht="20.45" customHeight="1">
      <c r="A58" s="202">
        <f t="shared" si="3"/>
        <v>22</v>
      </c>
      <c r="B58" s="49" t="str">
        <f>表1_橋梁工程數量統計表!B24</f>
        <v>13根∮12.7㎜鋼鉸線</v>
      </c>
      <c r="C58" s="48" t="s">
        <v>248</v>
      </c>
      <c r="D58" s="26">
        <f>表1_橋梁工程數量統計表!O24</f>
        <v>24206.720000000001</v>
      </c>
      <c r="E58" s="29" t="s">
        <v>5</v>
      </c>
      <c r="F58" s="27">
        <f t="shared" si="2"/>
        <v>24207</v>
      </c>
      <c r="G58" s="53" t="str">
        <f>表1_橋梁工程數量統計表!C24</f>
        <v>KG</v>
      </c>
    </row>
    <row r="59" spans="1:7" s="145" customFormat="1" ht="20.45" customHeight="1">
      <c r="A59" s="202">
        <f t="shared" si="3"/>
        <v>23</v>
      </c>
      <c r="B59" s="49" t="s">
        <v>372</v>
      </c>
      <c r="C59" s="48" t="s">
        <v>248</v>
      </c>
      <c r="D59" s="26">
        <f>表1_橋梁工程數量統計表!O25</f>
        <v>3496.48</v>
      </c>
      <c r="E59" s="29" t="s">
        <v>5</v>
      </c>
      <c r="F59" s="27">
        <f t="shared" si="2"/>
        <v>3496</v>
      </c>
      <c r="G59" s="53" t="str">
        <f>表1_橋梁工程數量統計表!C25</f>
        <v>M</v>
      </c>
    </row>
    <row r="60" spans="1:7" s="145" customFormat="1" ht="20.45" customHeight="1">
      <c r="A60" s="202">
        <f t="shared" si="3"/>
        <v>24</v>
      </c>
      <c r="B60" s="49" t="str">
        <f>表1_橋梁工程數量統計表!B26</f>
        <v>∮9.0㎝套管灌漿</v>
      </c>
      <c r="C60" s="48" t="s">
        <v>248</v>
      </c>
      <c r="D60" s="26">
        <f>表1_橋梁工程數量統計表!O26</f>
        <v>3538.48</v>
      </c>
      <c r="E60" s="29" t="s">
        <v>5</v>
      </c>
      <c r="F60" s="27">
        <f t="shared" si="2"/>
        <v>3538</v>
      </c>
      <c r="G60" s="53" t="str">
        <f>表1_橋梁工程數量統計表!C26</f>
        <v>M</v>
      </c>
    </row>
    <row r="61" spans="1:7" s="145" customFormat="1">
      <c r="A61" s="202">
        <f t="shared" si="3"/>
        <v>25</v>
      </c>
      <c r="B61" s="49" t="str">
        <f>表1_橋梁工程數量統計表!B27</f>
        <v>13根-12.7㎜錨錐</v>
      </c>
      <c r="C61" s="48" t="s">
        <v>248</v>
      </c>
      <c r="D61" s="26">
        <f>表1_橋梁工程數量統計表!O27</f>
        <v>112</v>
      </c>
      <c r="E61" s="29" t="s">
        <v>5</v>
      </c>
      <c r="F61" s="27">
        <f t="shared" si="2"/>
        <v>112</v>
      </c>
      <c r="G61" s="53" t="str">
        <f>表1_橋梁工程數量統計表!C27</f>
        <v>付</v>
      </c>
    </row>
    <row r="62" spans="1:7" s="145" customFormat="1" ht="20.45" customHeight="1">
      <c r="A62" s="202">
        <f t="shared" si="3"/>
        <v>26</v>
      </c>
      <c r="B62" s="49" t="s">
        <v>382</v>
      </c>
      <c r="C62" s="48" t="s">
        <v>329</v>
      </c>
      <c r="D62" s="26">
        <f>125*2</f>
        <v>250</v>
      </c>
      <c r="E62" s="29" t="s">
        <v>5</v>
      </c>
      <c r="F62" s="27">
        <f>ROUND(D62,0)</f>
        <v>250</v>
      </c>
      <c r="G62" s="53" t="s">
        <v>383</v>
      </c>
    </row>
    <row r="63" spans="1:7" s="145" customFormat="1" ht="20.45" customHeight="1">
      <c r="A63" s="202">
        <f t="shared" si="3"/>
        <v>27</v>
      </c>
      <c r="B63" s="49" t="str">
        <f>表1_橋梁工程數量統計表!B28</f>
        <v>錨座補強處理</v>
      </c>
      <c r="C63" s="48" t="s">
        <v>248</v>
      </c>
      <c r="D63" s="26">
        <f>表1_橋梁工程數量統計表!O28</f>
        <v>12</v>
      </c>
      <c r="E63" s="29" t="s">
        <v>5</v>
      </c>
      <c r="F63" s="27">
        <f t="shared" si="2"/>
        <v>12</v>
      </c>
      <c r="G63" s="53" t="str">
        <f>表1_橋梁工程數量統計表!C28</f>
        <v>處</v>
      </c>
    </row>
    <row r="64" spans="1:7" s="145" customFormat="1" ht="20.45" customHeight="1">
      <c r="A64" s="202">
        <f t="shared" si="3"/>
        <v>28</v>
      </c>
      <c r="B64" s="49" t="str">
        <f>表1_橋梁工程數量統計表!B29</f>
        <v>17根∮12.7㎜鋼鉸線</v>
      </c>
      <c r="C64" s="48" t="s">
        <v>248</v>
      </c>
      <c r="D64" s="26">
        <f>表1_橋梁工程數量統計表!O29</f>
        <v>17667.52</v>
      </c>
      <c r="E64" s="29" t="s">
        <v>5</v>
      </c>
      <c r="F64" s="27">
        <f t="shared" si="2"/>
        <v>17668</v>
      </c>
      <c r="G64" s="53" t="str">
        <f>表1_橋梁工程數量統計表!C29</f>
        <v>KG</v>
      </c>
    </row>
    <row r="65" spans="1:7" s="145" customFormat="1" ht="20.45" customHeight="1">
      <c r="A65" s="202">
        <f t="shared" si="3"/>
        <v>29</v>
      </c>
      <c r="B65" s="49" t="str">
        <f>表1_橋梁工程數量統計表!B30</f>
        <v>17根-12.7㎜錨錐</v>
      </c>
      <c r="C65" s="48" t="s">
        <v>248</v>
      </c>
      <c r="D65" s="26">
        <f>表1_橋梁工程數量統計表!O30</f>
        <v>56</v>
      </c>
      <c r="E65" s="29" t="s">
        <v>5</v>
      </c>
      <c r="F65" s="27">
        <f t="shared" si="2"/>
        <v>56</v>
      </c>
      <c r="G65" s="53" t="str">
        <f>表1_橋梁工程數量統計表!C30</f>
        <v>付</v>
      </c>
    </row>
    <row r="66" spans="1:7" s="145" customFormat="1" ht="20.45" customHeight="1">
      <c r="A66" s="202">
        <f t="shared" si="3"/>
        <v>30</v>
      </c>
      <c r="B66" s="49" t="str">
        <f>表1_橋梁工程數量統計表!B31</f>
        <v>210KG/CM2預拌混凝土含澆置</v>
      </c>
      <c r="C66" s="48" t="s">
        <v>248</v>
      </c>
      <c r="D66" s="26">
        <f>表1_橋梁工程數量統計表!O31</f>
        <v>297.22000000000003</v>
      </c>
      <c r="E66" s="29" t="s">
        <v>5</v>
      </c>
      <c r="F66" s="27">
        <f t="shared" si="2"/>
        <v>297</v>
      </c>
      <c r="G66" s="53" t="str">
        <f>表1_橋梁工程數量統計表!C31</f>
        <v>M3</v>
      </c>
    </row>
    <row r="67" spans="1:7" s="145" customFormat="1" ht="28.5">
      <c r="A67" s="202">
        <f t="shared" si="3"/>
        <v>31</v>
      </c>
      <c r="B67" s="49" t="s">
        <v>384</v>
      </c>
      <c r="C67" s="208" t="s">
        <v>390</v>
      </c>
      <c r="D67" s="26">
        <f>4*2+5*2</f>
        <v>18</v>
      </c>
      <c r="E67" s="29" t="s">
        <v>5</v>
      </c>
      <c r="F67" s="27">
        <f t="shared" ref="F67:F76" si="4">ROUND(D67,0)</f>
        <v>18</v>
      </c>
      <c r="G67" s="53" t="s">
        <v>37</v>
      </c>
    </row>
    <row r="68" spans="1:7" s="145" customFormat="1" ht="28.5">
      <c r="A68" s="202">
        <f t="shared" si="3"/>
        <v>32</v>
      </c>
      <c r="B68" s="49" t="s">
        <v>385</v>
      </c>
      <c r="C68" s="48" t="s">
        <v>406</v>
      </c>
      <c r="D68" s="26">
        <f>5*2*10+4*2*10</f>
        <v>180</v>
      </c>
      <c r="E68" s="29" t="s">
        <v>5</v>
      </c>
      <c r="F68" s="27">
        <f t="shared" si="4"/>
        <v>180</v>
      </c>
      <c r="G68" s="53" t="s">
        <v>311</v>
      </c>
    </row>
    <row r="69" spans="1:7" s="145" customFormat="1" ht="28.5">
      <c r="A69" s="202">
        <f t="shared" si="3"/>
        <v>33</v>
      </c>
      <c r="B69" s="49" t="s">
        <v>386</v>
      </c>
      <c r="C69" s="208" t="str">
        <f>D68&amp;"*4"</f>
        <v>180*4</v>
      </c>
      <c r="D69" s="26">
        <f>D68*4</f>
        <v>720</v>
      </c>
      <c r="E69" s="29" t="s">
        <v>5</v>
      </c>
      <c r="F69" s="27">
        <f t="shared" si="4"/>
        <v>720</v>
      </c>
      <c r="G69" s="53" t="s">
        <v>311</v>
      </c>
    </row>
    <row r="70" spans="1:7" s="145" customFormat="1" ht="20.45" customHeight="1">
      <c r="A70" s="202">
        <f t="shared" si="3"/>
        <v>34</v>
      </c>
      <c r="B70" s="49" t="s">
        <v>387</v>
      </c>
      <c r="C70" s="48">
        <v>1</v>
      </c>
      <c r="D70" s="26">
        <f>C70</f>
        <v>1</v>
      </c>
      <c r="E70" s="29" t="s">
        <v>5</v>
      </c>
      <c r="F70" s="27">
        <f t="shared" si="4"/>
        <v>1</v>
      </c>
      <c r="G70" s="53" t="s">
        <v>61</v>
      </c>
    </row>
    <row r="71" spans="1:7" s="145" customFormat="1" ht="20.45" customHeight="1">
      <c r="A71" s="202">
        <f t="shared" si="3"/>
        <v>35</v>
      </c>
      <c r="B71" s="49" t="s">
        <v>388</v>
      </c>
      <c r="C71" s="48">
        <v>12</v>
      </c>
      <c r="D71" s="26">
        <f>C71</f>
        <v>12</v>
      </c>
      <c r="E71" s="29" t="s">
        <v>5</v>
      </c>
      <c r="F71" s="27">
        <f t="shared" si="4"/>
        <v>12</v>
      </c>
      <c r="G71" s="53" t="s">
        <v>389</v>
      </c>
    </row>
    <row r="72" spans="1:7" s="145" customFormat="1" ht="20.45" customHeight="1">
      <c r="A72" s="202">
        <f t="shared" si="3"/>
        <v>36</v>
      </c>
      <c r="B72" s="49" t="s">
        <v>426</v>
      </c>
      <c r="C72" s="48">
        <v>20</v>
      </c>
      <c r="D72" s="26">
        <f>C72</f>
        <v>20</v>
      </c>
      <c r="E72" s="29" t="s">
        <v>5</v>
      </c>
      <c r="F72" s="27">
        <f t="shared" si="4"/>
        <v>20</v>
      </c>
      <c r="G72" s="53" t="s">
        <v>421</v>
      </c>
    </row>
    <row r="73" spans="1:7" s="145" customFormat="1" ht="39.950000000000003" customHeight="1">
      <c r="A73" s="202">
        <f t="shared" si="3"/>
        <v>37</v>
      </c>
      <c r="B73" s="49" t="s">
        <v>478</v>
      </c>
      <c r="C73" s="48" t="s">
        <v>420</v>
      </c>
      <c r="D73" s="26">
        <f>20*10</f>
        <v>200</v>
      </c>
      <c r="E73" s="29" t="s">
        <v>5</v>
      </c>
      <c r="F73" s="27">
        <f t="shared" si="4"/>
        <v>200</v>
      </c>
      <c r="G73" s="53" t="s">
        <v>422</v>
      </c>
    </row>
    <row r="74" spans="1:7" s="145" customFormat="1" ht="39.950000000000003" customHeight="1">
      <c r="A74" s="202">
        <f t="shared" si="3"/>
        <v>38</v>
      </c>
      <c r="B74" s="49" t="s">
        <v>425</v>
      </c>
      <c r="C74" s="48" t="s">
        <v>409</v>
      </c>
      <c r="D74" s="26">
        <f>(2.4*3.14/2*8)*2</f>
        <v>60.287999999999997</v>
      </c>
      <c r="E74" s="29" t="s">
        <v>5</v>
      </c>
      <c r="F74" s="27">
        <f t="shared" si="4"/>
        <v>60</v>
      </c>
      <c r="G74" s="53" t="s">
        <v>408</v>
      </c>
    </row>
    <row r="75" spans="1:7" s="145" customFormat="1" ht="20.45" customHeight="1">
      <c r="A75" s="202">
        <f t="shared" si="3"/>
        <v>39</v>
      </c>
      <c r="B75" s="49" t="s">
        <v>423</v>
      </c>
      <c r="C75" s="48" t="str">
        <f>表1_橋梁工程數量統計表!E13&amp;"+"&amp;+表1_橋梁工程數量統計表!E15</f>
        <v>8+164.28</v>
      </c>
      <c r="D75" s="26">
        <f>表1_橋梁工程數量統計表!E13+表1_橋梁工程數量統計表!E15</f>
        <v>172.28</v>
      </c>
      <c r="E75" s="29" t="s">
        <v>5</v>
      </c>
      <c r="F75" s="27">
        <f t="shared" si="4"/>
        <v>172</v>
      </c>
      <c r="G75" s="53" t="s">
        <v>424</v>
      </c>
    </row>
    <row r="76" spans="1:7" s="145" customFormat="1" ht="20.45" customHeight="1">
      <c r="A76" s="202">
        <f t="shared" si="3"/>
        <v>40</v>
      </c>
      <c r="B76" s="49" t="s">
        <v>472</v>
      </c>
      <c r="C76" s="48">
        <f>表1_橋梁工程數量統計表!L5*2</f>
        <v>62.6</v>
      </c>
      <c r="D76" s="26">
        <f>C76</f>
        <v>62.6</v>
      </c>
      <c r="E76" s="29" t="s">
        <v>5</v>
      </c>
      <c r="F76" s="27">
        <f t="shared" si="4"/>
        <v>63</v>
      </c>
      <c r="G76" s="53" t="s">
        <v>473</v>
      </c>
    </row>
    <row r="77" spans="1:7" s="145" customFormat="1" ht="20.45" customHeight="1">
      <c r="A77" s="20" t="s">
        <v>76</v>
      </c>
      <c r="B77" s="247" t="s">
        <v>260</v>
      </c>
      <c r="C77" s="248"/>
      <c r="D77" s="248"/>
      <c r="E77" s="248"/>
      <c r="F77" s="248"/>
      <c r="G77" s="249"/>
    </row>
    <row r="78" spans="1:7" s="145" customFormat="1" ht="20.45" customHeight="1">
      <c r="A78" s="202">
        <v>1</v>
      </c>
      <c r="B78" s="49" t="s">
        <v>263</v>
      </c>
      <c r="C78" s="201" t="s">
        <v>436</v>
      </c>
      <c r="D78" s="26">
        <f>(30+30+30+10)*4*2</f>
        <v>800</v>
      </c>
      <c r="E78" s="29" t="s">
        <v>5</v>
      </c>
      <c r="F78" s="203">
        <f>ROUND(D78,0)</f>
        <v>800</v>
      </c>
      <c r="G78" s="53" t="s">
        <v>14</v>
      </c>
    </row>
    <row r="79" spans="1:7" s="145" customFormat="1" ht="20.45" customHeight="1">
      <c r="A79" s="202">
        <v>2</v>
      </c>
      <c r="B79" s="49" t="s">
        <v>261</v>
      </c>
      <c r="C79" s="201" t="s">
        <v>437</v>
      </c>
      <c r="D79" s="26">
        <f>(30+30+30+10)*9*1.02</f>
        <v>918</v>
      </c>
      <c r="E79" s="29" t="s">
        <v>5</v>
      </c>
      <c r="F79" s="203">
        <f>ROUND(D79,0)</f>
        <v>918</v>
      </c>
      <c r="G79" s="53" t="s">
        <v>13</v>
      </c>
    </row>
    <row r="80" spans="1:7" s="145" customFormat="1" ht="20.45" customHeight="1">
      <c r="A80" s="20" t="s">
        <v>77</v>
      </c>
      <c r="B80" s="244" t="s">
        <v>432</v>
      </c>
      <c r="C80" s="245"/>
      <c r="D80" s="245"/>
      <c r="E80" s="245"/>
      <c r="F80" s="245"/>
      <c r="G80" s="246"/>
    </row>
    <row r="81" spans="1:7" s="145" customFormat="1" ht="20.45" customHeight="1">
      <c r="A81" s="20">
        <v>1</v>
      </c>
      <c r="B81" s="222" t="s">
        <v>434</v>
      </c>
      <c r="C81" s="142">
        <v>416</v>
      </c>
      <c r="D81" s="26">
        <f>C81</f>
        <v>416</v>
      </c>
      <c r="E81" s="29" t="s">
        <v>5</v>
      </c>
      <c r="F81" s="203">
        <f>ROUND(D81,0)</f>
        <v>416</v>
      </c>
      <c r="G81" s="20" t="s">
        <v>435</v>
      </c>
    </row>
    <row r="82" spans="1:7" s="145" customFormat="1" ht="20.45" customHeight="1">
      <c r="A82" s="20">
        <f>A81+1</f>
        <v>2</v>
      </c>
      <c r="B82" s="222" t="s">
        <v>433</v>
      </c>
      <c r="C82" s="142">
        <v>1</v>
      </c>
      <c r="D82" s="26">
        <f>C82</f>
        <v>1</v>
      </c>
      <c r="E82" s="29" t="s">
        <v>5</v>
      </c>
      <c r="F82" s="203">
        <f>ROUND(D82,0)</f>
        <v>1</v>
      </c>
      <c r="G82" s="20" t="s">
        <v>30</v>
      </c>
    </row>
    <row r="83" spans="1:7" s="145" customFormat="1" ht="20.45" customHeight="1">
      <c r="A83" s="20" t="s">
        <v>277</v>
      </c>
      <c r="B83" s="244" t="s">
        <v>265</v>
      </c>
      <c r="C83" s="245"/>
      <c r="D83" s="245"/>
      <c r="E83" s="245"/>
      <c r="F83" s="245"/>
      <c r="G83" s="246"/>
    </row>
    <row r="84" spans="1:7" s="145" customFormat="1" ht="20.45" customHeight="1">
      <c r="A84" s="20">
        <v>1</v>
      </c>
      <c r="B84" s="222" t="s">
        <v>407</v>
      </c>
      <c r="C84" s="142" t="s">
        <v>402</v>
      </c>
      <c r="D84" s="26">
        <f>26.2+48+39.3+73.9</f>
        <v>187.4</v>
      </c>
      <c r="E84" s="29" t="s">
        <v>5</v>
      </c>
      <c r="F84" s="203">
        <f>ROUND(D84,0)</f>
        <v>187</v>
      </c>
      <c r="G84" s="20" t="s">
        <v>57</v>
      </c>
    </row>
    <row r="85" spans="1:7" s="145" customFormat="1" ht="20.45" customHeight="1">
      <c r="A85" s="20">
        <v>2</v>
      </c>
      <c r="B85" s="222" t="s">
        <v>310</v>
      </c>
      <c r="C85" s="142" t="s">
        <v>403</v>
      </c>
      <c r="D85" s="26">
        <f>((10.4+12.4)*2+(12.4+14.4)*2)*2</f>
        <v>198.4</v>
      </c>
      <c r="E85" s="29" t="s">
        <v>5</v>
      </c>
      <c r="F85" s="203">
        <f>ROUND(D85,0)</f>
        <v>198</v>
      </c>
      <c r="G85" s="20" t="s">
        <v>312</v>
      </c>
    </row>
    <row r="86" spans="1:7" s="145" customFormat="1" ht="200.1" customHeight="1">
      <c r="A86" s="20">
        <v>3</v>
      </c>
      <c r="B86" s="222" t="s">
        <v>309</v>
      </c>
      <c r="C86" s="48" t="s">
        <v>468</v>
      </c>
      <c r="D86" s="26">
        <f>(14726.8+20951.2+25033.6+32712.4)/1000</f>
        <v>93.424000000000007</v>
      </c>
      <c r="E86" s="29" t="s">
        <v>5</v>
      </c>
      <c r="F86" s="203">
        <f>ROUND(D86,2)</f>
        <v>93.42</v>
      </c>
      <c r="G86" s="20" t="s">
        <v>469</v>
      </c>
    </row>
    <row r="87" spans="1:7" s="145" customFormat="1" ht="39.950000000000003" customHeight="1">
      <c r="A87" s="20">
        <v>4</v>
      </c>
      <c r="B87" s="49" t="s">
        <v>427</v>
      </c>
      <c r="C87" s="48" t="s">
        <v>470</v>
      </c>
      <c r="D87" s="26">
        <f>9*2*2*93/1000</f>
        <v>3.3479999999999999</v>
      </c>
      <c r="E87" s="29" t="s">
        <v>5</v>
      </c>
      <c r="F87" s="203">
        <f>ROUND(D87,2)</f>
        <v>3.35</v>
      </c>
      <c r="G87" s="20" t="s">
        <v>429</v>
      </c>
    </row>
    <row r="88" spans="1:7" s="145" customFormat="1" ht="39.950000000000003" customHeight="1">
      <c r="A88" s="20">
        <v>5</v>
      </c>
      <c r="B88" s="49" t="s">
        <v>428</v>
      </c>
      <c r="C88" s="142" t="s">
        <v>471</v>
      </c>
      <c r="D88" s="26">
        <f>16*4*2*135/1000</f>
        <v>17.28</v>
      </c>
      <c r="E88" s="29" t="s">
        <v>5</v>
      </c>
      <c r="F88" s="203">
        <f>ROUND(D88,2)</f>
        <v>17.28</v>
      </c>
      <c r="G88" s="20" t="s">
        <v>430</v>
      </c>
    </row>
    <row r="89" spans="1:7" s="145" customFormat="1" ht="20.45" customHeight="1">
      <c r="A89" s="20">
        <v>6</v>
      </c>
      <c r="B89" s="222" t="s">
        <v>308</v>
      </c>
      <c r="C89" s="142">
        <v>1</v>
      </c>
      <c r="D89" s="26">
        <f>C89</f>
        <v>1</v>
      </c>
      <c r="E89" s="29" t="s">
        <v>5</v>
      </c>
      <c r="F89" s="203">
        <f>ROUND(D89,0)</f>
        <v>1</v>
      </c>
      <c r="G89" s="20" t="s">
        <v>61</v>
      </c>
    </row>
    <row r="90" spans="1:7" s="145" customFormat="1" ht="20.45" customHeight="1">
      <c r="A90" s="20">
        <v>7</v>
      </c>
      <c r="B90" s="222" t="s">
        <v>307</v>
      </c>
      <c r="C90" s="142">
        <v>20000</v>
      </c>
      <c r="D90" s="26">
        <f>C90</f>
        <v>20000</v>
      </c>
      <c r="E90" s="29" t="s">
        <v>5</v>
      </c>
      <c r="F90" s="203">
        <f>ROUND(D90,0)</f>
        <v>20000</v>
      </c>
      <c r="G90" s="20" t="s">
        <v>313</v>
      </c>
    </row>
    <row r="91" spans="1:7" s="145" customFormat="1" ht="20.45" customHeight="1">
      <c r="A91" s="20" t="s">
        <v>90</v>
      </c>
      <c r="B91" s="244" t="s">
        <v>84</v>
      </c>
      <c r="C91" s="245"/>
      <c r="D91" s="245"/>
      <c r="E91" s="245"/>
      <c r="F91" s="245"/>
      <c r="G91" s="246"/>
    </row>
    <row r="92" spans="1:7" s="145" customFormat="1" ht="20.45" customHeight="1">
      <c r="A92" s="20">
        <v>1</v>
      </c>
      <c r="B92" s="222" t="s">
        <v>125</v>
      </c>
      <c r="C92" s="142">
        <v>1</v>
      </c>
      <c r="D92" s="26">
        <f>C92</f>
        <v>1</v>
      </c>
      <c r="E92" s="29" t="s">
        <v>5</v>
      </c>
      <c r="F92" s="203">
        <f>ROUND(D92,0)</f>
        <v>1</v>
      </c>
      <c r="G92" s="20" t="s">
        <v>30</v>
      </c>
    </row>
    <row r="93" spans="1:7" s="145" customFormat="1" ht="20.45" customHeight="1">
      <c r="A93" s="20">
        <f>A92+1</f>
        <v>2</v>
      </c>
      <c r="B93" s="222" t="s">
        <v>100</v>
      </c>
      <c r="C93" s="142">
        <v>6</v>
      </c>
      <c r="D93" s="26">
        <f>C93</f>
        <v>6</v>
      </c>
      <c r="E93" s="29" t="s">
        <v>5</v>
      </c>
      <c r="F93" s="203">
        <f>ROUND(D93,0)</f>
        <v>6</v>
      </c>
      <c r="G93" s="20" t="s">
        <v>30</v>
      </c>
    </row>
    <row r="94" spans="1:7" s="145" customFormat="1" ht="20.45" customHeight="1">
      <c r="A94" s="20">
        <f>A93+1</f>
        <v>3</v>
      </c>
      <c r="B94" s="222" t="s">
        <v>379</v>
      </c>
      <c r="C94" s="142">
        <v>325</v>
      </c>
      <c r="D94" s="26">
        <f>C94</f>
        <v>325</v>
      </c>
      <c r="E94" s="29" t="s">
        <v>5</v>
      </c>
      <c r="F94" s="203">
        <f>ROUND(D94,0)</f>
        <v>325</v>
      </c>
      <c r="G94" s="20" t="s">
        <v>311</v>
      </c>
    </row>
    <row r="95" spans="1:7" s="145" customFormat="1" ht="20.45" customHeight="1">
      <c r="A95" s="20">
        <f>A94+1</f>
        <v>4</v>
      </c>
      <c r="B95" s="222" t="s">
        <v>380</v>
      </c>
      <c r="C95" s="142">
        <v>325</v>
      </c>
      <c r="D95" s="26">
        <f>C95</f>
        <v>325</v>
      </c>
      <c r="E95" s="29" t="s">
        <v>5</v>
      </c>
      <c r="F95" s="203">
        <f>ROUND(D95,0)</f>
        <v>325</v>
      </c>
      <c r="G95" s="20" t="s">
        <v>311</v>
      </c>
    </row>
    <row r="96" spans="1:7" s="145" customFormat="1" ht="20.45" customHeight="1">
      <c r="A96" s="20" t="s">
        <v>431</v>
      </c>
      <c r="B96" s="244" t="s">
        <v>111</v>
      </c>
      <c r="C96" s="245"/>
      <c r="D96" s="245"/>
      <c r="E96" s="245"/>
      <c r="F96" s="245"/>
      <c r="G96" s="246"/>
    </row>
    <row r="97" spans="1:7" s="145" customFormat="1" ht="20.45" customHeight="1">
      <c r="A97" s="20">
        <v>1</v>
      </c>
      <c r="B97" s="222" t="s">
        <v>303</v>
      </c>
      <c r="C97" s="142">
        <v>4</v>
      </c>
      <c r="D97" s="26">
        <f>C97</f>
        <v>4</v>
      </c>
      <c r="E97" s="29" t="s">
        <v>5</v>
      </c>
      <c r="F97" s="203">
        <f>ROUND(D97,0)</f>
        <v>4</v>
      </c>
      <c r="G97" s="20" t="s">
        <v>305</v>
      </c>
    </row>
    <row r="98" spans="1:7" s="145" customFormat="1" ht="20.45" customHeight="1">
      <c r="A98" s="20">
        <f>A97+1</f>
        <v>2</v>
      </c>
      <c r="B98" s="222" t="s">
        <v>304</v>
      </c>
      <c r="C98" s="142">
        <v>46</v>
      </c>
      <c r="D98" s="26">
        <f>C98</f>
        <v>46</v>
      </c>
      <c r="E98" s="29" t="s">
        <v>5</v>
      </c>
      <c r="F98" s="203">
        <f>ROUND(D98,0)</f>
        <v>46</v>
      </c>
      <c r="G98" s="20" t="s">
        <v>306</v>
      </c>
    </row>
    <row r="99" spans="1:7" s="145" customFormat="1" ht="18" customHeight="1">
      <c r="A99" s="20"/>
      <c r="B99" s="142"/>
      <c r="C99" s="142"/>
      <c r="D99" s="26"/>
      <c r="E99" s="29"/>
      <c r="F99" s="27"/>
      <c r="G99" s="20"/>
    </row>
    <row r="100" spans="1:7" s="145" customFormat="1" ht="18" customHeight="1">
      <c r="A100" s="20" t="s">
        <v>91</v>
      </c>
      <c r="B100" s="241" t="s">
        <v>65</v>
      </c>
      <c r="C100" s="241"/>
      <c r="D100" s="241"/>
      <c r="E100" s="241"/>
      <c r="F100" s="241"/>
      <c r="G100" s="241"/>
    </row>
    <row r="101" spans="1:7" s="145" customFormat="1" ht="28.5">
      <c r="A101" s="20">
        <v>1</v>
      </c>
      <c r="B101" s="28" t="s">
        <v>128</v>
      </c>
      <c r="C101" s="48" t="s">
        <v>140</v>
      </c>
      <c r="D101" s="26">
        <f>537.2+524.4+520+893.2+454.6+700.2+727+786.8+454.6+701.4</f>
        <v>6299.4000000000005</v>
      </c>
      <c r="E101" s="29" t="s">
        <v>5</v>
      </c>
      <c r="F101" s="27">
        <f>ROUND(D101,0)</f>
        <v>6299</v>
      </c>
      <c r="G101" s="20" t="s">
        <v>83</v>
      </c>
    </row>
    <row r="102" spans="1:7" s="145" customFormat="1" ht="15.75">
      <c r="A102" s="20">
        <f t="shared" ref="A102:A119" si="5">A101+1</f>
        <v>2</v>
      </c>
      <c r="B102" s="28" t="s">
        <v>99</v>
      </c>
      <c r="C102" s="48" t="s">
        <v>141</v>
      </c>
      <c r="D102" s="26">
        <f>90+15+75+15+150+15+75+100+15</f>
        <v>550</v>
      </c>
      <c r="E102" s="29" t="s">
        <v>5</v>
      </c>
      <c r="F102" s="27">
        <f>ROUND(D102,2)</f>
        <v>550</v>
      </c>
      <c r="G102" s="20" t="s">
        <v>96</v>
      </c>
    </row>
    <row r="103" spans="1:7" s="145" customFormat="1" ht="15.75">
      <c r="A103" s="20">
        <f t="shared" si="5"/>
        <v>3</v>
      </c>
      <c r="B103" s="28" t="s">
        <v>98</v>
      </c>
      <c r="C103" s="142">
        <v>12</v>
      </c>
      <c r="D103" s="26">
        <f>C103</f>
        <v>12</v>
      </c>
      <c r="E103" s="29" t="s">
        <v>5</v>
      </c>
      <c r="F103" s="27">
        <f>D103</f>
        <v>12</v>
      </c>
      <c r="G103" s="20" t="s">
        <v>95</v>
      </c>
    </row>
    <row r="104" spans="1:7" s="145" customFormat="1" ht="15.75">
      <c r="A104" s="20">
        <f t="shared" si="5"/>
        <v>4</v>
      </c>
      <c r="B104" s="28" t="s">
        <v>129</v>
      </c>
      <c r="C104" s="48" t="s">
        <v>145</v>
      </c>
      <c r="D104" s="26">
        <f>70+55+70+20+90+70+50+70+30</f>
        <v>525</v>
      </c>
      <c r="E104" s="29" t="s">
        <v>5</v>
      </c>
      <c r="F104" s="27">
        <f>ROUND(D104,2)</f>
        <v>525</v>
      </c>
      <c r="G104" s="20" t="s">
        <v>57</v>
      </c>
    </row>
    <row r="105" spans="1:7" s="145" customFormat="1" ht="15.75">
      <c r="A105" s="20">
        <f t="shared" si="5"/>
        <v>5</v>
      </c>
      <c r="B105" s="28" t="s">
        <v>138</v>
      </c>
      <c r="C105" s="142" t="s">
        <v>146</v>
      </c>
      <c r="D105" s="26">
        <v>36</v>
      </c>
      <c r="E105" s="29" t="s">
        <v>5</v>
      </c>
      <c r="F105" s="27">
        <f>D105</f>
        <v>36</v>
      </c>
      <c r="G105" s="20" t="s">
        <v>142</v>
      </c>
    </row>
    <row r="106" spans="1:7" s="145" customFormat="1" ht="15.75">
      <c r="A106" s="20">
        <f t="shared" si="5"/>
        <v>6</v>
      </c>
      <c r="B106" s="28" t="s">
        <v>139</v>
      </c>
      <c r="C106" s="142" t="s">
        <v>146</v>
      </c>
      <c r="D106" s="26">
        <v>3</v>
      </c>
      <c r="E106" s="29" t="s">
        <v>5</v>
      </c>
      <c r="F106" s="27">
        <f>D106</f>
        <v>3</v>
      </c>
      <c r="G106" s="20" t="s">
        <v>142</v>
      </c>
    </row>
    <row r="107" spans="1:7" s="145" customFormat="1" ht="15.75">
      <c r="A107" s="20">
        <f t="shared" si="5"/>
        <v>7</v>
      </c>
      <c r="B107" s="28" t="s">
        <v>143</v>
      </c>
      <c r="C107" s="142" t="s">
        <v>146</v>
      </c>
      <c r="D107" s="26">
        <v>8</v>
      </c>
      <c r="E107" s="29" t="s">
        <v>5</v>
      </c>
      <c r="F107" s="27">
        <f>D107</f>
        <v>8</v>
      </c>
      <c r="G107" s="20" t="s">
        <v>142</v>
      </c>
    </row>
    <row r="108" spans="1:7" s="145" customFormat="1" ht="15.75">
      <c r="A108" s="20">
        <f t="shared" si="5"/>
        <v>8</v>
      </c>
      <c r="B108" s="28" t="s">
        <v>144</v>
      </c>
      <c r="C108" s="142" t="s">
        <v>146</v>
      </c>
      <c r="D108" s="26">
        <v>5</v>
      </c>
      <c r="E108" s="29" t="s">
        <v>5</v>
      </c>
      <c r="F108" s="27">
        <f>D108</f>
        <v>5</v>
      </c>
      <c r="G108" s="20" t="s">
        <v>142</v>
      </c>
    </row>
    <row r="109" spans="1:7" s="145" customFormat="1" ht="28.5">
      <c r="A109" s="20">
        <f t="shared" si="5"/>
        <v>9</v>
      </c>
      <c r="B109" s="28" t="s">
        <v>130</v>
      </c>
      <c r="C109" s="48" t="s">
        <v>147</v>
      </c>
      <c r="D109" s="26">
        <f>23+18+24+30+24+21+24+18+27+22+25+26+35+26+23+25+34+25</f>
        <v>450</v>
      </c>
      <c r="E109" s="29" t="s">
        <v>5</v>
      </c>
      <c r="F109" s="27">
        <f>ROUND(D109,2)</f>
        <v>450</v>
      </c>
      <c r="G109" s="20" t="s">
        <v>30</v>
      </c>
    </row>
    <row r="110" spans="1:7" s="145" customFormat="1" ht="15.75">
      <c r="A110" s="20">
        <f t="shared" si="5"/>
        <v>10</v>
      </c>
      <c r="B110" s="28" t="s">
        <v>148</v>
      </c>
      <c r="C110" s="142" t="s">
        <v>146</v>
      </c>
      <c r="D110" s="26">
        <v>42</v>
      </c>
      <c r="E110" s="29" t="s">
        <v>5</v>
      </c>
      <c r="F110" s="27">
        <f>ROUND(D110,2)</f>
        <v>42</v>
      </c>
      <c r="G110" s="20" t="s">
        <v>131</v>
      </c>
    </row>
    <row r="111" spans="1:7" s="145" customFormat="1" ht="28.5">
      <c r="A111" s="20">
        <f t="shared" si="5"/>
        <v>11</v>
      </c>
      <c r="B111" s="28" t="s">
        <v>132</v>
      </c>
      <c r="C111" s="48" t="s">
        <v>149</v>
      </c>
      <c r="D111" s="26">
        <f>574+788+924+756+690+738+874+732-1520</f>
        <v>4556</v>
      </c>
      <c r="E111" s="29" t="s">
        <v>5</v>
      </c>
      <c r="F111" s="27">
        <f>ROUND(D111,2)</f>
        <v>4556</v>
      </c>
      <c r="G111" s="20" t="s">
        <v>131</v>
      </c>
    </row>
    <row r="112" spans="1:7" s="145" customFormat="1" ht="15.75">
      <c r="A112" s="20">
        <f t="shared" si="5"/>
        <v>12</v>
      </c>
      <c r="B112" s="28" t="s">
        <v>133</v>
      </c>
      <c r="C112" s="48" t="s">
        <v>150</v>
      </c>
      <c r="D112" s="26">
        <v>380</v>
      </c>
      <c r="E112" s="29" t="s">
        <v>5</v>
      </c>
      <c r="F112" s="27">
        <f>ROUND(D112,0)</f>
        <v>380</v>
      </c>
      <c r="G112" s="20" t="s">
        <v>131</v>
      </c>
    </row>
    <row r="113" spans="1:7" s="145" customFormat="1" ht="15.75">
      <c r="A113" s="20">
        <f t="shared" si="5"/>
        <v>13</v>
      </c>
      <c r="B113" s="28" t="s">
        <v>151</v>
      </c>
      <c r="C113" s="142" t="s">
        <v>146</v>
      </c>
      <c r="D113" s="26">
        <v>8</v>
      </c>
      <c r="E113" s="29" t="s">
        <v>5</v>
      </c>
      <c r="F113" s="27">
        <f>D113</f>
        <v>8</v>
      </c>
      <c r="G113" s="20" t="s">
        <v>30</v>
      </c>
    </row>
    <row r="114" spans="1:7" s="145" customFormat="1" ht="15.75">
      <c r="A114" s="20">
        <f t="shared" si="5"/>
        <v>14</v>
      </c>
      <c r="B114" s="28" t="s">
        <v>156</v>
      </c>
      <c r="C114" s="142" t="s">
        <v>146</v>
      </c>
      <c r="D114" s="26">
        <v>8</v>
      </c>
      <c r="E114" s="29" t="s">
        <v>5</v>
      </c>
      <c r="F114" s="27">
        <f>D114</f>
        <v>8</v>
      </c>
      <c r="G114" s="20" t="s">
        <v>30</v>
      </c>
    </row>
    <row r="115" spans="1:7" s="145" customFormat="1" ht="15.75">
      <c r="A115" s="20">
        <f t="shared" si="5"/>
        <v>15</v>
      </c>
      <c r="B115" s="28" t="s">
        <v>152</v>
      </c>
      <c r="C115" s="142" t="s">
        <v>146</v>
      </c>
      <c r="D115" s="26">
        <v>8</v>
      </c>
      <c r="E115" s="29" t="s">
        <v>5</v>
      </c>
      <c r="F115" s="27">
        <f>D115</f>
        <v>8</v>
      </c>
      <c r="G115" s="20" t="s">
        <v>30</v>
      </c>
    </row>
    <row r="116" spans="1:7" s="145" customFormat="1" ht="15.75">
      <c r="A116" s="20">
        <f t="shared" si="5"/>
        <v>16</v>
      </c>
      <c r="B116" s="28" t="s">
        <v>134</v>
      </c>
      <c r="C116" s="48" t="s">
        <v>137</v>
      </c>
      <c r="D116" s="26">
        <f>(653.4+716.1+458+380)*0.1*2</f>
        <v>441.5</v>
      </c>
      <c r="E116" s="29" t="s">
        <v>5</v>
      </c>
      <c r="F116" s="27">
        <f>ROUND(D116,0)</f>
        <v>442</v>
      </c>
      <c r="G116" s="20" t="s">
        <v>57</v>
      </c>
    </row>
    <row r="117" spans="1:7" s="145" customFormat="1" ht="28.5">
      <c r="A117" s="20">
        <f t="shared" si="5"/>
        <v>17</v>
      </c>
      <c r="B117" s="28" t="s">
        <v>136</v>
      </c>
      <c r="C117" s="48" t="s">
        <v>135</v>
      </c>
      <c r="D117" s="26">
        <f>(316.6+354.1+244+330+190)*0.1*2+(10.4+10.6)*0.4</f>
        <v>295.33999999999997</v>
      </c>
      <c r="E117" s="29" t="s">
        <v>5</v>
      </c>
      <c r="F117" s="27">
        <f>ROUND(D117,0)</f>
        <v>295</v>
      </c>
      <c r="G117" s="20" t="s">
        <v>57</v>
      </c>
    </row>
    <row r="118" spans="1:7" s="145" customFormat="1" ht="57">
      <c r="A118" s="20">
        <f t="shared" si="5"/>
        <v>18</v>
      </c>
      <c r="B118" s="28" t="s">
        <v>92</v>
      </c>
      <c r="C118" s="48" t="s">
        <v>153</v>
      </c>
      <c r="D118" s="26">
        <f>422*4*2+20*2*6*2+7*4+7*4</f>
        <v>3912</v>
      </c>
      <c r="E118" s="29" t="s">
        <v>5</v>
      </c>
      <c r="F118" s="27">
        <f>D118</f>
        <v>3912</v>
      </c>
      <c r="G118" s="20" t="s">
        <v>122</v>
      </c>
    </row>
    <row r="119" spans="1:7" s="145" customFormat="1" ht="18" customHeight="1">
      <c r="A119" s="20">
        <f t="shared" si="5"/>
        <v>19</v>
      </c>
      <c r="B119" s="28" t="s">
        <v>93</v>
      </c>
      <c r="C119" s="142">
        <v>1</v>
      </c>
      <c r="D119" s="26">
        <f>C119</f>
        <v>1</v>
      </c>
      <c r="E119" s="29" t="s">
        <v>5</v>
      </c>
      <c r="F119" s="27">
        <f>D119</f>
        <v>1</v>
      </c>
      <c r="G119" s="20" t="s">
        <v>97</v>
      </c>
    </row>
    <row r="120" spans="1:7" s="145" customFormat="1" ht="18" customHeight="1">
      <c r="A120" s="20"/>
      <c r="B120" s="28"/>
      <c r="C120" s="142"/>
      <c r="D120" s="26"/>
      <c r="E120" s="29"/>
      <c r="F120" s="27"/>
      <c r="G120" s="20"/>
    </row>
    <row r="121" spans="1:7" s="145" customFormat="1" ht="18" customHeight="1">
      <c r="A121" s="20" t="s">
        <v>115</v>
      </c>
      <c r="B121" s="241" t="s">
        <v>59</v>
      </c>
      <c r="C121" s="241"/>
      <c r="D121" s="241"/>
      <c r="E121" s="241"/>
      <c r="F121" s="241"/>
      <c r="G121" s="241"/>
    </row>
    <row r="122" spans="1:7" s="145" customFormat="1" ht="18" customHeight="1">
      <c r="A122" s="20">
        <v>1</v>
      </c>
      <c r="B122" s="28" t="s">
        <v>63</v>
      </c>
      <c r="C122" s="25" t="s">
        <v>112</v>
      </c>
      <c r="D122" s="26">
        <v>4</v>
      </c>
      <c r="E122" s="29" t="s">
        <v>5</v>
      </c>
      <c r="F122" s="27">
        <f t="shared" ref="F122:F134" si="6">D122</f>
        <v>4</v>
      </c>
      <c r="G122" s="20" t="s">
        <v>60</v>
      </c>
    </row>
    <row r="123" spans="1:7" s="145" customFormat="1" ht="18" customHeight="1">
      <c r="A123" s="20">
        <f>A122+1</f>
        <v>2</v>
      </c>
      <c r="B123" s="28" t="s">
        <v>126</v>
      </c>
      <c r="C123" s="25">
        <v>1</v>
      </c>
      <c r="D123" s="26">
        <f>C123</f>
        <v>1</v>
      </c>
      <c r="E123" s="29" t="s">
        <v>5</v>
      </c>
      <c r="F123" s="27">
        <f t="shared" si="6"/>
        <v>1</v>
      </c>
      <c r="G123" s="20" t="s">
        <v>127</v>
      </c>
    </row>
    <row r="124" spans="1:7" s="145" customFormat="1" ht="18" customHeight="1">
      <c r="A124" s="20">
        <f>A123+1</f>
        <v>3</v>
      </c>
      <c r="B124" s="28" t="s">
        <v>64</v>
      </c>
      <c r="C124" s="25">
        <v>1</v>
      </c>
      <c r="D124" s="26">
        <f>C124</f>
        <v>1</v>
      </c>
      <c r="E124" s="29" t="s">
        <v>5</v>
      </c>
      <c r="F124" s="27">
        <f t="shared" si="6"/>
        <v>1</v>
      </c>
      <c r="G124" s="20" t="s">
        <v>61</v>
      </c>
    </row>
    <row r="125" spans="1:7" s="145" customFormat="1" ht="18" customHeight="1">
      <c r="A125" s="20">
        <f t="shared" ref="A125:A138" si="7">A124+1</f>
        <v>4</v>
      </c>
      <c r="B125" s="28" t="s">
        <v>101</v>
      </c>
      <c r="C125" s="25">
        <v>3</v>
      </c>
      <c r="D125" s="26">
        <f>C125</f>
        <v>3</v>
      </c>
      <c r="E125" s="29" t="s">
        <v>5</v>
      </c>
      <c r="F125" s="27">
        <f>D125</f>
        <v>3</v>
      </c>
      <c r="G125" s="20" t="s">
        <v>102</v>
      </c>
    </row>
    <row r="126" spans="1:7" s="145" customFormat="1" ht="18" customHeight="1">
      <c r="A126" s="20">
        <f t="shared" si="7"/>
        <v>5</v>
      </c>
      <c r="B126" s="28" t="s">
        <v>154</v>
      </c>
      <c r="C126" s="25" t="s">
        <v>155</v>
      </c>
      <c r="D126" s="26">
        <f>3*30</f>
        <v>90</v>
      </c>
      <c r="E126" s="29" t="s">
        <v>5</v>
      </c>
      <c r="F126" s="27">
        <f>D126</f>
        <v>90</v>
      </c>
      <c r="G126" s="20" t="s">
        <v>57</v>
      </c>
    </row>
    <row r="127" spans="1:7" s="145" customFormat="1" ht="18" customHeight="1">
      <c r="A127" s="20">
        <f t="shared" si="7"/>
        <v>6</v>
      </c>
      <c r="B127" s="28" t="s">
        <v>116</v>
      </c>
      <c r="C127" s="25">
        <v>1</v>
      </c>
      <c r="D127" s="26">
        <f t="shared" ref="D127:D138" si="8">C127</f>
        <v>1</v>
      </c>
      <c r="E127" s="29" t="s">
        <v>5</v>
      </c>
      <c r="F127" s="27">
        <f>D127</f>
        <v>1</v>
      </c>
      <c r="G127" s="20" t="s">
        <v>61</v>
      </c>
    </row>
    <row r="128" spans="1:7" s="145" customFormat="1" ht="18" customHeight="1">
      <c r="A128" s="20">
        <f t="shared" si="7"/>
        <v>7</v>
      </c>
      <c r="B128" s="28" t="s">
        <v>117</v>
      </c>
      <c r="C128" s="25">
        <v>1</v>
      </c>
      <c r="D128" s="26">
        <f t="shared" si="8"/>
        <v>1</v>
      </c>
      <c r="E128" s="29" t="s">
        <v>5</v>
      </c>
      <c r="F128" s="27">
        <f>D128</f>
        <v>1</v>
      </c>
      <c r="G128" s="20" t="s">
        <v>61</v>
      </c>
    </row>
    <row r="129" spans="1:7" s="145" customFormat="1" ht="18" customHeight="1">
      <c r="A129" s="20">
        <f t="shared" si="7"/>
        <v>8</v>
      </c>
      <c r="B129" s="28" t="s">
        <v>118</v>
      </c>
      <c r="C129" s="25">
        <v>1</v>
      </c>
      <c r="D129" s="26">
        <f t="shared" si="8"/>
        <v>1</v>
      </c>
      <c r="E129" s="29" t="s">
        <v>5</v>
      </c>
      <c r="F129" s="27">
        <f>D129</f>
        <v>1</v>
      </c>
      <c r="G129" s="20" t="s">
        <v>61</v>
      </c>
    </row>
    <row r="130" spans="1:7" s="145" customFormat="1" ht="18" customHeight="1">
      <c r="A130" s="20">
        <f t="shared" si="7"/>
        <v>9</v>
      </c>
      <c r="B130" s="28" t="s">
        <v>85</v>
      </c>
      <c r="C130" s="25">
        <v>200</v>
      </c>
      <c r="D130" s="26">
        <f t="shared" si="8"/>
        <v>200</v>
      </c>
      <c r="E130" s="29" t="s">
        <v>5</v>
      </c>
      <c r="F130" s="27">
        <f t="shared" si="6"/>
        <v>200</v>
      </c>
      <c r="G130" s="20" t="s">
        <v>57</v>
      </c>
    </row>
    <row r="131" spans="1:7" s="145" customFormat="1" ht="18" customHeight="1">
      <c r="A131" s="20">
        <f t="shared" si="7"/>
        <v>10</v>
      </c>
      <c r="B131" s="28" t="s">
        <v>119</v>
      </c>
      <c r="C131" s="25">
        <v>10</v>
      </c>
      <c r="D131" s="26">
        <f t="shared" si="8"/>
        <v>10</v>
      </c>
      <c r="E131" s="29" t="s">
        <v>5</v>
      </c>
      <c r="F131" s="27">
        <f>D131</f>
        <v>10</v>
      </c>
      <c r="G131" s="20" t="s">
        <v>120</v>
      </c>
    </row>
    <row r="132" spans="1:7" s="145" customFormat="1" ht="18" customHeight="1">
      <c r="A132" s="20">
        <f t="shared" si="7"/>
        <v>11</v>
      </c>
      <c r="B132" s="28" t="s">
        <v>121</v>
      </c>
      <c r="C132" s="25">
        <v>1</v>
      </c>
      <c r="D132" s="26">
        <f t="shared" si="8"/>
        <v>1</v>
      </c>
      <c r="E132" s="29" t="s">
        <v>5</v>
      </c>
      <c r="F132" s="27">
        <f>D132</f>
        <v>1</v>
      </c>
      <c r="G132" s="20" t="s">
        <v>61</v>
      </c>
    </row>
    <row r="133" spans="1:7" s="145" customFormat="1" ht="18" customHeight="1">
      <c r="A133" s="20">
        <f t="shared" si="7"/>
        <v>12</v>
      </c>
      <c r="B133" s="28" t="s">
        <v>113</v>
      </c>
      <c r="C133" s="25">
        <v>1</v>
      </c>
      <c r="D133" s="26">
        <f t="shared" si="8"/>
        <v>1</v>
      </c>
      <c r="E133" s="29" t="s">
        <v>5</v>
      </c>
      <c r="F133" s="27">
        <f t="shared" si="6"/>
        <v>1</v>
      </c>
      <c r="G133" s="20" t="s">
        <v>61</v>
      </c>
    </row>
    <row r="134" spans="1:7" s="145" customFormat="1" ht="18" customHeight="1">
      <c r="A134" s="20">
        <f t="shared" si="7"/>
        <v>13</v>
      </c>
      <c r="B134" s="28" t="s">
        <v>86</v>
      </c>
      <c r="C134" s="25">
        <v>1</v>
      </c>
      <c r="D134" s="26">
        <f t="shared" si="8"/>
        <v>1</v>
      </c>
      <c r="E134" s="29" t="s">
        <v>5</v>
      </c>
      <c r="F134" s="27">
        <f t="shared" si="6"/>
        <v>1</v>
      </c>
      <c r="G134" s="20" t="s">
        <v>61</v>
      </c>
    </row>
    <row r="135" spans="1:7" s="145" customFormat="1" ht="18" customHeight="1">
      <c r="A135" s="20">
        <f t="shared" si="7"/>
        <v>14</v>
      </c>
      <c r="B135" s="28" t="s">
        <v>88</v>
      </c>
      <c r="C135" s="25">
        <v>1</v>
      </c>
      <c r="D135" s="26">
        <f t="shared" si="8"/>
        <v>1</v>
      </c>
      <c r="E135" s="29" t="s">
        <v>5</v>
      </c>
      <c r="F135" s="27">
        <f>D135</f>
        <v>1</v>
      </c>
      <c r="G135" s="20" t="s">
        <v>61</v>
      </c>
    </row>
    <row r="136" spans="1:7" s="145" customFormat="1" ht="18" customHeight="1">
      <c r="A136" s="20">
        <f t="shared" si="7"/>
        <v>15</v>
      </c>
      <c r="B136" s="28" t="s">
        <v>89</v>
      </c>
      <c r="C136" s="25">
        <v>1</v>
      </c>
      <c r="D136" s="26">
        <f t="shared" si="8"/>
        <v>1</v>
      </c>
      <c r="E136" s="29" t="s">
        <v>5</v>
      </c>
      <c r="F136" s="27">
        <f>D136</f>
        <v>1</v>
      </c>
      <c r="G136" s="20" t="s">
        <v>61</v>
      </c>
    </row>
    <row r="137" spans="1:7" s="145" customFormat="1" ht="18" customHeight="1">
      <c r="A137" s="20">
        <f t="shared" si="7"/>
        <v>16</v>
      </c>
      <c r="B137" s="28" t="s">
        <v>87</v>
      </c>
      <c r="C137" s="25">
        <v>1</v>
      </c>
      <c r="D137" s="26">
        <f t="shared" si="8"/>
        <v>1</v>
      </c>
      <c r="E137" s="29" t="s">
        <v>5</v>
      </c>
      <c r="F137" s="27">
        <f>D137</f>
        <v>1</v>
      </c>
      <c r="G137" s="20" t="s">
        <v>61</v>
      </c>
    </row>
    <row r="138" spans="1:7" s="145" customFormat="1" ht="18" customHeight="1">
      <c r="A138" s="20">
        <f t="shared" si="7"/>
        <v>17</v>
      </c>
      <c r="B138" s="28" t="s">
        <v>114</v>
      </c>
      <c r="C138" s="25">
        <v>1</v>
      </c>
      <c r="D138" s="26">
        <f t="shared" si="8"/>
        <v>1</v>
      </c>
      <c r="E138" s="29" t="s">
        <v>5</v>
      </c>
      <c r="F138" s="27">
        <f>D138</f>
        <v>1</v>
      </c>
      <c r="G138" s="20" t="s">
        <v>61</v>
      </c>
    </row>
    <row r="139" spans="1:7" s="145" customFormat="1" ht="18" customHeight="1">
      <c r="A139" s="20"/>
      <c r="B139" s="28"/>
      <c r="C139" s="25"/>
      <c r="D139" s="26"/>
      <c r="E139" s="29"/>
      <c r="F139" s="27"/>
      <c r="G139" s="20"/>
    </row>
    <row r="140" spans="1:7" s="145" customFormat="1" ht="18" customHeight="1">
      <c r="A140" s="148" t="s">
        <v>39</v>
      </c>
      <c r="B140" s="149" t="s">
        <v>48</v>
      </c>
      <c r="C140" s="150"/>
      <c r="D140" s="151"/>
      <c r="E140" s="152"/>
      <c r="F140" s="153"/>
      <c r="G140" s="148"/>
    </row>
    <row r="141" spans="1:7" s="145" customFormat="1" ht="18" customHeight="1">
      <c r="A141" s="148" t="s">
        <v>32</v>
      </c>
      <c r="B141" s="149" t="s">
        <v>49</v>
      </c>
      <c r="C141" s="154">
        <v>1</v>
      </c>
      <c r="D141" s="151">
        <v>1</v>
      </c>
      <c r="E141" s="152" t="s">
        <v>5</v>
      </c>
      <c r="F141" s="153">
        <f>D141</f>
        <v>1</v>
      </c>
      <c r="G141" s="148" t="s">
        <v>30</v>
      </c>
    </row>
    <row r="142" spans="1:7" s="145" customFormat="1" ht="18" customHeight="1">
      <c r="A142" s="148">
        <f>A141+1</f>
        <v>2</v>
      </c>
      <c r="B142" s="149" t="s">
        <v>50</v>
      </c>
      <c r="C142" s="154">
        <v>1</v>
      </c>
      <c r="D142" s="151">
        <v>1</v>
      </c>
      <c r="E142" s="152" t="s">
        <v>5</v>
      </c>
      <c r="F142" s="153">
        <f>D142</f>
        <v>1</v>
      </c>
      <c r="G142" s="148" t="s">
        <v>30</v>
      </c>
    </row>
    <row r="143" spans="1:7" s="145" customFormat="1" ht="18" customHeight="1">
      <c r="A143" s="148">
        <f t="shared" ref="A143:A151" si="9">A142+1</f>
        <v>3</v>
      </c>
      <c r="B143" s="149" t="s">
        <v>51</v>
      </c>
      <c r="C143" s="154">
        <v>1</v>
      </c>
      <c r="D143" s="151">
        <v>1</v>
      </c>
      <c r="E143" s="152" t="s">
        <v>52</v>
      </c>
      <c r="F143" s="153">
        <v>1</v>
      </c>
      <c r="G143" s="148" t="s">
        <v>30</v>
      </c>
    </row>
    <row r="144" spans="1:7" s="145" customFormat="1" ht="18" customHeight="1">
      <c r="A144" s="148">
        <f t="shared" si="9"/>
        <v>4</v>
      </c>
      <c r="B144" s="149" t="s">
        <v>58</v>
      </c>
      <c r="C144" s="154">
        <v>4</v>
      </c>
      <c r="D144" s="151">
        <f>((413-120)+120)/120</f>
        <v>3.4416666666666669</v>
      </c>
      <c r="E144" s="152" t="s">
        <v>5</v>
      </c>
      <c r="F144" s="153">
        <v>4</v>
      </c>
      <c r="G144" s="148" t="s">
        <v>53</v>
      </c>
    </row>
    <row r="145" spans="1:7" s="145" customFormat="1" ht="20.25" customHeight="1">
      <c r="A145" s="148">
        <f t="shared" si="9"/>
        <v>5</v>
      </c>
      <c r="B145" s="149" t="s">
        <v>46</v>
      </c>
      <c r="C145" s="154" t="s">
        <v>109</v>
      </c>
      <c r="D145" s="151">
        <v>2</v>
      </c>
      <c r="E145" s="152" t="s">
        <v>5</v>
      </c>
      <c r="F145" s="153">
        <f>D145</f>
        <v>2</v>
      </c>
      <c r="G145" s="148" t="s">
        <v>44</v>
      </c>
    </row>
    <row r="146" spans="1:7" s="145" customFormat="1" ht="20.25" customHeight="1">
      <c r="A146" s="148">
        <f t="shared" si="9"/>
        <v>6</v>
      </c>
      <c r="B146" s="149" t="s">
        <v>47</v>
      </c>
      <c r="C146" s="154">
        <v>2</v>
      </c>
      <c r="D146" s="151">
        <v>2</v>
      </c>
      <c r="E146" s="152" t="s">
        <v>5</v>
      </c>
      <c r="F146" s="153">
        <f>D146</f>
        <v>2</v>
      </c>
      <c r="G146" s="148" t="s">
        <v>45</v>
      </c>
    </row>
    <row r="147" spans="1:7" s="145" customFormat="1" ht="20.25" customHeight="1">
      <c r="A147" s="148">
        <f t="shared" si="9"/>
        <v>7</v>
      </c>
      <c r="B147" s="149" t="s">
        <v>33</v>
      </c>
      <c r="C147" s="156">
        <v>1</v>
      </c>
      <c r="D147" s="151">
        <f>C147</f>
        <v>1</v>
      </c>
      <c r="E147" s="152" t="s">
        <v>5</v>
      </c>
      <c r="F147" s="153">
        <f>D147</f>
        <v>1</v>
      </c>
      <c r="G147" s="148" t="s">
        <v>34</v>
      </c>
    </row>
    <row r="148" spans="1:7" s="145" customFormat="1" ht="20.25" customHeight="1">
      <c r="A148" s="148">
        <f t="shared" si="9"/>
        <v>8</v>
      </c>
      <c r="B148" s="149" t="s">
        <v>35</v>
      </c>
      <c r="C148" s="156" t="s">
        <v>41</v>
      </c>
      <c r="D148" s="151">
        <v>1</v>
      </c>
      <c r="E148" s="152" t="s">
        <v>40</v>
      </c>
      <c r="F148" s="153">
        <f>ROUND(D148,0)</f>
        <v>1</v>
      </c>
      <c r="G148" s="148" t="s">
        <v>34</v>
      </c>
    </row>
    <row r="149" spans="1:7" s="145" customFormat="1" ht="20.25" customHeight="1">
      <c r="A149" s="148">
        <f t="shared" si="9"/>
        <v>9</v>
      </c>
      <c r="B149" s="149" t="s">
        <v>36</v>
      </c>
      <c r="C149" s="156" t="s">
        <v>42</v>
      </c>
      <c r="D149" s="151">
        <v>1</v>
      </c>
      <c r="E149" s="152" t="s">
        <v>5</v>
      </c>
      <c r="F149" s="153">
        <v>1</v>
      </c>
      <c r="G149" s="148" t="s">
        <v>37</v>
      </c>
    </row>
    <row r="150" spans="1:7" s="145" customFormat="1" ht="20.25" customHeight="1">
      <c r="A150" s="148">
        <f t="shared" si="9"/>
        <v>10</v>
      </c>
      <c r="B150" s="149" t="s">
        <v>38</v>
      </c>
      <c r="C150" s="156" t="s">
        <v>43</v>
      </c>
      <c r="D150" s="151">
        <v>1</v>
      </c>
      <c r="E150" s="152" t="s">
        <v>5</v>
      </c>
      <c r="F150" s="153">
        <v>1</v>
      </c>
      <c r="G150" s="148" t="s">
        <v>37</v>
      </c>
    </row>
    <row r="151" spans="1:7" s="145" customFormat="1" ht="20.25" customHeight="1">
      <c r="A151" s="148">
        <f t="shared" si="9"/>
        <v>11</v>
      </c>
      <c r="B151" s="149" t="s">
        <v>54</v>
      </c>
      <c r="C151" s="156" t="s">
        <v>56</v>
      </c>
      <c r="D151" s="151">
        <v>1</v>
      </c>
      <c r="E151" s="152" t="s">
        <v>55</v>
      </c>
      <c r="F151" s="153">
        <v>1</v>
      </c>
      <c r="G151" s="148" t="s">
        <v>30</v>
      </c>
    </row>
    <row r="152" spans="1:7" s="145" customFormat="1" ht="20.25" customHeight="1">
      <c r="A152" s="148"/>
      <c r="B152" s="149"/>
      <c r="C152" s="150"/>
      <c r="D152" s="157"/>
      <c r="E152" s="152"/>
      <c r="F152" s="153"/>
      <c r="G152" s="148"/>
    </row>
    <row r="153" spans="1:7" s="145" customFormat="1" ht="20.25" customHeight="1">
      <c r="A153" s="147"/>
      <c r="B153" s="158" t="s">
        <v>123</v>
      </c>
      <c r="C153" s="159" t="e">
        <f>F42*#REF!+#REF!+#REF!*72.4</f>
        <v>#REF!</v>
      </c>
      <c r="D153" s="160" t="e">
        <f>C153/1000</f>
        <v>#REF!</v>
      </c>
      <c r="E153" s="161"/>
      <c r="F153" s="162"/>
      <c r="G153" s="147"/>
    </row>
    <row r="154" spans="1:7" s="145" customFormat="1" ht="20.25" customHeight="1">
      <c r="A154" s="147"/>
      <c r="B154" s="155" t="s">
        <v>157</v>
      </c>
      <c r="C154" s="163" t="e">
        <f>#REF!*0.05*2.3</f>
        <v>#REF!</v>
      </c>
      <c r="D154" s="155"/>
      <c r="E154" s="147"/>
      <c r="F154" s="155"/>
      <c r="G154" s="155"/>
    </row>
    <row r="155" spans="1:7" s="145" customFormat="1" ht="20.25" customHeight="1">
      <c r="B155" s="155" t="s">
        <v>15</v>
      </c>
      <c r="C155" s="164" t="e">
        <f>#REF!</f>
        <v>#REF!</v>
      </c>
      <c r="D155" s="164" t="e">
        <f>C155</f>
        <v>#REF!</v>
      </c>
      <c r="E155" s="165"/>
    </row>
    <row r="156" spans="1:7" s="145" customFormat="1" ht="20.25" customHeight="1">
      <c r="B156" s="155" t="s">
        <v>16</v>
      </c>
      <c r="C156" s="164" t="e">
        <f>C155*1%</f>
        <v>#REF!</v>
      </c>
      <c r="D156" s="164">
        <v>61000</v>
      </c>
      <c r="E156" s="165"/>
    </row>
    <row r="157" spans="1:7" s="145" customFormat="1" ht="20.25" customHeight="1">
      <c r="B157" s="155" t="s">
        <v>25</v>
      </c>
      <c r="C157" s="164" t="e">
        <f>C155*1%</f>
        <v>#REF!</v>
      </c>
      <c r="D157" s="164">
        <v>50000</v>
      </c>
      <c r="E157" s="165"/>
    </row>
    <row r="158" spans="1:7" s="145" customFormat="1" ht="20.25" customHeight="1">
      <c r="B158" s="155" t="s">
        <v>26</v>
      </c>
      <c r="C158" s="164" t="e">
        <f>C155*1%</f>
        <v>#REF!</v>
      </c>
      <c r="D158" s="164">
        <v>160000</v>
      </c>
      <c r="E158" s="165"/>
    </row>
    <row r="159" spans="1:7" s="145" customFormat="1" ht="20.25" customHeight="1">
      <c r="B159" s="155" t="s">
        <v>27</v>
      </c>
      <c r="C159" s="164" t="e">
        <f>C155*1%</f>
        <v>#REF!</v>
      </c>
      <c r="D159" s="164">
        <v>61000</v>
      </c>
      <c r="E159" s="165"/>
    </row>
    <row r="160" spans="1:7" s="145" customFormat="1" ht="20.25" customHeight="1">
      <c r="B160" s="155" t="s">
        <v>28</v>
      </c>
      <c r="C160" s="164" t="e">
        <f>C155*8%</f>
        <v>#REF!</v>
      </c>
      <c r="D160" s="164">
        <v>453920</v>
      </c>
      <c r="E160" s="165"/>
      <c r="F160" s="164" t="e">
        <f>ROUND(D155*1%,0)</f>
        <v>#REF!</v>
      </c>
    </row>
    <row r="161" spans="2:5" s="145" customFormat="1" ht="20.25" customHeight="1">
      <c r="B161" s="155" t="s">
        <v>17</v>
      </c>
      <c r="C161" s="164" t="e">
        <f>(C155+C156+C157+C158+C159+C160)*5%</f>
        <v>#REF!</v>
      </c>
      <c r="D161" s="164">
        <v>322996</v>
      </c>
      <c r="E161" s="165"/>
    </row>
    <row r="162" spans="2:5" s="145" customFormat="1" ht="20.25" customHeight="1">
      <c r="B162" s="155" t="s">
        <v>18</v>
      </c>
      <c r="C162" s="164" t="e">
        <f>SUM(C155:C161)</f>
        <v>#REF!</v>
      </c>
      <c r="D162" s="164" t="e">
        <f>SUM(D155:D161)</f>
        <v>#REF!</v>
      </c>
      <c r="E162" s="165"/>
    </row>
    <row r="163" spans="2:5" s="145" customFormat="1" ht="20.25" customHeight="1">
      <c r="B163" s="155" t="s">
        <v>19</v>
      </c>
      <c r="C163" s="164">
        <v>27717</v>
      </c>
      <c r="E163" s="165"/>
    </row>
    <row r="164" spans="2:5" s="145" customFormat="1" ht="20.25" customHeight="1">
      <c r="B164" s="155" t="s">
        <v>20</v>
      </c>
      <c r="C164" s="164">
        <v>18088</v>
      </c>
      <c r="E164" s="165"/>
    </row>
    <row r="165" spans="2:5" s="145" customFormat="1" ht="20.25" customHeight="1">
      <c r="B165" s="155" t="s">
        <v>21</v>
      </c>
      <c r="C165" s="164" t="e">
        <f>5000000*3%+(D162-D161-F160-5000000)*1.5%</f>
        <v>#REF!</v>
      </c>
      <c r="E165" s="165"/>
    </row>
    <row r="166" spans="2:5" s="145" customFormat="1" ht="20.25" customHeight="1">
      <c r="B166" s="155" t="s">
        <v>22</v>
      </c>
      <c r="C166" s="164" t="e">
        <f>5000000*4.72%*94%+(D162-D161-F160-5000000)*4.48%*94%</f>
        <v>#REF!</v>
      </c>
      <c r="E166" s="165"/>
    </row>
    <row r="167" spans="2:5" s="145" customFormat="1" ht="20.25" customHeight="1">
      <c r="B167" s="155" t="s">
        <v>23</v>
      </c>
      <c r="C167" s="164" t="e">
        <f>5000000*3.68%*94%+(D162-D161-F160-5000000)*3.52%*94%</f>
        <v>#REF!</v>
      </c>
      <c r="E167" s="165"/>
    </row>
    <row r="168" spans="2:5" s="145" customFormat="1" ht="20.25" customHeight="1">
      <c r="B168" s="155" t="s">
        <v>24</v>
      </c>
      <c r="C168" s="164" t="e">
        <f>D162+C163+C164+C165+C166+C167</f>
        <v>#REF!</v>
      </c>
      <c r="E168" s="165"/>
    </row>
    <row r="169" spans="2:5" s="145" customFormat="1" ht="20.25" customHeight="1">
      <c r="E169" s="165"/>
    </row>
    <row r="170" spans="2:5" s="145" customFormat="1" ht="20.25" customHeight="1">
      <c r="E170" s="165"/>
    </row>
    <row r="171" spans="2:5" s="145" customFormat="1" ht="20.25" customHeight="1">
      <c r="E171" s="165"/>
    </row>
    <row r="172" spans="2:5" s="145" customFormat="1" ht="20.25" customHeight="1">
      <c r="E172" s="165"/>
    </row>
    <row r="173" spans="2:5" s="145" customFormat="1" ht="20.25" customHeight="1">
      <c r="E173" s="165"/>
    </row>
    <row r="174" spans="2:5" s="145" customFormat="1" ht="20.25" customHeight="1">
      <c r="E174" s="165"/>
    </row>
    <row r="175" spans="2:5" s="145" customFormat="1" ht="20.25" customHeight="1">
      <c r="E175" s="165"/>
    </row>
    <row r="176" spans="2:5" s="145" customFormat="1" ht="20.25" customHeight="1">
      <c r="E176" s="165"/>
    </row>
    <row r="177" spans="5:5" s="145" customFormat="1" ht="20.25" customHeight="1">
      <c r="E177" s="165"/>
    </row>
    <row r="178" spans="5:5" s="145" customFormat="1" ht="20.25" customHeight="1">
      <c r="E178" s="165"/>
    </row>
    <row r="179" spans="5:5" s="145" customFormat="1" ht="20.25" customHeight="1">
      <c r="E179" s="165"/>
    </row>
    <row r="180" spans="5:5" s="145" customFormat="1" ht="20.25" customHeight="1">
      <c r="E180" s="165"/>
    </row>
    <row r="181" spans="5:5" s="145" customFormat="1" ht="20.25" customHeight="1">
      <c r="E181" s="165"/>
    </row>
    <row r="182" spans="5:5" s="145" customFormat="1" ht="20.25" customHeight="1">
      <c r="E182" s="165"/>
    </row>
    <row r="183" spans="5:5" s="145" customFormat="1" ht="20.25" customHeight="1">
      <c r="E183" s="165"/>
    </row>
    <row r="184" spans="5:5" s="145" customFormat="1" ht="20.25" customHeight="1">
      <c r="E184" s="165"/>
    </row>
    <row r="185" spans="5:5" s="145" customFormat="1" ht="20.25" customHeight="1">
      <c r="E185" s="165"/>
    </row>
    <row r="186" spans="5:5" s="145" customFormat="1" ht="20.25" customHeight="1">
      <c r="E186" s="165"/>
    </row>
    <row r="187" spans="5:5" s="145" customFormat="1" ht="20.25" customHeight="1">
      <c r="E187" s="165"/>
    </row>
    <row r="188" spans="5:5" s="145" customFormat="1" ht="20.25" customHeight="1">
      <c r="E188" s="165"/>
    </row>
    <row r="189" spans="5:5" s="145" customFormat="1" ht="20.25" customHeight="1">
      <c r="E189" s="165"/>
    </row>
    <row r="190" spans="5:5" s="145" customFormat="1" ht="20.25" customHeight="1">
      <c r="E190" s="165"/>
    </row>
    <row r="191" spans="5:5" s="145" customFormat="1" ht="20.25" customHeight="1">
      <c r="E191" s="165"/>
    </row>
    <row r="192" spans="5:5" s="145" customFormat="1" ht="20.25" customHeight="1">
      <c r="E192" s="165"/>
    </row>
    <row r="193" spans="5:5" s="145" customFormat="1" ht="20.25" customHeight="1">
      <c r="E193" s="165"/>
    </row>
    <row r="194" spans="5:5" s="145" customFormat="1" ht="20.25" customHeight="1">
      <c r="E194" s="165"/>
    </row>
    <row r="195" spans="5:5" s="145" customFormat="1" ht="20.25" customHeight="1">
      <c r="E195" s="165"/>
    </row>
    <row r="196" spans="5:5" s="145" customFormat="1" ht="20.25" customHeight="1">
      <c r="E196" s="165"/>
    </row>
    <row r="197" spans="5:5" s="145" customFormat="1" ht="20.25" customHeight="1">
      <c r="E197" s="165"/>
    </row>
    <row r="198" spans="5:5" s="145" customFormat="1" ht="20.25" customHeight="1">
      <c r="E198" s="165"/>
    </row>
    <row r="199" spans="5:5" s="145" customFormat="1" ht="20.25" customHeight="1">
      <c r="E199" s="165"/>
    </row>
    <row r="200" spans="5:5" s="145" customFormat="1" ht="20.25" customHeight="1">
      <c r="E200" s="165"/>
    </row>
    <row r="201" spans="5:5" s="145" customFormat="1" ht="20.25" customHeight="1">
      <c r="E201" s="165"/>
    </row>
    <row r="202" spans="5:5" s="145" customFormat="1" ht="20.25" customHeight="1">
      <c r="E202" s="165"/>
    </row>
    <row r="203" spans="5:5" s="145" customFormat="1" ht="20.25" customHeight="1">
      <c r="E203" s="165"/>
    </row>
    <row r="204" spans="5:5" s="145" customFormat="1" ht="20.25" customHeight="1">
      <c r="E204" s="165"/>
    </row>
    <row r="205" spans="5:5" s="145" customFormat="1" ht="20.25" customHeight="1">
      <c r="E205" s="165"/>
    </row>
    <row r="206" spans="5:5" s="145" customFormat="1" ht="20.25" customHeight="1">
      <c r="E206" s="165"/>
    </row>
    <row r="207" spans="5:5" s="145" customFormat="1" ht="20.25" customHeight="1">
      <c r="E207" s="165"/>
    </row>
    <row r="208" spans="5:5" s="145" customFormat="1" ht="20.25" customHeight="1">
      <c r="E208" s="165"/>
    </row>
    <row r="209" spans="5:5" s="145" customFormat="1" ht="20.25" customHeight="1">
      <c r="E209" s="165"/>
    </row>
    <row r="210" spans="5:5" s="145" customFormat="1" ht="20.25" customHeight="1">
      <c r="E210" s="165"/>
    </row>
    <row r="211" spans="5:5" s="145" customFormat="1" ht="20.25" customHeight="1">
      <c r="E211" s="165"/>
    </row>
    <row r="212" spans="5:5" s="145" customFormat="1" ht="20.25" customHeight="1">
      <c r="E212" s="165"/>
    </row>
    <row r="213" spans="5:5" s="145" customFormat="1" ht="20.25" customHeight="1">
      <c r="E213" s="165"/>
    </row>
    <row r="214" spans="5:5" s="145" customFormat="1" ht="20.25" customHeight="1">
      <c r="E214" s="165"/>
    </row>
    <row r="215" spans="5:5" s="145" customFormat="1" ht="20.25" customHeight="1">
      <c r="E215" s="165"/>
    </row>
    <row r="216" spans="5:5" s="145" customFormat="1" ht="20.25" customHeight="1">
      <c r="E216" s="165"/>
    </row>
    <row r="217" spans="5:5" s="145" customFormat="1" ht="20.25" customHeight="1">
      <c r="E217" s="165"/>
    </row>
    <row r="218" spans="5:5" s="145" customFormat="1" ht="20.25" customHeight="1">
      <c r="E218" s="165"/>
    </row>
    <row r="219" spans="5:5" s="145" customFormat="1" ht="20.25" customHeight="1">
      <c r="E219" s="165"/>
    </row>
    <row r="220" spans="5:5" s="145" customFormat="1" ht="20.25" customHeight="1">
      <c r="E220" s="165"/>
    </row>
    <row r="221" spans="5:5" s="145" customFormat="1" ht="20.25" customHeight="1">
      <c r="E221" s="165"/>
    </row>
    <row r="222" spans="5:5" s="145" customFormat="1" ht="20.25" customHeight="1">
      <c r="E222" s="165"/>
    </row>
    <row r="223" spans="5:5" s="145" customFormat="1" ht="20.25" customHeight="1">
      <c r="E223" s="165"/>
    </row>
    <row r="224" spans="5:5" s="145" customFormat="1" ht="20.25" customHeight="1">
      <c r="E224" s="165"/>
    </row>
    <row r="225" spans="1:7" s="144" customFormat="1" ht="20.25" customHeight="1">
      <c r="A225" s="145"/>
      <c r="B225" s="145"/>
      <c r="C225" s="145"/>
      <c r="D225" s="145"/>
      <c r="E225" s="165"/>
      <c r="F225" s="145"/>
      <c r="G225" s="145"/>
    </row>
    <row r="226" spans="1:7" s="144" customFormat="1" ht="20.25" customHeight="1">
      <c r="A226" s="145"/>
      <c r="B226" s="145"/>
      <c r="C226" s="145"/>
      <c r="D226" s="145"/>
      <c r="E226" s="165"/>
      <c r="F226" s="145"/>
      <c r="G226" s="145"/>
    </row>
    <row r="227" spans="1:7" ht="20.25" customHeight="1">
      <c r="A227" s="145"/>
      <c r="B227" s="145"/>
      <c r="C227" s="145"/>
      <c r="D227" s="145"/>
      <c r="E227" s="165"/>
      <c r="F227" s="145"/>
      <c r="G227" s="145"/>
    </row>
    <row r="228" spans="1:7" ht="20.25" customHeight="1">
      <c r="A228" s="145"/>
      <c r="B228" s="145"/>
      <c r="C228" s="145"/>
      <c r="D228" s="145"/>
      <c r="E228" s="165"/>
      <c r="F228" s="145"/>
      <c r="G228" s="145"/>
    </row>
    <row r="229" spans="1:7" ht="20.25" customHeight="1">
      <c r="A229" s="145"/>
      <c r="B229" s="145"/>
      <c r="C229" s="145"/>
      <c r="D229" s="145"/>
      <c r="E229" s="165"/>
      <c r="F229" s="145"/>
      <c r="G229" s="145"/>
    </row>
    <row r="230" spans="1:7" ht="20.25" customHeight="1">
      <c r="A230" s="145"/>
      <c r="B230" s="145"/>
      <c r="C230" s="145"/>
      <c r="D230" s="145"/>
      <c r="E230" s="165"/>
      <c r="F230" s="145"/>
      <c r="G230" s="145"/>
    </row>
    <row r="231" spans="1:7" ht="20.25" customHeight="1">
      <c r="A231" s="145"/>
      <c r="B231" s="40"/>
      <c r="C231" s="40"/>
      <c r="D231" s="13"/>
      <c r="E231" s="17"/>
      <c r="F231" s="13"/>
      <c r="G231" s="40"/>
    </row>
    <row r="232" spans="1:7" ht="20.25" customHeight="1">
      <c r="A232" s="145"/>
      <c r="B232" s="40"/>
      <c r="C232" s="40"/>
      <c r="D232" s="13"/>
      <c r="E232" s="17"/>
      <c r="F232" s="13"/>
      <c r="G232" s="40"/>
    </row>
    <row r="233" spans="1:7" ht="20.25" customHeight="1">
      <c r="A233" s="145"/>
      <c r="B233" s="40"/>
      <c r="C233" s="40"/>
      <c r="D233" s="166"/>
      <c r="E233" s="167"/>
      <c r="F233" s="166"/>
      <c r="G233" s="40"/>
    </row>
    <row r="234" spans="1:7" ht="20.25" customHeight="1">
      <c r="A234" s="145"/>
      <c r="B234" s="40"/>
      <c r="C234" s="40"/>
      <c r="D234" s="168"/>
      <c r="E234" s="169"/>
      <c r="F234" s="168"/>
      <c r="G234" s="40"/>
    </row>
    <row r="235" spans="1:7" ht="20.25" customHeight="1">
      <c r="A235" s="144"/>
      <c r="B235" s="40"/>
      <c r="C235" s="40"/>
      <c r="D235" s="170"/>
      <c r="E235" s="171"/>
      <c r="F235" s="170"/>
      <c r="G235" s="40"/>
    </row>
    <row r="236" spans="1:7" ht="20.25" customHeight="1">
      <c r="A236" s="144"/>
      <c r="B236" s="40"/>
      <c r="C236" s="40"/>
      <c r="D236" s="170"/>
      <c r="E236" s="171"/>
      <c r="F236" s="170"/>
      <c r="G236" s="40"/>
    </row>
    <row r="237" spans="1:7" ht="20.25" customHeight="1">
      <c r="B237" s="40"/>
      <c r="C237" s="40"/>
      <c r="D237" s="170"/>
      <c r="E237" s="171"/>
      <c r="F237" s="170"/>
      <c r="G237" s="40"/>
    </row>
    <row r="238" spans="1:7" ht="20.25" customHeight="1">
      <c r="B238" s="40"/>
      <c r="C238" s="40"/>
      <c r="D238" s="170"/>
      <c r="E238" s="171"/>
      <c r="F238" s="170"/>
      <c r="G238" s="40"/>
    </row>
    <row r="239" spans="1:7" ht="20.25" customHeight="1">
      <c r="B239" s="40"/>
      <c r="C239" s="40"/>
      <c r="D239" s="13"/>
      <c r="E239" s="17"/>
      <c r="F239" s="13"/>
      <c r="G239" s="40"/>
    </row>
    <row r="240" spans="1:7" ht="20.25" customHeight="1">
      <c r="B240" s="40"/>
      <c r="C240" s="40"/>
      <c r="D240" s="13"/>
      <c r="E240" s="17"/>
      <c r="F240" s="13"/>
      <c r="G240" s="40"/>
    </row>
    <row r="241" spans="2:7" ht="20.25" customHeight="1">
      <c r="B241" s="40"/>
      <c r="C241" s="40"/>
      <c r="D241" s="166"/>
      <c r="E241" s="167"/>
      <c r="F241" s="166"/>
      <c r="G241" s="40"/>
    </row>
    <row r="242" spans="2:7" ht="20.25" customHeight="1">
      <c r="B242" s="40"/>
      <c r="C242" s="40"/>
      <c r="D242" s="168"/>
      <c r="E242" s="169"/>
      <c r="F242" s="168"/>
      <c r="G242" s="40"/>
    </row>
    <row r="243" spans="2:7" ht="20.25" customHeight="1">
      <c r="B243" s="40"/>
      <c r="C243" s="40"/>
      <c r="D243" s="170"/>
      <c r="E243" s="171"/>
      <c r="F243" s="170"/>
      <c r="G243" s="40"/>
    </row>
    <row r="244" spans="2:7" ht="20.25" customHeight="1">
      <c r="B244" s="40"/>
      <c r="C244" s="40"/>
      <c r="D244" s="170"/>
      <c r="E244" s="171"/>
      <c r="F244" s="170"/>
      <c r="G244" s="40"/>
    </row>
    <row r="245" spans="2:7" ht="20.25" customHeight="1">
      <c r="B245" s="40"/>
      <c r="C245" s="40"/>
      <c r="D245" s="13"/>
      <c r="E245" s="17"/>
      <c r="F245" s="13"/>
      <c r="G245" s="40"/>
    </row>
    <row r="246" spans="2:7" ht="20.25" customHeight="1">
      <c r="B246" s="40"/>
      <c r="C246" s="40"/>
      <c r="D246" s="172"/>
      <c r="E246" s="173"/>
      <c r="F246" s="172"/>
      <c r="G246" s="40"/>
    </row>
    <row r="247" spans="2:7" ht="20.25" customHeight="1">
      <c r="B247" s="40"/>
      <c r="C247" s="40"/>
      <c r="D247" s="13"/>
      <c r="E247" s="17"/>
      <c r="F247" s="13"/>
      <c r="G247" s="40"/>
    </row>
    <row r="248" spans="2:7" ht="20.25" customHeight="1">
      <c r="B248" s="40"/>
      <c r="C248" s="40"/>
      <c r="D248" s="13"/>
      <c r="E248" s="17"/>
      <c r="F248" s="13"/>
      <c r="G248" s="40"/>
    </row>
    <row r="249" spans="2:7" ht="20.25" customHeight="1">
      <c r="B249" s="40"/>
      <c r="C249" s="40"/>
      <c r="D249" s="13"/>
      <c r="E249" s="17"/>
      <c r="F249" s="13"/>
      <c r="G249" s="40"/>
    </row>
    <row r="250" spans="2:7" ht="20.25" customHeight="1">
      <c r="B250" s="40"/>
      <c r="C250" s="40"/>
      <c r="D250" s="13"/>
      <c r="E250" s="17"/>
      <c r="F250" s="13"/>
      <c r="G250" s="40"/>
    </row>
    <row r="251" spans="2:7" ht="20.25" customHeight="1">
      <c r="B251" s="40"/>
      <c r="C251" s="40"/>
      <c r="D251" s="172"/>
      <c r="E251" s="173"/>
      <c r="F251" s="172"/>
      <c r="G251" s="40"/>
    </row>
    <row r="252" spans="2:7" ht="20.25" customHeight="1">
      <c r="B252" s="40"/>
      <c r="C252" s="40"/>
      <c r="D252" s="13"/>
      <c r="E252" s="17"/>
      <c r="F252" s="13"/>
      <c r="G252" s="40"/>
    </row>
    <row r="253" spans="2:7" ht="20.25" customHeight="1">
      <c r="B253" s="40"/>
      <c r="C253" s="40"/>
      <c r="D253" s="13"/>
      <c r="E253" s="17"/>
      <c r="F253" s="13"/>
      <c r="G253" s="40"/>
    </row>
    <row r="254" spans="2:7" ht="20.25" customHeight="1">
      <c r="B254" s="40"/>
      <c r="C254" s="40"/>
      <c r="D254" s="13"/>
      <c r="E254" s="17"/>
      <c r="F254" s="13"/>
      <c r="G254" s="40"/>
    </row>
    <row r="255" spans="2:7" ht="20.25" customHeight="1">
      <c r="B255" s="40"/>
      <c r="C255" s="40"/>
      <c r="D255" s="13"/>
      <c r="E255" s="17"/>
      <c r="F255" s="13"/>
      <c r="G255" s="40"/>
    </row>
    <row r="256" spans="2:7" ht="20.25" customHeight="1">
      <c r="B256" s="40"/>
      <c r="C256" s="40"/>
      <c r="D256" s="166"/>
      <c r="E256" s="167"/>
      <c r="F256" s="166"/>
      <c r="G256" s="40"/>
    </row>
    <row r="257" spans="2:7" ht="20.25" customHeight="1">
      <c r="B257" s="40"/>
      <c r="C257" s="40"/>
      <c r="D257" s="170"/>
      <c r="E257" s="171"/>
      <c r="F257" s="170"/>
      <c r="G257" s="40"/>
    </row>
    <row r="258" spans="2:7" ht="20.25" customHeight="1">
      <c r="B258" s="40"/>
      <c r="C258" s="40"/>
      <c r="D258" s="170"/>
      <c r="E258" s="171"/>
      <c r="F258" s="170"/>
      <c r="G258" s="40"/>
    </row>
    <row r="259" spans="2:7" ht="20.25" customHeight="1">
      <c r="B259" s="40"/>
      <c r="C259" s="40"/>
      <c r="D259" s="170"/>
      <c r="E259" s="171"/>
      <c r="F259" s="170"/>
      <c r="G259" s="40"/>
    </row>
    <row r="260" spans="2:7" ht="20.25" customHeight="1"/>
    <row r="261" spans="2:7" ht="20.25" customHeight="1"/>
    <row r="262" spans="2:7" ht="20.25" customHeight="1"/>
    <row r="263" spans="2:7" ht="20.25" customHeight="1"/>
    <row r="264" spans="2:7" ht="20.25" customHeight="1"/>
    <row r="265" spans="2:7" ht="20.25" customHeight="1"/>
    <row r="266" spans="2:7" ht="20.25" customHeight="1"/>
    <row r="267" spans="2:7" ht="20.25" customHeight="1"/>
    <row r="268" spans="2:7" ht="20.25" customHeight="1"/>
    <row r="269" spans="2:7" ht="20.25" customHeight="1"/>
    <row r="270" spans="2:7" ht="20.25" customHeight="1"/>
    <row r="271" spans="2:7" ht="20.25" customHeight="1"/>
    <row r="272" spans="2:7" ht="20.25" customHeight="1"/>
    <row r="273" ht="20.25" customHeight="1"/>
    <row r="274" ht="20.25" customHeight="1"/>
    <row r="275" ht="20.25" customHeight="1"/>
    <row r="276" ht="20.25" customHeight="1"/>
    <row r="277" ht="20.25" customHeight="1"/>
    <row r="278" ht="20.25" customHeight="1"/>
    <row r="279" ht="20.25" customHeight="1"/>
    <row r="280" ht="20.25" customHeight="1"/>
    <row r="281" ht="20.25" customHeight="1"/>
    <row r="282" ht="20.25" customHeight="1"/>
    <row r="283" ht="20.25" customHeight="1"/>
    <row r="284" ht="20.25" customHeight="1"/>
    <row r="285" ht="20.25" customHeight="1"/>
    <row r="286" ht="20.25" customHeight="1"/>
    <row r="287" ht="20.25" customHeight="1"/>
    <row r="288" ht="20.25" customHeight="1"/>
    <row r="289" ht="20.25" customHeight="1"/>
    <row r="290" ht="20.25" customHeight="1"/>
    <row r="291" ht="20.25" customHeight="1"/>
    <row r="292" ht="20.25" customHeight="1"/>
    <row r="293" ht="20.25" customHeight="1"/>
    <row r="294" ht="20.25" customHeight="1"/>
    <row r="295" ht="20.25" customHeight="1"/>
    <row r="296" ht="20.25" customHeight="1"/>
    <row r="297" ht="20.25" customHeight="1"/>
    <row r="298" ht="20.25" customHeight="1"/>
    <row r="299" ht="20.25" customHeight="1"/>
    <row r="300" ht="20.25" customHeight="1"/>
    <row r="301" ht="20.25" customHeight="1"/>
    <row r="302" ht="20.25" customHeight="1"/>
    <row r="303" ht="20.25" customHeight="1"/>
    <row r="304" ht="20.25" customHeight="1"/>
    <row r="305" ht="20.25" customHeight="1"/>
    <row r="306" ht="20.25" customHeight="1"/>
    <row r="307" ht="20.25" customHeight="1"/>
    <row r="308" ht="20.25" customHeight="1"/>
    <row r="309" ht="20.25" customHeight="1"/>
    <row r="310" ht="20.25" customHeight="1"/>
    <row r="311" ht="20.25" customHeight="1"/>
    <row r="312" ht="20.25" customHeight="1"/>
    <row r="313" ht="20.25" customHeight="1"/>
    <row r="314" ht="20.25" customHeight="1"/>
    <row r="315" ht="20.25" customHeight="1"/>
    <row r="316" ht="20.25" customHeight="1"/>
    <row r="317" ht="20.25" customHeight="1"/>
    <row r="318" ht="20.25" customHeight="1"/>
    <row r="319" ht="20.25" customHeight="1"/>
    <row r="320" ht="20.25" customHeight="1"/>
    <row r="321" ht="20.25" customHeight="1"/>
    <row r="322" ht="20.25" customHeight="1"/>
    <row r="323" ht="20.25" customHeight="1"/>
  </sheetData>
  <mergeCells count="12">
    <mergeCell ref="A1:G2"/>
    <mergeCell ref="B36:G36"/>
    <mergeCell ref="A3:G3"/>
    <mergeCell ref="A4:G4"/>
    <mergeCell ref="B121:G121"/>
    <mergeCell ref="B6:G6"/>
    <mergeCell ref="B91:G91"/>
    <mergeCell ref="B96:G96"/>
    <mergeCell ref="B100:G100"/>
    <mergeCell ref="B77:G77"/>
    <mergeCell ref="B83:G83"/>
    <mergeCell ref="B80:G80"/>
  </mergeCells>
  <phoneticPr fontId="3" type="noConversion"/>
  <printOptions horizontalCentered="1"/>
  <pageMargins left="0.51181102362204722" right="0.27559055118110237" top="0.59055118110236227" bottom="0.78740157480314965" header="0.78740157480314965" footer="0.47244094488188981"/>
  <pageSetup paperSize="9" scale="99" orientation="portrait" r:id="rId1"/>
  <headerFooter alignWithMargins="0">
    <oddHeader xml:space="preserve">&amp;R
</oddHeader>
    <oddFooter>&amp;L&amp;"標楷體,標準"計算:&amp;C&amp;"標楷體,標準"總表-&amp;P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3:R32"/>
  <sheetViews>
    <sheetView view="pageBreakPreview" zoomScale="70" zoomScaleNormal="100" zoomScaleSheetLayoutView="70" workbookViewId="0">
      <selection activeCell="B13" sqref="B13"/>
    </sheetView>
  </sheetViews>
  <sheetFormatPr defaultRowHeight="15.75"/>
  <cols>
    <col min="1" max="1" width="5.625" style="127" customWidth="1"/>
    <col min="2" max="2" width="31.625" style="127" customWidth="1"/>
    <col min="3" max="3" width="5.625" style="127" customWidth="1"/>
    <col min="4" max="15" width="15.625" style="127" customWidth="1"/>
    <col min="16" max="16" width="10.625" style="127" customWidth="1"/>
    <col min="17" max="17" width="26.375" style="127" bestFit="1" customWidth="1"/>
    <col min="18" max="18" width="11.375" style="127" customWidth="1"/>
    <col min="19" max="19" width="13.25" style="127" customWidth="1"/>
    <col min="20" max="259" width="9" style="127"/>
    <col min="260" max="260" width="6.625" style="127" customWidth="1"/>
    <col min="261" max="261" width="31.625" style="127" customWidth="1"/>
    <col min="262" max="262" width="6.625" style="127" customWidth="1"/>
    <col min="263" max="268" width="16.625" style="127" customWidth="1"/>
    <col min="269" max="269" width="21.875" style="127" bestFit="1" customWidth="1"/>
    <col min="270" max="270" width="15.625" style="127" customWidth="1"/>
    <col min="271" max="271" width="16.625" style="127" customWidth="1"/>
    <col min="272" max="272" width="10.625" style="127" customWidth="1"/>
    <col min="273" max="273" width="26.375" style="127" bestFit="1" customWidth="1"/>
    <col min="274" max="274" width="11.375" style="127" customWidth="1"/>
    <col min="275" max="275" width="13.25" style="127" customWidth="1"/>
    <col min="276" max="515" width="9" style="127"/>
    <col min="516" max="516" width="6.625" style="127" customWidth="1"/>
    <col min="517" max="517" width="31.625" style="127" customWidth="1"/>
    <col min="518" max="518" width="6.625" style="127" customWidth="1"/>
    <col min="519" max="524" width="16.625" style="127" customWidth="1"/>
    <col min="525" max="525" width="21.875" style="127" bestFit="1" customWidth="1"/>
    <col min="526" max="526" width="15.625" style="127" customWidth="1"/>
    <col min="527" max="527" width="16.625" style="127" customWidth="1"/>
    <col min="528" max="528" width="10.625" style="127" customWidth="1"/>
    <col min="529" max="529" width="26.375" style="127" bestFit="1" customWidth="1"/>
    <col min="530" max="530" width="11.375" style="127" customWidth="1"/>
    <col min="531" max="531" width="13.25" style="127" customWidth="1"/>
    <col min="532" max="771" width="9" style="127"/>
    <col min="772" max="772" width="6.625" style="127" customWidth="1"/>
    <col min="773" max="773" width="31.625" style="127" customWidth="1"/>
    <col min="774" max="774" width="6.625" style="127" customWidth="1"/>
    <col min="775" max="780" width="16.625" style="127" customWidth="1"/>
    <col min="781" max="781" width="21.875" style="127" bestFit="1" customWidth="1"/>
    <col min="782" max="782" width="15.625" style="127" customWidth="1"/>
    <col min="783" max="783" width="16.625" style="127" customWidth="1"/>
    <col min="784" max="784" width="10.625" style="127" customWidth="1"/>
    <col min="785" max="785" width="26.375" style="127" bestFit="1" customWidth="1"/>
    <col min="786" max="786" width="11.375" style="127" customWidth="1"/>
    <col min="787" max="787" width="13.25" style="127" customWidth="1"/>
    <col min="788" max="1027" width="9" style="127"/>
    <col min="1028" max="1028" width="6.625" style="127" customWidth="1"/>
    <col min="1029" max="1029" width="31.625" style="127" customWidth="1"/>
    <col min="1030" max="1030" width="6.625" style="127" customWidth="1"/>
    <col min="1031" max="1036" width="16.625" style="127" customWidth="1"/>
    <col min="1037" max="1037" width="21.875" style="127" bestFit="1" customWidth="1"/>
    <col min="1038" max="1038" width="15.625" style="127" customWidth="1"/>
    <col min="1039" max="1039" width="16.625" style="127" customWidth="1"/>
    <col min="1040" max="1040" width="10.625" style="127" customWidth="1"/>
    <col min="1041" max="1041" width="26.375" style="127" bestFit="1" customWidth="1"/>
    <col min="1042" max="1042" width="11.375" style="127" customWidth="1"/>
    <col min="1043" max="1043" width="13.25" style="127" customWidth="1"/>
    <col min="1044" max="1283" width="9" style="127"/>
    <col min="1284" max="1284" width="6.625" style="127" customWidth="1"/>
    <col min="1285" max="1285" width="31.625" style="127" customWidth="1"/>
    <col min="1286" max="1286" width="6.625" style="127" customWidth="1"/>
    <col min="1287" max="1292" width="16.625" style="127" customWidth="1"/>
    <col min="1293" max="1293" width="21.875" style="127" bestFit="1" customWidth="1"/>
    <col min="1294" max="1294" width="15.625" style="127" customWidth="1"/>
    <col min="1295" max="1295" width="16.625" style="127" customWidth="1"/>
    <col min="1296" max="1296" width="10.625" style="127" customWidth="1"/>
    <col min="1297" max="1297" width="26.375" style="127" bestFit="1" customWidth="1"/>
    <col min="1298" max="1298" width="11.375" style="127" customWidth="1"/>
    <col min="1299" max="1299" width="13.25" style="127" customWidth="1"/>
    <col min="1300" max="1539" width="9" style="127"/>
    <col min="1540" max="1540" width="6.625" style="127" customWidth="1"/>
    <col min="1541" max="1541" width="31.625" style="127" customWidth="1"/>
    <col min="1542" max="1542" width="6.625" style="127" customWidth="1"/>
    <col min="1543" max="1548" width="16.625" style="127" customWidth="1"/>
    <col min="1549" max="1549" width="21.875" style="127" bestFit="1" customWidth="1"/>
    <col min="1550" max="1550" width="15.625" style="127" customWidth="1"/>
    <col min="1551" max="1551" width="16.625" style="127" customWidth="1"/>
    <col min="1552" max="1552" width="10.625" style="127" customWidth="1"/>
    <col min="1553" max="1553" width="26.375" style="127" bestFit="1" customWidth="1"/>
    <col min="1554" max="1554" width="11.375" style="127" customWidth="1"/>
    <col min="1555" max="1555" width="13.25" style="127" customWidth="1"/>
    <col min="1556" max="1795" width="9" style="127"/>
    <col min="1796" max="1796" width="6.625" style="127" customWidth="1"/>
    <col min="1797" max="1797" width="31.625" style="127" customWidth="1"/>
    <col min="1798" max="1798" width="6.625" style="127" customWidth="1"/>
    <col min="1799" max="1804" width="16.625" style="127" customWidth="1"/>
    <col min="1805" max="1805" width="21.875" style="127" bestFit="1" customWidth="1"/>
    <col min="1806" max="1806" width="15.625" style="127" customWidth="1"/>
    <col min="1807" max="1807" width="16.625" style="127" customWidth="1"/>
    <col min="1808" max="1808" width="10.625" style="127" customWidth="1"/>
    <col min="1809" max="1809" width="26.375" style="127" bestFit="1" customWidth="1"/>
    <col min="1810" max="1810" width="11.375" style="127" customWidth="1"/>
    <col min="1811" max="1811" width="13.25" style="127" customWidth="1"/>
    <col min="1812" max="2051" width="9" style="127"/>
    <col min="2052" max="2052" width="6.625" style="127" customWidth="1"/>
    <col min="2053" max="2053" width="31.625" style="127" customWidth="1"/>
    <col min="2054" max="2054" width="6.625" style="127" customWidth="1"/>
    <col min="2055" max="2060" width="16.625" style="127" customWidth="1"/>
    <col min="2061" max="2061" width="21.875" style="127" bestFit="1" customWidth="1"/>
    <col min="2062" max="2062" width="15.625" style="127" customWidth="1"/>
    <col min="2063" max="2063" width="16.625" style="127" customWidth="1"/>
    <col min="2064" max="2064" width="10.625" style="127" customWidth="1"/>
    <col min="2065" max="2065" width="26.375" style="127" bestFit="1" customWidth="1"/>
    <col min="2066" max="2066" width="11.375" style="127" customWidth="1"/>
    <col min="2067" max="2067" width="13.25" style="127" customWidth="1"/>
    <col min="2068" max="2307" width="9" style="127"/>
    <col min="2308" max="2308" width="6.625" style="127" customWidth="1"/>
    <col min="2309" max="2309" width="31.625" style="127" customWidth="1"/>
    <col min="2310" max="2310" width="6.625" style="127" customWidth="1"/>
    <col min="2311" max="2316" width="16.625" style="127" customWidth="1"/>
    <col min="2317" max="2317" width="21.875" style="127" bestFit="1" customWidth="1"/>
    <col min="2318" max="2318" width="15.625" style="127" customWidth="1"/>
    <col min="2319" max="2319" width="16.625" style="127" customWidth="1"/>
    <col min="2320" max="2320" width="10.625" style="127" customWidth="1"/>
    <col min="2321" max="2321" width="26.375" style="127" bestFit="1" customWidth="1"/>
    <col min="2322" max="2322" width="11.375" style="127" customWidth="1"/>
    <col min="2323" max="2323" width="13.25" style="127" customWidth="1"/>
    <col min="2324" max="2563" width="9" style="127"/>
    <col min="2564" max="2564" width="6.625" style="127" customWidth="1"/>
    <col min="2565" max="2565" width="31.625" style="127" customWidth="1"/>
    <col min="2566" max="2566" width="6.625" style="127" customWidth="1"/>
    <col min="2567" max="2572" width="16.625" style="127" customWidth="1"/>
    <col min="2573" max="2573" width="21.875" style="127" bestFit="1" customWidth="1"/>
    <col min="2574" max="2574" width="15.625" style="127" customWidth="1"/>
    <col min="2575" max="2575" width="16.625" style="127" customWidth="1"/>
    <col min="2576" max="2576" width="10.625" style="127" customWidth="1"/>
    <col min="2577" max="2577" width="26.375" style="127" bestFit="1" customWidth="1"/>
    <col min="2578" max="2578" width="11.375" style="127" customWidth="1"/>
    <col min="2579" max="2579" width="13.25" style="127" customWidth="1"/>
    <col min="2580" max="2819" width="9" style="127"/>
    <col min="2820" max="2820" width="6.625" style="127" customWidth="1"/>
    <col min="2821" max="2821" width="31.625" style="127" customWidth="1"/>
    <col min="2822" max="2822" width="6.625" style="127" customWidth="1"/>
    <col min="2823" max="2828" width="16.625" style="127" customWidth="1"/>
    <col min="2829" max="2829" width="21.875" style="127" bestFit="1" customWidth="1"/>
    <col min="2830" max="2830" width="15.625" style="127" customWidth="1"/>
    <col min="2831" max="2831" width="16.625" style="127" customWidth="1"/>
    <col min="2832" max="2832" width="10.625" style="127" customWidth="1"/>
    <col min="2833" max="2833" width="26.375" style="127" bestFit="1" customWidth="1"/>
    <col min="2834" max="2834" width="11.375" style="127" customWidth="1"/>
    <col min="2835" max="2835" width="13.25" style="127" customWidth="1"/>
    <col min="2836" max="3075" width="9" style="127"/>
    <col min="3076" max="3076" width="6.625" style="127" customWidth="1"/>
    <col min="3077" max="3077" width="31.625" style="127" customWidth="1"/>
    <col min="3078" max="3078" width="6.625" style="127" customWidth="1"/>
    <col min="3079" max="3084" width="16.625" style="127" customWidth="1"/>
    <col min="3085" max="3085" width="21.875" style="127" bestFit="1" customWidth="1"/>
    <col min="3086" max="3086" width="15.625" style="127" customWidth="1"/>
    <col min="3087" max="3087" width="16.625" style="127" customWidth="1"/>
    <col min="3088" max="3088" width="10.625" style="127" customWidth="1"/>
    <col min="3089" max="3089" width="26.375" style="127" bestFit="1" customWidth="1"/>
    <col min="3090" max="3090" width="11.375" style="127" customWidth="1"/>
    <col min="3091" max="3091" width="13.25" style="127" customWidth="1"/>
    <col min="3092" max="3331" width="9" style="127"/>
    <col min="3332" max="3332" width="6.625" style="127" customWidth="1"/>
    <col min="3333" max="3333" width="31.625" style="127" customWidth="1"/>
    <col min="3334" max="3334" width="6.625" style="127" customWidth="1"/>
    <col min="3335" max="3340" width="16.625" style="127" customWidth="1"/>
    <col min="3341" max="3341" width="21.875" style="127" bestFit="1" customWidth="1"/>
    <col min="3342" max="3342" width="15.625" style="127" customWidth="1"/>
    <col min="3343" max="3343" width="16.625" style="127" customWidth="1"/>
    <col min="3344" max="3344" width="10.625" style="127" customWidth="1"/>
    <col min="3345" max="3345" width="26.375" style="127" bestFit="1" customWidth="1"/>
    <col min="3346" max="3346" width="11.375" style="127" customWidth="1"/>
    <col min="3347" max="3347" width="13.25" style="127" customWidth="1"/>
    <col min="3348" max="3587" width="9" style="127"/>
    <col min="3588" max="3588" width="6.625" style="127" customWidth="1"/>
    <col min="3589" max="3589" width="31.625" style="127" customWidth="1"/>
    <col min="3590" max="3590" width="6.625" style="127" customWidth="1"/>
    <col min="3591" max="3596" width="16.625" style="127" customWidth="1"/>
    <col min="3597" max="3597" width="21.875" style="127" bestFit="1" customWidth="1"/>
    <col min="3598" max="3598" width="15.625" style="127" customWidth="1"/>
    <col min="3599" max="3599" width="16.625" style="127" customWidth="1"/>
    <col min="3600" max="3600" width="10.625" style="127" customWidth="1"/>
    <col min="3601" max="3601" width="26.375" style="127" bestFit="1" customWidth="1"/>
    <col min="3602" max="3602" width="11.375" style="127" customWidth="1"/>
    <col min="3603" max="3603" width="13.25" style="127" customWidth="1"/>
    <col min="3604" max="3843" width="9" style="127"/>
    <col min="3844" max="3844" width="6.625" style="127" customWidth="1"/>
    <col min="3845" max="3845" width="31.625" style="127" customWidth="1"/>
    <col min="3846" max="3846" width="6.625" style="127" customWidth="1"/>
    <col min="3847" max="3852" width="16.625" style="127" customWidth="1"/>
    <col min="3853" max="3853" width="21.875" style="127" bestFit="1" customWidth="1"/>
    <col min="3854" max="3854" width="15.625" style="127" customWidth="1"/>
    <col min="3855" max="3855" width="16.625" style="127" customWidth="1"/>
    <col min="3856" max="3856" width="10.625" style="127" customWidth="1"/>
    <col min="3857" max="3857" width="26.375" style="127" bestFit="1" customWidth="1"/>
    <col min="3858" max="3858" width="11.375" style="127" customWidth="1"/>
    <col min="3859" max="3859" width="13.25" style="127" customWidth="1"/>
    <col min="3860" max="4099" width="9" style="127"/>
    <col min="4100" max="4100" width="6.625" style="127" customWidth="1"/>
    <col min="4101" max="4101" width="31.625" style="127" customWidth="1"/>
    <col min="4102" max="4102" width="6.625" style="127" customWidth="1"/>
    <col min="4103" max="4108" width="16.625" style="127" customWidth="1"/>
    <col min="4109" max="4109" width="21.875" style="127" bestFit="1" customWidth="1"/>
    <col min="4110" max="4110" width="15.625" style="127" customWidth="1"/>
    <col min="4111" max="4111" width="16.625" style="127" customWidth="1"/>
    <col min="4112" max="4112" width="10.625" style="127" customWidth="1"/>
    <col min="4113" max="4113" width="26.375" style="127" bestFit="1" customWidth="1"/>
    <col min="4114" max="4114" width="11.375" style="127" customWidth="1"/>
    <col min="4115" max="4115" width="13.25" style="127" customWidth="1"/>
    <col min="4116" max="4355" width="9" style="127"/>
    <col min="4356" max="4356" width="6.625" style="127" customWidth="1"/>
    <col min="4357" max="4357" width="31.625" style="127" customWidth="1"/>
    <col min="4358" max="4358" width="6.625" style="127" customWidth="1"/>
    <col min="4359" max="4364" width="16.625" style="127" customWidth="1"/>
    <col min="4365" max="4365" width="21.875" style="127" bestFit="1" customWidth="1"/>
    <col min="4366" max="4366" width="15.625" style="127" customWidth="1"/>
    <col min="4367" max="4367" width="16.625" style="127" customWidth="1"/>
    <col min="4368" max="4368" width="10.625" style="127" customWidth="1"/>
    <col min="4369" max="4369" width="26.375" style="127" bestFit="1" customWidth="1"/>
    <col min="4370" max="4370" width="11.375" style="127" customWidth="1"/>
    <col min="4371" max="4371" width="13.25" style="127" customWidth="1"/>
    <col min="4372" max="4611" width="9" style="127"/>
    <col min="4612" max="4612" width="6.625" style="127" customWidth="1"/>
    <col min="4613" max="4613" width="31.625" style="127" customWidth="1"/>
    <col min="4614" max="4614" width="6.625" style="127" customWidth="1"/>
    <col min="4615" max="4620" width="16.625" style="127" customWidth="1"/>
    <col min="4621" max="4621" width="21.875" style="127" bestFit="1" customWidth="1"/>
    <col min="4622" max="4622" width="15.625" style="127" customWidth="1"/>
    <col min="4623" max="4623" width="16.625" style="127" customWidth="1"/>
    <col min="4624" max="4624" width="10.625" style="127" customWidth="1"/>
    <col min="4625" max="4625" width="26.375" style="127" bestFit="1" customWidth="1"/>
    <col min="4626" max="4626" width="11.375" style="127" customWidth="1"/>
    <col min="4627" max="4627" width="13.25" style="127" customWidth="1"/>
    <col min="4628" max="4867" width="9" style="127"/>
    <col min="4868" max="4868" width="6.625" style="127" customWidth="1"/>
    <col min="4869" max="4869" width="31.625" style="127" customWidth="1"/>
    <col min="4870" max="4870" width="6.625" style="127" customWidth="1"/>
    <col min="4871" max="4876" width="16.625" style="127" customWidth="1"/>
    <col min="4877" max="4877" width="21.875" style="127" bestFit="1" customWidth="1"/>
    <col min="4878" max="4878" width="15.625" style="127" customWidth="1"/>
    <col min="4879" max="4879" width="16.625" style="127" customWidth="1"/>
    <col min="4880" max="4880" width="10.625" style="127" customWidth="1"/>
    <col min="4881" max="4881" width="26.375" style="127" bestFit="1" customWidth="1"/>
    <col min="4882" max="4882" width="11.375" style="127" customWidth="1"/>
    <col min="4883" max="4883" width="13.25" style="127" customWidth="1"/>
    <col min="4884" max="5123" width="9" style="127"/>
    <col min="5124" max="5124" width="6.625" style="127" customWidth="1"/>
    <col min="5125" max="5125" width="31.625" style="127" customWidth="1"/>
    <col min="5126" max="5126" width="6.625" style="127" customWidth="1"/>
    <col min="5127" max="5132" width="16.625" style="127" customWidth="1"/>
    <col min="5133" max="5133" width="21.875" style="127" bestFit="1" customWidth="1"/>
    <col min="5134" max="5134" width="15.625" style="127" customWidth="1"/>
    <col min="5135" max="5135" width="16.625" style="127" customWidth="1"/>
    <col min="5136" max="5136" width="10.625" style="127" customWidth="1"/>
    <col min="5137" max="5137" width="26.375" style="127" bestFit="1" customWidth="1"/>
    <col min="5138" max="5138" width="11.375" style="127" customWidth="1"/>
    <col min="5139" max="5139" width="13.25" style="127" customWidth="1"/>
    <col min="5140" max="5379" width="9" style="127"/>
    <col min="5380" max="5380" width="6.625" style="127" customWidth="1"/>
    <col min="5381" max="5381" width="31.625" style="127" customWidth="1"/>
    <col min="5382" max="5382" width="6.625" style="127" customWidth="1"/>
    <col min="5383" max="5388" width="16.625" style="127" customWidth="1"/>
    <col min="5389" max="5389" width="21.875" style="127" bestFit="1" customWidth="1"/>
    <col min="5390" max="5390" width="15.625" style="127" customWidth="1"/>
    <col min="5391" max="5391" width="16.625" style="127" customWidth="1"/>
    <col min="5392" max="5392" width="10.625" style="127" customWidth="1"/>
    <col min="5393" max="5393" width="26.375" style="127" bestFit="1" customWidth="1"/>
    <col min="5394" max="5394" width="11.375" style="127" customWidth="1"/>
    <col min="5395" max="5395" width="13.25" style="127" customWidth="1"/>
    <col min="5396" max="5635" width="9" style="127"/>
    <col min="5636" max="5636" width="6.625" style="127" customWidth="1"/>
    <col min="5637" max="5637" width="31.625" style="127" customWidth="1"/>
    <col min="5638" max="5638" width="6.625" style="127" customWidth="1"/>
    <col min="5639" max="5644" width="16.625" style="127" customWidth="1"/>
    <col min="5645" max="5645" width="21.875" style="127" bestFit="1" customWidth="1"/>
    <col min="5646" max="5646" width="15.625" style="127" customWidth="1"/>
    <col min="5647" max="5647" width="16.625" style="127" customWidth="1"/>
    <col min="5648" max="5648" width="10.625" style="127" customWidth="1"/>
    <col min="5649" max="5649" width="26.375" style="127" bestFit="1" customWidth="1"/>
    <col min="5650" max="5650" width="11.375" style="127" customWidth="1"/>
    <col min="5651" max="5651" width="13.25" style="127" customWidth="1"/>
    <col min="5652" max="5891" width="9" style="127"/>
    <col min="5892" max="5892" width="6.625" style="127" customWidth="1"/>
    <col min="5893" max="5893" width="31.625" style="127" customWidth="1"/>
    <col min="5894" max="5894" width="6.625" style="127" customWidth="1"/>
    <col min="5895" max="5900" width="16.625" style="127" customWidth="1"/>
    <col min="5901" max="5901" width="21.875" style="127" bestFit="1" customWidth="1"/>
    <col min="5902" max="5902" width="15.625" style="127" customWidth="1"/>
    <col min="5903" max="5903" width="16.625" style="127" customWidth="1"/>
    <col min="5904" max="5904" width="10.625" style="127" customWidth="1"/>
    <col min="5905" max="5905" width="26.375" style="127" bestFit="1" customWidth="1"/>
    <col min="5906" max="5906" width="11.375" style="127" customWidth="1"/>
    <col min="5907" max="5907" width="13.25" style="127" customWidth="1"/>
    <col min="5908" max="6147" width="9" style="127"/>
    <col min="6148" max="6148" width="6.625" style="127" customWidth="1"/>
    <col min="6149" max="6149" width="31.625" style="127" customWidth="1"/>
    <col min="6150" max="6150" width="6.625" style="127" customWidth="1"/>
    <col min="6151" max="6156" width="16.625" style="127" customWidth="1"/>
    <col min="6157" max="6157" width="21.875" style="127" bestFit="1" customWidth="1"/>
    <col min="6158" max="6158" width="15.625" style="127" customWidth="1"/>
    <col min="6159" max="6159" width="16.625" style="127" customWidth="1"/>
    <col min="6160" max="6160" width="10.625" style="127" customWidth="1"/>
    <col min="6161" max="6161" width="26.375" style="127" bestFit="1" customWidth="1"/>
    <col min="6162" max="6162" width="11.375" style="127" customWidth="1"/>
    <col min="6163" max="6163" width="13.25" style="127" customWidth="1"/>
    <col min="6164" max="6403" width="9" style="127"/>
    <col min="6404" max="6404" width="6.625" style="127" customWidth="1"/>
    <col min="6405" max="6405" width="31.625" style="127" customWidth="1"/>
    <col min="6406" max="6406" width="6.625" style="127" customWidth="1"/>
    <col min="6407" max="6412" width="16.625" style="127" customWidth="1"/>
    <col min="6413" max="6413" width="21.875" style="127" bestFit="1" customWidth="1"/>
    <col min="6414" max="6414" width="15.625" style="127" customWidth="1"/>
    <col min="6415" max="6415" width="16.625" style="127" customWidth="1"/>
    <col min="6416" max="6416" width="10.625" style="127" customWidth="1"/>
    <col min="6417" max="6417" width="26.375" style="127" bestFit="1" customWidth="1"/>
    <col min="6418" max="6418" width="11.375" style="127" customWidth="1"/>
    <col min="6419" max="6419" width="13.25" style="127" customWidth="1"/>
    <col min="6420" max="6659" width="9" style="127"/>
    <col min="6660" max="6660" width="6.625" style="127" customWidth="1"/>
    <col min="6661" max="6661" width="31.625" style="127" customWidth="1"/>
    <col min="6662" max="6662" width="6.625" style="127" customWidth="1"/>
    <col min="6663" max="6668" width="16.625" style="127" customWidth="1"/>
    <col min="6669" max="6669" width="21.875" style="127" bestFit="1" customWidth="1"/>
    <col min="6670" max="6670" width="15.625" style="127" customWidth="1"/>
    <col min="6671" max="6671" width="16.625" style="127" customWidth="1"/>
    <col min="6672" max="6672" width="10.625" style="127" customWidth="1"/>
    <col min="6673" max="6673" width="26.375" style="127" bestFit="1" customWidth="1"/>
    <col min="6674" max="6674" width="11.375" style="127" customWidth="1"/>
    <col min="6675" max="6675" width="13.25" style="127" customWidth="1"/>
    <col min="6676" max="6915" width="9" style="127"/>
    <col min="6916" max="6916" width="6.625" style="127" customWidth="1"/>
    <col min="6917" max="6917" width="31.625" style="127" customWidth="1"/>
    <col min="6918" max="6918" width="6.625" style="127" customWidth="1"/>
    <col min="6919" max="6924" width="16.625" style="127" customWidth="1"/>
    <col min="6925" max="6925" width="21.875" style="127" bestFit="1" customWidth="1"/>
    <col min="6926" max="6926" width="15.625" style="127" customWidth="1"/>
    <col min="6927" max="6927" width="16.625" style="127" customWidth="1"/>
    <col min="6928" max="6928" width="10.625" style="127" customWidth="1"/>
    <col min="6929" max="6929" width="26.375" style="127" bestFit="1" customWidth="1"/>
    <col min="6930" max="6930" width="11.375" style="127" customWidth="1"/>
    <col min="6931" max="6931" width="13.25" style="127" customWidth="1"/>
    <col min="6932" max="7171" width="9" style="127"/>
    <col min="7172" max="7172" width="6.625" style="127" customWidth="1"/>
    <col min="7173" max="7173" width="31.625" style="127" customWidth="1"/>
    <col min="7174" max="7174" width="6.625" style="127" customWidth="1"/>
    <col min="7175" max="7180" width="16.625" style="127" customWidth="1"/>
    <col min="7181" max="7181" width="21.875" style="127" bestFit="1" customWidth="1"/>
    <col min="7182" max="7182" width="15.625" style="127" customWidth="1"/>
    <col min="7183" max="7183" width="16.625" style="127" customWidth="1"/>
    <col min="7184" max="7184" width="10.625" style="127" customWidth="1"/>
    <col min="7185" max="7185" width="26.375" style="127" bestFit="1" customWidth="1"/>
    <col min="7186" max="7186" width="11.375" style="127" customWidth="1"/>
    <col min="7187" max="7187" width="13.25" style="127" customWidth="1"/>
    <col min="7188" max="7427" width="9" style="127"/>
    <col min="7428" max="7428" width="6.625" style="127" customWidth="1"/>
    <col min="7429" max="7429" width="31.625" style="127" customWidth="1"/>
    <col min="7430" max="7430" width="6.625" style="127" customWidth="1"/>
    <col min="7431" max="7436" width="16.625" style="127" customWidth="1"/>
    <col min="7437" max="7437" width="21.875" style="127" bestFit="1" customWidth="1"/>
    <col min="7438" max="7438" width="15.625" style="127" customWidth="1"/>
    <col min="7439" max="7439" width="16.625" style="127" customWidth="1"/>
    <col min="7440" max="7440" width="10.625" style="127" customWidth="1"/>
    <col min="7441" max="7441" width="26.375" style="127" bestFit="1" customWidth="1"/>
    <col min="7442" max="7442" width="11.375" style="127" customWidth="1"/>
    <col min="7443" max="7443" width="13.25" style="127" customWidth="1"/>
    <col min="7444" max="7683" width="9" style="127"/>
    <col min="7684" max="7684" width="6.625" style="127" customWidth="1"/>
    <col min="7685" max="7685" width="31.625" style="127" customWidth="1"/>
    <col min="7686" max="7686" width="6.625" style="127" customWidth="1"/>
    <col min="7687" max="7692" width="16.625" style="127" customWidth="1"/>
    <col min="7693" max="7693" width="21.875" style="127" bestFit="1" customWidth="1"/>
    <col min="7694" max="7694" width="15.625" style="127" customWidth="1"/>
    <col min="7695" max="7695" width="16.625" style="127" customWidth="1"/>
    <col min="7696" max="7696" width="10.625" style="127" customWidth="1"/>
    <col min="7697" max="7697" width="26.375" style="127" bestFit="1" customWidth="1"/>
    <col min="7698" max="7698" width="11.375" style="127" customWidth="1"/>
    <col min="7699" max="7699" width="13.25" style="127" customWidth="1"/>
    <col min="7700" max="7939" width="9" style="127"/>
    <col min="7940" max="7940" width="6.625" style="127" customWidth="1"/>
    <col min="7941" max="7941" width="31.625" style="127" customWidth="1"/>
    <col min="7942" max="7942" width="6.625" style="127" customWidth="1"/>
    <col min="7943" max="7948" width="16.625" style="127" customWidth="1"/>
    <col min="7949" max="7949" width="21.875" style="127" bestFit="1" customWidth="1"/>
    <col min="7950" max="7950" width="15.625" style="127" customWidth="1"/>
    <col min="7951" max="7951" width="16.625" style="127" customWidth="1"/>
    <col min="7952" max="7952" width="10.625" style="127" customWidth="1"/>
    <col min="7953" max="7953" width="26.375" style="127" bestFit="1" customWidth="1"/>
    <col min="7954" max="7954" width="11.375" style="127" customWidth="1"/>
    <col min="7955" max="7955" width="13.25" style="127" customWidth="1"/>
    <col min="7956" max="8195" width="9" style="127"/>
    <col min="8196" max="8196" width="6.625" style="127" customWidth="1"/>
    <col min="8197" max="8197" width="31.625" style="127" customWidth="1"/>
    <col min="8198" max="8198" width="6.625" style="127" customWidth="1"/>
    <col min="8199" max="8204" width="16.625" style="127" customWidth="1"/>
    <col min="8205" max="8205" width="21.875" style="127" bestFit="1" customWidth="1"/>
    <col min="8206" max="8206" width="15.625" style="127" customWidth="1"/>
    <col min="8207" max="8207" width="16.625" style="127" customWidth="1"/>
    <col min="8208" max="8208" width="10.625" style="127" customWidth="1"/>
    <col min="8209" max="8209" width="26.375" style="127" bestFit="1" customWidth="1"/>
    <col min="8210" max="8210" width="11.375" style="127" customWidth="1"/>
    <col min="8211" max="8211" width="13.25" style="127" customWidth="1"/>
    <col min="8212" max="8451" width="9" style="127"/>
    <col min="8452" max="8452" width="6.625" style="127" customWidth="1"/>
    <col min="8453" max="8453" width="31.625" style="127" customWidth="1"/>
    <col min="8454" max="8454" width="6.625" style="127" customWidth="1"/>
    <col min="8455" max="8460" width="16.625" style="127" customWidth="1"/>
    <col min="8461" max="8461" width="21.875" style="127" bestFit="1" customWidth="1"/>
    <col min="8462" max="8462" width="15.625" style="127" customWidth="1"/>
    <col min="8463" max="8463" width="16.625" style="127" customWidth="1"/>
    <col min="8464" max="8464" width="10.625" style="127" customWidth="1"/>
    <col min="8465" max="8465" width="26.375" style="127" bestFit="1" customWidth="1"/>
    <col min="8466" max="8466" width="11.375" style="127" customWidth="1"/>
    <col min="8467" max="8467" width="13.25" style="127" customWidth="1"/>
    <col min="8468" max="8707" width="9" style="127"/>
    <col min="8708" max="8708" width="6.625" style="127" customWidth="1"/>
    <col min="8709" max="8709" width="31.625" style="127" customWidth="1"/>
    <col min="8710" max="8710" width="6.625" style="127" customWidth="1"/>
    <col min="8711" max="8716" width="16.625" style="127" customWidth="1"/>
    <col min="8717" max="8717" width="21.875" style="127" bestFit="1" customWidth="1"/>
    <col min="8718" max="8718" width="15.625" style="127" customWidth="1"/>
    <col min="8719" max="8719" width="16.625" style="127" customWidth="1"/>
    <col min="8720" max="8720" width="10.625" style="127" customWidth="1"/>
    <col min="8721" max="8721" width="26.375" style="127" bestFit="1" customWidth="1"/>
    <col min="8722" max="8722" width="11.375" style="127" customWidth="1"/>
    <col min="8723" max="8723" width="13.25" style="127" customWidth="1"/>
    <col min="8724" max="8963" width="9" style="127"/>
    <col min="8964" max="8964" width="6.625" style="127" customWidth="1"/>
    <col min="8965" max="8965" width="31.625" style="127" customWidth="1"/>
    <col min="8966" max="8966" width="6.625" style="127" customWidth="1"/>
    <col min="8967" max="8972" width="16.625" style="127" customWidth="1"/>
    <col min="8973" max="8973" width="21.875" style="127" bestFit="1" customWidth="1"/>
    <col min="8974" max="8974" width="15.625" style="127" customWidth="1"/>
    <col min="8975" max="8975" width="16.625" style="127" customWidth="1"/>
    <col min="8976" max="8976" width="10.625" style="127" customWidth="1"/>
    <col min="8977" max="8977" width="26.375" style="127" bestFit="1" customWidth="1"/>
    <col min="8978" max="8978" width="11.375" style="127" customWidth="1"/>
    <col min="8979" max="8979" width="13.25" style="127" customWidth="1"/>
    <col min="8980" max="9219" width="9" style="127"/>
    <col min="9220" max="9220" width="6.625" style="127" customWidth="1"/>
    <col min="9221" max="9221" width="31.625" style="127" customWidth="1"/>
    <col min="9222" max="9222" width="6.625" style="127" customWidth="1"/>
    <col min="9223" max="9228" width="16.625" style="127" customWidth="1"/>
    <col min="9229" max="9229" width="21.875" style="127" bestFit="1" customWidth="1"/>
    <col min="9230" max="9230" width="15.625" style="127" customWidth="1"/>
    <col min="9231" max="9231" width="16.625" style="127" customWidth="1"/>
    <col min="9232" max="9232" width="10.625" style="127" customWidth="1"/>
    <col min="9233" max="9233" width="26.375" style="127" bestFit="1" customWidth="1"/>
    <col min="9234" max="9234" width="11.375" style="127" customWidth="1"/>
    <col min="9235" max="9235" width="13.25" style="127" customWidth="1"/>
    <col min="9236" max="9475" width="9" style="127"/>
    <col min="9476" max="9476" width="6.625" style="127" customWidth="1"/>
    <col min="9477" max="9477" width="31.625" style="127" customWidth="1"/>
    <col min="9478" max="9478" width="6.625" style="127" customWidth="1"/>
    <col min="9479" max="9484" width="16.625" style="127" customWidth="1"/>
    <col min="9485" max="9485" width="21.875" style="127" bestFit="1" customWidth="1"/>
    <col min="9486" max="9486" width="15.625" style="127" customWidth="1"/>
    <col min="9487" max="9487" width="16.625" style="127" customWidth="1"/>
    <col min="9488" max="9488" width="10.625" style="127" customWidth="1"/>
    <col min="9489" max="9489" width="26.375" style="127" bestFit="1" customWidth="1"/>
    <col min="9490" max="9490" width="11.375" style="127" customWidth="1"/>
    <col min="9491" max="9491" width="13.25" style="127" customWidth="1"/>
    <col min="9492" max="9731" width="9" style="127"/>
    <col min="9732" max="9732" width="6.625" style="127" customWidth="1"/>
    <col min="9733" max="9733" width="31.625" style="127" customWidth="1"/>
    <col min="9734" max="9734" width="6.625" style="127" customWidth="1"/>
    <col min="9735" max="9740" width="16.625" style="127" customWidth="1"/>
    <col min="9741" max="9741" width="21.875" style="127" bestFit="1" customWidth="1"/>
    <col min="9742" max="9742" width="15.625" style="127" customWidth="1"/>
    <col min="9743" max="9743" width="16.625" style="127" customWidth="1"/>
    <col min="9744" max="9744" width="10.625" style="127" customWidth="1"/>
    <col min="9745" max="9745" width="26.375" style="127" bestFit="1" customWidth="1"/>
    <col min="9746" max="9746" width="11.375" style="127" customWidth="1"/>
    <col min="9747" max="9747" width="13.25" style="127" customWidth="1"/>
    <col min="9748" max="9987" width="9" style="127"/>
    <col min="9988" max="9988" width="6.625" style="127" customWidth="1"/>
    <col min="9989" max="9989" width="31.625" style="127" customWidth="1"/>
    <col min="9990" max="9990" width="6.625" style="127" customWidth="1"/>
    <col min="9991" max="9996" width="16.625" style="127" customWidth="1"/>
    <col min="9997" max="9997" width="21.875" style="127" bestFit="1" customWidth="1"/>
    <col min="9998" max="9998" width="15.625" style="127" customWidth="1"/>
    <col min="9999" max="9999" width="16.625" style="127" customWidth="1"/>
    <col min="10000" max="10000" width="10.625" style="127" customWidth="1"/>
    <col min="10001" max="10001" width="26.375" style="127" bestFit="1" customWidth="1"/>
    <col min="10002" max="10002" width="11.375" style="127" customWidth="1"/>
    <col min="10003" max="10003" width="13.25" style="127" customWidth="1"/>
    <col min="10004" max="10243" width="9" style="127"/>
    <col min="10244" max="10244" width="6.625" style="127" customWidth="1"/>
    <col min="10245" max="10245" width="31.625" style="127" customWidth="1"/>
    <col min="10246" max="10246" width="6.625" style="127" customWidth="1"/>
    <col min="10247" max="10252" width="16.625" style="127" customWidth="1"/>
    <col min="10253" max="10253" width="21.875" style="127" bestFit="1" customWidth="1"/>
    <col min="10254" max="10254" width="15.625" style="127" customWidth="1"/>
    <col min="10255" max="10255" width="16.625" style="127" customWidth="1"/>
    <col min="10256" max="10256" width="10.625" style="127" customWidth="1"/>
    <col min="10257" max="10257" width="26.375" style="127" bestFit="1" customWidth="1"/>
    <col min="10258" max="10258" width="11.375" style="127" customWidth="1"/>
    <col min="10259" max="10259" width="13.25" style="127" customWidth="1"/>
    <col min="10260" max="10499" width="9" style="127"/>
    <col min="10500" max="10500" width="6.625" style="127" customWidth="1"/>
    <col min="10501" max="10501" width="31.625" style="127" customWidth="1"/>
    <col min="10502" max="10502" width="6.625" style="127" customWidth="1"/>
    <col min="10503" max="10508" width="16.625" style="127" customWidth="1"/>
    <col min="10509" max="10509" width="21.875" style="127" bestFit="1" customWidth="1"/>
    <col min="10510" max="10510" width="15.625" style="127" customWidth="1"/>
    <col min="10511" max="10511" width="16.625" style="127" customWidth="1"/>
    <col min="10512" max="10512" width="10.625" style="127" customWidth="1"/>
    <col min="10513" max="10513" width="26.375" style="127" bestFit="1" customWidth="1"/>
    <col min="10514" max="10514" width="11.375" style="127" customWidth="1"/>
    <col min="10515" max="10515" width="13.25" style="127" customWidth="1"/>
    <col min="10516" max="10755" width="9" style="127"/>
    <col min="10756" max="10756" width="6.625" style="127" customWidth="1"/>
    <col min="10757" max="10757" width="31.625" style="127" customWidth="1"/>
    <col min="10758" max="10758" width="6.625" style="127" customWidth="1"/>
    <col min="10759" max="10764" width="16.625" style="127" customWidth="1"/>
    <col min="10765" max="10765" width="21.875" style="127" bestFit="1" customWidth="1"/>
    <col min="10766" max="10766" width="15.625" style="127" customWidth="1"/>
    <col min="10767" max="10767" width="16.625" style="127" customWidth="1"/>
    <col min="10768" max="10768" width="10.625" style="127" customWidth="1"/>
    <col min="10769" max="10769" width="26.375" style="127" bestFit="1" customWidth="1"/>
    <col min="10770" max="10770" width="11.375" style="127" customWidth="1"/>
    <col min="10771" max="10771" width="13.25" style="127" customWidth="1"/>
    <col min="10772" max="11011" width="9" style="127"/>
    <col min="11012" max="11012" width="6.625" style="127" customWidth="1"/>
    <col min="11013" max="11013" width="31.625" style="127" customWidth="1"/>
    <col min="11014" max="11014" width="6.625" style="127" customWidth="1"/>
    <col min="11015" max="11020" width="16.625" style="127" customWidth="1"/>
    <col min="11021" max="11021" width="21.875" style="127" bestFit="1" customWidth="1"/>
    <col min="11022" max="11022" width="15.625" style="127" customWidth="1"/>
    <col min="11023" max="11023" width="16.625" style="127" customWidth="1"/>
    <col min="11024" max="11024" width="10.625" style="127" customWidth="1"/>
    <col min="11025" max="11025" width="26.375" style="127" bestFit="1" customWidth="1"/>
    <col min="11026" max="11026" width="11.375" style="127" customWidth="1"/>
    <col min="11027" max="11027" width="13.25" style="127" customWidth="1"/>
    <col min="11028" max="11267" width="9" style="127"/>
    <col min="11268" max="11268" width="6.625" style="127" customWidth="1"/>
    <col min="11269" max="11269" width="31.625" style="127" customWidth="1"/>
    <col min="11270" max="11270" width="6.625" style="127" customWidth="1"/>
    <col min="11271" max="11276" width="16.625" style="127" customWidth="1"/>
    <col min="11277" max="11277" width="21.875" style="127" bestFit="1" customWidth="1"/>
    <col min="11278" max="11278" width="15.625" style="127" customWidth="1"/>
    <col min="11279" max="11279" width="16.625" style="127" customWidth="1"/>
    <col min="11280" max="11280" width="10.625" style="127" customWidth="1"/>
    <col min="11281" max="11281" width="26.375" style="127" bestFit="1" customWidth="1"/>
    <col min="11282" max="11282" width="11.375" style="127" customWidth="1"/>
    <col min="11283" max="11283" width="13.25" style="127" customWidth="1"/>
    <col min="11284" max="11523" width="9" style="127"/>
    <col min="11524" max="11524" width="6.625" style="127" customWidth="1"/>
    <col min="11525" max="11525" width="31.625" style="127" customWidth="1"/>
    <col min="11526" max="11526" width="6.625" style="127" customWidth="1"/>
    <col min="11527" max="11532" width="16.625" style="127" customWidth="1"/>
    <col min="11533" max="11533" width="21.875" style="127" bestFit="1" customWidth="1"/>
    <col min="11534" max="11534" width="15.625" style="127" customWidth="1"/>
    <col min="11535" max="11535" width="16.625" style="127" customWidth="1"/>
    <col min="11536" max="11536" width="10.625" style="127" customWidth="1"/>
    <col min="11537" max="11537" width="26.375" style="127" bestFit="1" customWidth="1"/>
    <col min="11538" max="11538" width="11.375" style="127" customWidth="1"/>
    <col min="11539" max="11539" width="13.25" style="127" customWidth="1"/>
    <col min="11540" max="11779" width="9" style="127"/>
    <col min="11780" max="11780" width="6.625" style="127" customWidth="1"/>
    <col min="11781" max="11781" width="31.625" style="127" customWidth="1"/>
    <col min="11782" max="11782" width="6.625" style="127" customWidth="1"/>
    <col min="11783" max="11788" width="16.625" style="127" customWidth="1"/>
    <col min="11789" max="11789" width="21.875" style="127" bestFit="1" customWidth="1"/>
    <col min="11790" max="11790" width="15.625" style="127" customWidth="1"/>
    <col min="11791" max="11791" width="16.625" style="127" customWidth="1"/>
    <col min="11792" max="11792" width="10.625" style="127" customWidth="1"/>
    <col min="11793" max="11793" width="26.375" style="127" bestFit="1" customWidth="1"/>
    <col min="11794" max="11794" width="11.375" style="127" customWidth="1"/>
    <col min="11795" max="11795" width="13.25" style="127" customWidth="1"/>
    <col min="11796" max="12035" width="9" style="127"/>
    <col min="12036" max="12036" width="6.625" style="127" customWidth="1"/>
    <col min="12037" max="12037" width="31.625" style="127" customWidth="1"/>
    <col min="12038" max="12038" width="6.625" style="127" customWidth="1"/>
    <col min="12039" max="12044" width="16.625" style="127" customWidth="1"/>
    <col min="12045" max="12045" width="21.875" style="127" bestFit="1" customWidth="1"/>
    <col min="12046" max="12046" width="15.625" style="127" customWidth="1"/>
    <col min="12047" max="12047" width="16.625" style="127" customWidth="1"/>
    <col min="12048" max="12048" width="10.625" style="127" customWidth="1"/>
    <col min="12049" max="12049" width="26.375" style="127" bestFit="1" customWidth="1"/>
    <col min="12050" max="12050" width="11.375" style="127" customWidth="1"/>
    <col min="12051" max="12051" width="13.25" style="127" customWidth="1"/>
    <col min="12052" max="12291" width="9" style="127"/>
    <col min="12292" max="12292" width="6.625" style="127" customWidth="1"/>
    <col min="12293" max="12293" width="31.625" style="127" customWidth="1"/>
    <col min="12294" max="12294" width="6.625" style="127" customWidth="1"/>
    <col min="12295" max="12300" width="16.625" style="127" customWidth="1"/>
    <col min="12301" max="12301" width="21.875" style="127" bestFit="1" customWidth="1"/>
    <col min="12302" max="12302" width="15.625" style="127" customWidth="1"/>
    <col min="12303" max="12303" width="16.625" style="127" customWidth="1"/>
    <col min="12304" max="12304" width="10.625" style="127" customWidth="1"/>
    <col min="12305" max="12305" width="26.375" style="127" bestFit="1" customWidth="1"/>
    <col min="12306" max="12306" width="11.375" style="127" customWidth="1"/>
    <col min="12307" max="12307" width="13.25" style="127" customWidth="1"/>
    <col min="12308" max="12547" width="9" style="127"/>
    <col min="12548" max="12548" width="6.625" style="127" customWidth="1"/>
    <col min="12549" max="12549" width="31.625" style="127" customWidth="1"/>
    <col min="12550" max="12550" width="6.625" style="127" customWidth="1"/>
    <col min="12551" max="12556" width="16.625" style="127" customWidth="1"/>
    <col min="12557" max="12557" width="21.875" style="127" bestFit="1" customWidth="1"/>
    <col min="12558" max="12558" width="15.625" style="127" customWidth="1"/>
    <col min="12559" max="12559" width="16.625" style="127" customWidth="1"/>
    <col min="12560" max="12560" width="10.625" style="127" customWidth="1"/>
    <col min="12561" max="12561" width="26.375" style="127" bestFit="1" customWidth="1"/>
    <col min="12562" max="12562" width="11.375" style="127" customWidth="1"/>
    <col min="12563" max="12563" width="13.25" style="127" customWidth="1"/>
    <col min="12564" max="12803" width="9" style="127"/>
    <col min="12804" max="12804" width="6.625" style="127" customWidth="1"/>
    <col min="12805" max="12805" width="31.625" style="127" customWidth="1"/>
    <col min="12806" max="12806" width="6.625" style="127" customWidth="1"/>
    <col min="12807" max="12812" width="16.625" style="127" customWidth="1"/>
    <col min="12813" max="12813" width="21.875" style="127" bestFit="1" customWidth="1"/>
    <col min="12814" max="12814" width="15.625" style="127" customWidth="1"/>
    <col min="12815" max="12815" width="16.625" style="127" customWidth="1"/>
    <col min="12816" max="12816" width="10.625" style="127" customWidth="1"/>
    <col min="12817" max="12817" width="26.375" style="127" bestFit="1" customWidth="1"/>
    <col min="12818" max="12818" width="11.375" style="127" customWidth="1"/>
    <col min="12819" max="12819" width="13.25" style="127" customWidth="1"/>
    <col min="12820" max="13059" width="9" style="127"/>
    <col min="13060" max="13060" width="6.625" style="127" customWidth="1"/>
    <col min="13061" max="13061" width="31.625" style="127" customWidth="1"/>
    <col min="13062" max="13062" width="6.625" style="127" customWidth="1"/>
    <col min="13063" max="13068" width="16.625" style="127" customWidth="1"/>
    <col min="13069" max="13069" width="21.875" style="127" bestFit="1" customWidth="1"/>
    <col min="13070" max="13070" width="15.625" style="127" customWidth="1"/>
    <col min="13071" max="13071" width="16.625" style="127" customWidth="1"/>
    <col min="13072" max="13072" width="10.625" style="127" customWidth="1"/>
    <col min="13073" max="13073" width="26.375" style="127" bestFit="1" customWidth="1"/>
    <col min="13074" max="13074" width="11.375" style="127" customWidth="1"/>
    <col min="13075" max="13075" width="13.25" style="127" customWidth="1"/>
    <col min="13076" max="13315" width="9" style="127"/>
    <col min="13316" max="13316" width="6.625" style="127" customWidth="1"/>
    <col min="13317" max="13317" width="31.625" style="127" customWidth="1"/>
    <col min="13318" max="13318" width="6.625" style="127" customWidth="1"/>
    <col min="13319" max="13324" width="16.625" style="127" customWidth="1"/>
    <col min="13325" max="13325" width="21.875" style="127" bestFit="1" customWidth="1"/>
    <col min="13326" max="13326" width="15.625" style="127" customWidth="1"/>
    <col min="13327" max="13327" width="16.625" style="127" customWidth="1"/>
    <col min="13328" max="13328" width="10.625" style="127" customWidth="1"/>
    <col min="13329" max="13329" width="26.375" style="127" bestFit="1" customWidth="1"/>
    <col min="13330" max="13330" width="11.375" style="127" customWidth="1"/>
    <col min="13331" max="13331" width="13.25" style="127" customWidth="1"/>
    <col min="13332" max="13571" width="9" style="127"/>
    <col min="13572" max="13572" width="6.625" style="127" customWidth="1"/>
    <col min="13573" max="13573" width="31.625" style="127" customWidth="1"/>
    <col min="13574" max="13574" width="6.625" style="127" customWidth="1"/>
    <col min="13575" max="13580" width="16.625" style="127" customWidth="1"/>
    <col min="13581" max="13581" width="21.875" style="127" bestFit="1" customWidth="1"/>
    <col min="13582" max="13582" width="15.625" style="127" customWidth="1"/>
    <col min="13583" max="13583" width="16.625" style="127" customWidth="1"/>
    <col min="13584" max="13584" width="10.625" style="127" customWidth="1"/>
    <col min="13585" max="13585" width="26.375" style="127" bestFit="1" customWidth="1"/>
    <col min="13586" max="13586" width="11.375" style="127" customWidth="1"/>
    <col min="13587" max="13587" width="13.25" style="127" customWidth="1"/>
    <col min="13588" max="13827" width="9" style="127"/>
    <col min="13828" max="13828" width="6.625" style="127" customWidth="1"/>
    <col min="13829" max="13829" width="31.625" style="127" customWidth="1"/>
    <col min="13830" max="13830" width="6.625" style="127" customWidth="1"/>
    <col min="13831" max="13836" width="16.625" style="127" customWidth="1"/>
    <col min="13837" max="13837" width="21.875" style="127" bestFit="1" customWidth="1"/>
    <col min="13838" max="13838" width="15.625" style="127" customWidth="1"/>
    <col min="13839" max="13839" width="16.625" style="127" customWidth="1"/>
    <col min="13840" max="13840" width="10.625" style="127" customWidth="1"/>
    <col min="13841" max="13841" width="26.375" style="127" bestFit="1" customWidth="1"/>
    <col min="13842" max="13842" width="11.375" style="127" customWidth="1"/>
    <col min="13843" max="13843" width="13.25" style="127" customWidth="1"/>
    <col min="13844" max="14083" width="9" style="127"/>
    <col min="14084" max="14084" width="6.625" style="127" customWidth="1"/>
    <col min="14085" max="14085" width="31.625" style="127" customWidth="1"/>
    <col min="14086" max="14086" width="6.625" style="127" customWidth="1"/>
    <col min="14087" max="14092" width="16.625" style="127" customWidth="1"/>
    <col min="14093" max="14093" width="21.875" style="127" bestFit="1" customWidth="1"/>
    <col min="14094" max="14094" width="15.625" style="127" customWidth="1"/>
    <col min="14095" max="14095" width="16.625" style="127" customWidth="1"/>
    <col min="14096" max="14096" width="10.625" style="127" customWidth="1"/>
    <col min="14097" max="14097" width="26.375" style="127" bestFit="1" customWidth="1"/>
    <col min="14098" max="14098" width="11.375" style="127" customWidth="1"/>
    <col min="14099" max="14099" width="13.25" style="127" customWidth="1"/>
    <col min="14100" max="14339" width="9" style="127"/>
    <col min="14340" max="14340" width="6.625" style="127" customWidth="1"/>
    <col min="14341" max="14341" width="31.625" style="127" customWidth="1"/>
    <col min="14342" max="14342" width="6.625" style="127" customWidth="1"/>
    <col min="14343" max="14348" width="16.625" style="127" customWidth="1"/>
    <col min="14349" max="14349" width="21.875" style="127" bestFit="1" customWidth="1"/>
    <col min="14350" max="14350" width="15.625" style="127" customWidth="1"/>
    <col min="14351" max="14351" width="16.625" style="127" customWidth="1"/>
    <col min="14352" max="14352" width="10.625" style="127" customWidth="1"/>
    <col min="14353" max="14353" width="26.375" style="127" bestFit="1" customWidth="1"/>
    <col min="14354" max="14354" width="11.375" style="127" customWidth="1"/>
    <col min="14355" max="14355" width="13.25" style="127" customWidth="1"/>
    <col min="14356" max="14595" width="9" style="127"/>
    <col min="14596" max="14596" width="6.625" style="127" customWidth="1"/>
    <col min="14597" max="14597" width="31.625" style="127" customWidth="1"/>
    <col min="14598" max="14598" width="6.625" style="127" customWidth="1"/>
    <col min="14599" max="14604" width="16.625" style="127" customWidth="1"/>
    <col min="14605" max="14605" width="21.875" style="127" bestFit="1" customWidth="1"/>
    <col min="14606" max="14606" width="15.625" style="127" customWidth="1"/>
    <col min="14607" max="14607" width="16.625" style="127" customWidth="1"/>
    <col min="14608" max="14608" width="10.625" style="127" customWidth="1"/>
    <col min="14609" max="14609" width="26.375" style="127" bestFit="1" customWidth="1"/>
    <col min="14610" max="14610" width="11.375" style="127" customWidth="1"/>
    <col min="14611" max="14611" width="13.25" style="127" customWidth="1"/>
    <col min="14612" max="14851" width="9" style="127"/>
    <col min="14852" max="14852" width="6.625" style="127" customWidth="1"/>
    <col min="14853" max="14853" width="31.625" style="127" customWidth="1"/>
    <col min="14854" max="14854" width="6.625" style="127" customWidth="1"/>
    <col min="14855" max="14860" width="16.625" style="127" customWidth="1"/>
    <col min="14861" max="14861" width="21.875" style="127" bestFit="1" customWidth="1"/>
    <col min="14862" max="14862" width="15.625" style="127" customWidth="1"/>
    <col min="14863" max="14863" width="16.625" style="127" customWidth="1"/>
    <col min="14864" max="14864" width="10.625" style="127" customWidth="1"/>
    <col min="14865" max="14865" width="26.375" style="127" bestFit="1" customWidth="1"/>
    <col min="14866" max="14866" width="11.375" style="127" customWidth="1"/>
    <col min="14867" max="14867" width="13.25" style="127" customWidth="1"/>
    <col min="14868" max="15107" width="9" style="127"/>
    <col min="15108" max="15108" width="6.625" style="127" customWidth="1"/>
    <col min="15109" max="15109" width="31.625" style="127" customWidth="1"/>
    <col min="15110" max="15110" width="6.625" style="127" customWidth="1"/>
    <col min="15111" max="15116" width="16.625" style="127" customWidth="1"/>
    <col min="15117" max="15117" width="21.875" style="127" bestFit="1" customWidth="1"/>
    <col min="15118" max="15118" width="15.625" style="127" customWidth="1"/>
    <col min="15119" max="15119" width="16.625" style="127" customWidth="1"/>
    <col min="15120" max="15120" width="10.625" style="127" customWidth="1"/>
    <col min="15121" max="15121" width="26.375" style="127" bestFit="1" customWidth="1"/>
    <col min="15122" max="15122" width="11.375" style="127" customWidth="1"/>
    <col min="15123" max="15123" width="13.25" style="127" customWidth="1"/>
    <col min="15124" max="15363" width="9" style="127"/>
    <col min="15364" max="15364" width="6.625" style="127" customWidth="1"/>
    <col min="15365" max="15365" width="31.625" style="127" customWidth="1"/>
    <col min="15366" max="15366" width="6.625" style="127" customWidth="1"/>
    <col min="15367" max="15372" width="16.625" style="127" customWidth="1"/>
    <col min="15373" max="15373" width="21.875" style="127" bestFit="1" customWidth="1"/>
    <col min="15374" max="15374" width="15.625" style="127" customWidth="1"/>
    <col min="15375" max="15375" width="16.625" style="127" customWidth="1"/>
    <col min="15376" max="15376" width="10.625" style="127" customWidth="1"/>
    <col min="15377" max="15377" width="26.375" style="127" bestFit="1" customWidth="1"/>
    <col min="15378" max="15378" width="11.375" style="127" customWidth="1"/>
    <col min="15379" max="15379" width="13.25" style="127" customWidth="1"/>
    <col min="15380" max="15619" width="9" style="127"/>
    <col min="15620" max="15620" width="6.625" style="127" customWidth="1"/>
    <col min="15621" max="15621" width="31.625" style="127" customWidth="1"/>
    <col min="15622" max="15622" width="6.625" style="127" customWidth="1"/>
    <col min="15623" max="15628" width="16.625" style="127" customWidth="1"/>
    <col min="15629" max="15629" width="21.875" style="127" bestFit="1" customWidth="1"/>
    <col min="15630" max="15630" width="15.625" style="127" customWidth="1"/>
    <col min="15631" max="15631" width="16.625" style="127" customWidth="1"/>
    <col min="15632" max="15632" width="10.625" style="127" customWidth="1"/>
    <col min="15633" max="15633" width="26.375" style="127" bestFit="1" customWidth="1"/>
    <col min="15634" max="15634" width="11.375" style="127" customWidth="1"/>
    <col min="15635" max="15635" width="13.25" style="127" customWidth="1"/>
    <col min="15636" max="15875" width="9" style="127"/>
    <col min="15876" max="15876" width="6.625" style="127" customWidth="1"/>
    <col min="15877" max="15877" width="31.625" style="127" customWidth="1"/>
    <col min="15878" max="15878" width="6.625" style="127" customWidth="1"/>
    <col min="15879" max="15884" width="16.625" style="127" customWidth="1"/>
    <col min="15885" max="15885" width="21.875" style="127" bestFit="1" customWidth="1"/>
    <col min="15886" max="15886" width="15.625" style="127" customWidth="1"/>
    <col min="15887" max="15887" width="16.625" style="127" customWidth="1"/>
    <col min="15888" max="15888" width="10.625" style="127" customWidth="1"/>
    <col min="15889" max="15889" width="26.375" style="127" bestFit="1" customWidth="1"/>
    <col min="15890" max="15890" width="11.375" style="127" customWidth="1"/>
    <col min="15891" max="15891" width="13.25" style="127" customWidth="1"/>
    <col min="15892" max="16131" width="9" style="127"/>
    <col min="16132" max="16132" width="6.625" style="127" customWidth="1"/>
    <col min="16133" max="16133" width="31.625" style="127" customWidth="1"/>
    <col min="16134" max="16134" width="6.625" style="127" customWidth="1"/>
    <col min="16135" max="16140" width="16.625" style="127" customWidth="1"/>
    <col min="16141" max="16141" width="21.875" style="127" bestFit="1" customWidth="1"/>
    <col min="16142" max="16142" width="15.625" style="127" customWidth="1"/>
    <col min="16143" max="16143" width="16.625" style="127" customWidth="1"/>
    <col min="16144" max="16144" width="10.625" style="127" customWidth="1"/>
    <col min="16145" max="16145" width="26.375" style="127" bestFit="1" customWidth="1"/>
    <col min="16146" max="16146" width="11.375" style="127" customWidth="1"/>
    <col min="16147" max="16147" width="13.25" style="127" customWidth="1"/>
    <col min="16148" max="16384" width="9" style="127"/>
  </cols>
  <sheetData>
    <row r="3" spans="1:18" s="125" customFormat="1" ht="19.5" customHeight="1">
      <c r="A3" s="250" t="s">
        <v>215</v>
      </c>
      <c r="B3" s="250" t="s">
        <v>216</v>
      </c>
      <c r="C3" s="250" t="s">
        <v>217</v>
      </c>
      <c r="D3" s="129">
        <v>1</v>
      </c>
      <c r="E3" s="129">
        <v>2</v>
      </c>
      <c r="F3" s="129">
        <v>3</v>
      </c>
      <c r="G3" s="129">
        <v>4</v>
      </c>
      <c r="H3" s="129">
        <v>5</v>
      </c>
      <c r="I3" s="129">
        <v>6</v>
      </c>
      <c r="J3" s="129">
        <v>7</v>
      </c>
      <c r="K3" s="129">
        <v>8</v>
      </c>
      <c r="L3" s="129">
        <v>9</v>
      </c>
      <c r="M3" s="129">
        <v>10</v>
      </c>
      <c r="N3" s="129">
        <v>11</v>
      </c>
      <c r="O3" s="210"/>
      <c r="Q3" s="123">
        <v>5</v>
      </c>
    </row>
    <row r="4" spans="1:18" ht="50.1" customHeight="1">
      <c r="A4" s="250"/>
      <c r="B4" s="250"/>
      <c r="C4" s="250"/>
      <c r="D4" s="207" t="s">
        <v>314</v>
      </c>
      <c r="E4" s="207" t="s">
        <v>188</v>
      </c>
      <c r="F4" s="207" t="s">
        <v>192</v>
      </c>
      <c r="G4" s="207" t="s">
        <v>317</v>
      </c>
      <c r="H4" s="207" t="s">
        <v>318</v>
      </c>
      <c r="I4" s="207" t="s">
        <v>319</v>
      </c>
      <c r="J4" s="207" t="s">
        <v>201</v>
      </c>
      <c r="K4" s="207" t="s">
        <v>320</v>
      </c>
      <c r="L4" s="207" t="s">
        <v>466</v>
      </c>
      <c r="M4" s="207" t="s">
        <v>336</v>
      </c>
      <c r="N4" s="207" t="s">
        <v>204</v>
      </c>
      <c r="O4" s="251" t="s">
        <v>24</v>
      </c>
      <c r="Q4" s="126" t="s">
        <v>479</v>
      </c>
    </row>
    <row r="5" spans="1:18" ht="19.5" customHeight="1">
      <c r="A5" s="250"/>
      <c r="B5" s="250"/>
      <c r="C5" s="250"/>
      <c r="D5" s="211">
        <v>2</v>
      </c>
      <c r="E5" s="211">
        <v>2</v>
      </c>
      <c r="F5" s="211">
        <v>1</v>
      </c>
      <c r="G5" s="236">
        <v>12</v>
      </c>
      <c r="H5" s="236">
        <v>18</v>
      </c>
      <c r="I5" s="236">
        <v>24</v>
      </c>
      <c r="J5" s="237">
        <v>8</v>
      </c>
      <c r="K5" s="213">
        <v>4</v>
      </c>
      <c r="L5" s="212">
        <v>31.3</v>
      </c>
      <c r="M5" s="212">
        <v>2</v>
      </c>
      <c r="N5" s="238">
        <v>18</v>
      </c>
      <c r="O5" s="252"/>
      <c r="Q5" s="128">
        <v>32</v>
      </c>
    </row>
    <row r="6" spans="1:18" ht="19.5" customHeight="1">
      <c r="A6" s="129">
        <v>1</v>
      </c>
      <c r="B6" s="100" t="s">
        <v>515</v>
      </c>
      <c r="C6" s="129" t="str">
        <f>表3_元件數量計算表!$F$8</f>
        <v>M3</v>
      </c>
      <c r="D6" s="130">
        <f>$D$5*表3_元件數量計算表!$E$8</f>
        <v>356</v>
      </c>
      <c r="E6" s="130">
        <f>$E$5*表3_元件數量計算表!$E$19</f>
        <v>464.08</v>
      </c>
      <c r="F6" s="130"/>
      <c r="G6" s="130"/>
      <c r="H6" s="130"/>
      <c r="I6" s="130"/>
      <c r="J6" s="130"/>
      <c r="K6" s="130"/>
      <c r="L6" s="130"/>
      <c r="M6" s="130"/>
      <c r="N6" s="130"/>
      <c r="O6" s="131">
        <f t="shared" ref="O6:O32" si="0">ROUND(SUM(D6:N6),2)</f>
        <v>820.08</v>
      </c>
      <c r="Q6" s="128"/>
    </row>
    <row r="7" spans="1:18" ht="19.5" customHeight="1">
      <c r="A7" s="129">
        <f>A6+1</f>
        <v>2</v>
      </c>
      <c r="B7" s="100" t="s">
        <v>516</v>
      </c>
      <c r="C7" s="129" t="str">
        <f>表3_元件數量計算表!$F$9</f>
        <v>M3</v>
      </c>
      <c r="D7" s="130">
        <f>$D$5*表3_元件數量計算表!$E$9</f>
        <v>288</v>
      </c>
      <c r="E7" s="130">
        <f>$E$5*表3_元件數量計算表!$E$20</f>
        <v>133.08000000000001</v>
      </c>
      <c r="F7" s="130"/>
      <c r="G7" s="130"/>
      <c r="H7" s="130"/>
      <c r="I7" s="130"/>
      <c r="J7" s="130"/>
      <c r="K7" s="130"/>
      <c r="L7" s="130"/>
      <c r="M7" s="130"/>
      <c r="N7" s="130"/>
      <c r="O7" s="131">
        <f t="shared" si="0"/>
        <v>421.08</v>
      </c>
      <c r="Q7" s="128"/>
    </row>
    <row r="8" spans="1:18" ht="19.5" customHeight="1">
      <c r="A8" s="129">
        <f t="shared" ref="A8:A28" si="1">A7+1</f>
        <v>3</v>
      </c>
      <c r="B8" s="214" t="s">
        <v>482</v>
      </c>
      <c r="C8" s="129" t="str">
        <f>表3_元件數量計算表!$F$10</f>
        <v>M2</v>
      </c>
      <c r="D8" s="130">
        <f>$D$5*表3_元件數量計算表!$E$10</f>
        <v>456.92</v>
      </c>
      <c r="E8" s="130">
        <f>$E$5*表3_元件數量計算表!$E$21</f>
        <v>252.96</v>
      </c>
      <c r="F8" s="130"/>
      <c r="G8" s="130">
        <f>$G$5*表3_元件數量計算表!$E$40</f>
        <v>11.52</v>
      </c>
      <c r="H8" s="130">
        <f>$H$5*表3_元件數量計算表!$E$45</f>
        <v>21.599999999999998</v>
      </c>
      <c r="I8" s="130">
        <f>$I$5*表3_元件數量計算表!$E$50</f>
        <v>11.76</v>
      </c>
      <c r="J8" s="130"/>
      <c r="K8" s="130"/>
      <c r="L8" s="130">
        <f>$L$5*表3_元件數量計算表!$E$78</f>
        <v>420.67199999999997</v>
      </c>
      <c r="M8" s="130">
        <f>$M$5*表3_元件數量計算表!$E$85</f>
        <v>97.14</v>
      </c>
      <c r="N8" s="130"/>
      <c r="O8" s="131">
        <f t="shared" si="0"/>
        <v>1272.57</v>
      </c>
      <c r="P8" s="132"/>
      <c r="Q8" s="130">
        <v>42.24</v>
      </c>
      <c r="R8" s="132"/>
    </row>
    <row r="9" spans="1:18" ht="19.5" customHeight="1">
      <c r="A9" s="129">
        <f t="shared" si="1"/>
        <v>4</v>
      </c>
      <c r="B9" s="214" t="s">
        <v>497</v>
      </c>
      <c r="C9" s="129" t="str">
        <f>表3_元件數量計算表!$F$11</f>
        <v>KG</v>
      </c>
      <c r="D9" s="130">
        <f>$D$5*表3_元件數量計算表!$E$11</f>
        <v>7644</v>
      </c>
      <c r="E9" s="130">
        <f>$E$5*表3_元件數量計算表!$E$23</f>
        <v>6938.58</v>
      </c>
      <c r="F9" s="130">
        <f>$F$5*表3_元件數量計算表!$E$32</f>
        <v>40615.19</v>
      </c>
      <c r="G9" s="130">
        <f>$G$5*表3_元件數量計算表!$E$41</f>
        <v>338.28000000000003</v>
      </c>
      <c r="H9" s="130">
        <f>$H$5*表3_元件數量計算表!$E$46</f>
        <v>975.78</v>
      </c>
      <c r="I9" s="130">
        <f>$I$5*表3_元件數量計算表!$E$51</f>
        <v>750.24</v>
      </c>
      <c r="J9" s="130">
        <f>$J$5*表3_元件數量計算表!$E$57</f>
        <v>38545.440000000002</v>
      </c>
      <c r="K9" s="130">
        <f>$K$5*表3_元件數量計算表!$E$68</f>
        <v>20925.84</v>
      </c>
      <c r="L9" s="130">
        <f>$L$5*表3_元件數量計算表!$E$79</f>
        <v>2924.672</v>
      </c>
      <c r="M9" s="130"/>
      <c r="N9" s="130">
        <f>$N$5*表3_元件數量計算表!$E$90</f>
        <v>1100.7</v>
      </c>
      <c r="O9" s="131">
        <f t="shared" si="0"/>
        <v>120758.72</v>
      </c>
      <c r="P9" s="132"/>
      <c r="Q9" s="130"/>
      <c r="R9" s="132"/>
    </row>
    <row r="10" spans="1:18" ht="19.5" customHeight="1">
      <c r="A10" s="129">
        <f t="shared" si="1"/>
        <v>5</v>
      </c>
      <c r="B10" s="215" t="s">
        <v>501</v>
      </c>
      <c r="C10" s="129" t="str">
        <f>表3_元件數量計算表!$F$12</f>
        <v>KG</v>
      </c>
      <c r="D10" s="130">
        <f>$D$5*表3_元件數量計算表!$E$12</f>
        <v>28524.400000000001</v>
      </c>
      <c r="E10" s="130">
        <f>$E$5*表3_元件數量計算表!$E$24</f>
        <v>64763.18</v>
      </c>
      <c r="F10" s="130"/>
      <c r="G10" s="130"/>
      <c r="H10" s="130"/>
      <c r="I10" s="130"/>
      <c r="J10" s="130">
        <f>$J$5*表3_元件數量計算表!$E$58</f>
        <v>7753.2</v>
      </c>
      <c r="K10" s="130">
        <f>$K$5*表3_元件數量計算表!$E$69</f>
        <v>4363</v>
      </c>
      <c r="L10" s="130">
        <f>$L$5*表3_元件數量計算表!$E$80</f>
        <v>23194.864999999998</v>
      </c>
      <c r="M10" s="130">
        <f>$M$5*表3_元件數量計算表!$E$86</f>
        <v>2233</v>
      </c>
      <c r="N10" s="130">
        <f>$N$5*表3_元件數量計算表!$E$91</f>
        <v>51080.4</v>
      </c>
      <c r="O10" s="131">
        <f t="shared" si="0"/>
        <v>181912.05</v>
      </c>
      <c r="P10" s="132"/>
      <c r="Q10" s="130"/>
      <c r="R10" s="132"/>
    </row>
    <row r="11" spans="1:18" ht="19.5" customHeight="1">
      <c r="A11" s="129">
        <f t="shared" si="1"/>
        <v>6</v>
      </c>
      <c r="B11" s="216" t="s">
        <v>489</v>
      </c>
      <c r="C11" s="129" t="str">
        <f>表3_元件數量計算表!$F$13</f>
        <v>M3</v>
      </c>
      <c r="D11" s="130">
        <f>$D$5*表3_元件數量計算表!$E$13</f>
        <v>509.04</v>
      </c>
      <c r="E11" s="130">
        <f>$E$5*表3_元件數量計算表!$E$25</f>
        <v>502.44</v>
      </c>
      <c r="F11" s="130">
        <f>$F$5*表3_元件數量計算表!$E$33</f>
        <v>415.61</v>
      </c>
      <c r="G11" s="130"/>
      <c r="H11" s="130"/>
      <c r="I11" s="130"/>
      <c r="J11" s="130"/>
      <c r="K11" s="130"/>
      <c r="L11" s="130"/>
      <c r="M11" s="130"/>
      <c r="N11" s="130"/>
      <c r="O11" s="131">
        <f t="shared" si="0"/>
        <v>1427.09</v>
      </c>
      <c r="P11" s="132"/>
      <c r="Q11" s="130">
        <v>996.16</v>
      </c>
      <c r="R11" s="132"/>
    </row>
    <row r="12" spans="1:18" ht="19.5" customHeight="1">
      <c r="A12" s="129">
        <f t="shared" si="1"/>
        <v>7</v>
      </c>
      <c r="B12" s="217" t="s">
        <v>484</v>
      </c>
      <c r="C12" s="129" t="str">
        <f>表3_元件數量計算表!$F$14</f>
        <v>M3</v>
      </c>
      <c r="D12" s="130">
        <f>$D$5*表3_元件數量計算表!$E$14</f>
        <v>14.76</v>
      </c>
      <c r="E12" s="130">
        <f>$E$5*表3_元件數量計算表!$E$26</f>
        <v>16.920000000000002</v>
      </c>
      <c r="F12" s="133"/>
      <c r="G12" s="130"/>
      <c r="H12" s="130"/>
      <c r="I12" s="130"/>
      <c r="J12" s="130"/>
      <c r="K12" s="130"/>
      <c r="L12" s="130">
        <f>$L$5*表3_元件數量計算表!$E$81</f>
        <v>15.963000000000001</v>
      </c>
      <c r="M12" s="130"/>
      <c r="N12" s="130"/>
      <c r="O12" s="131">
        <f t="shared" si="0"/>
        <v>47.64</v>
      </c>
      <c r="P12" s="132"/>
      <c r="Q12" s="130">
        <v>1762.56</v>
      </c>
      <c r="R12" s="132"/>
    </row>
    <row r="13" spans="1:18" ht="19.5" customHeight="1">
      <c r="A13" s="129">
        <f t="shared" si="1"/>
        <v>8</v>
      </c>
      <c r="B13" s="214" t="s">
        <v>517</v>
      </c>
      <c r="C13" s="129" t="str">
        <f>表3_元件數量計算表!$F$15</f>
        <v>組</v>
      </c>
      <c r="D13" s="130">
        <f>$D$5*表3_元件數量計算表!$E$15</f>
        <v>8</v>
      </c>
      <c r="E13" s="130">
        <f>$E$5*表3_元件數量計算表!$E$27</f>
        <v>8</v>
      </c>
      <c r="F13" s="130"/>
      <c r="G13" s="130"/>
      <c r="H13" s="130"/>
      <c r="I13" s="130"/>
      <c r="J13" s="130"/>
      <c r="K13" s="130"/>
      <c r="L13" s="130"/>
      <c r="M13" s="130"/>
      <c r="N13" s="130"/>
      <c r="O13" s="131">
        <f t="shared" si="0"/>
        <v>16</v>
      </c>
      <c r="P13" s="132"/>
      <c r="Q13" s="130"/>
      <c r="R13" s="132"/>
    </row>
    <row r="14" spans="1:18" ht="19.5" customHeight="1">
      <c r="A14" s="129">
        <f t="shared" si="1"/>
        <v>9</v>
      </c>
      <c r="B14" s="214" t="s">
        <v>518</v>
      </c>
      <c r="C14" s="129" t="str">
        <f>表3_元件數量計算表!$F$16</f>
        <v>組</v>
      </c>
      <c r="D14" s="130">
        <f>$D$5*表3_元件數量計算表!$E$16</f>
        <v>8</v>
      </c>
      <c r="E14" s="130">
        <f>$E$5*表3_元件數量計算表!$E$28</f>
        <v>16</v>
      </c>
      <c r="F14" s="130"/>
      <c r="G14" s="130"/>
      <c r="H14" s="130"/>
      <c r="I14" s="130"/>
      <c r="J14" s="130"/>
      <c r="K14" s="130"/>
      <c r="L14" s="130"/>
      <c r="M14" s="130"/>
      <c r="N14" s="130"/>
      <c r="O14" s="131">
        <f t="shared" si="0"/>
        <v>24</v>
      </c>
      <c r="P14" s="132"/>
      <c r="Q14" s="130">
        <v>1762.56</v>
      </c>
      <c r="R14" s="132"/>
    </row>
    <row r="15" spans="1:18" ht="19.5" customHeight="1">
      <c r="A15" s="129">
        <f t="shared" si="1"/>
        <v>10</v>
      </c>
      <c r="B15" s="214" t="s">
        <v>492</v>
      </c>
      <c r="C15" s="129" t="str">
        <f>表3_元件數量計算表!$F$22</f>
        <v>M2</v>
      </c>
      <c r="D15" s="130"/>
      <c r="E15" s="130">
        <f>$E$5*表3_元件數量計算表!$E$22</f>
        <v>164.28</v>
      </c>
      <c r="F15" s="130"/>
      <c r="G15" s="130"/>
      <c r="H15" s="130"/>
      <c r="I15" s="130"/>
      <c r="J15" s="130">
        <f>$J$5*表3_元件數量計算表!$E$56</f>
        <v>1975.28</v>
      </c>
      <c r="K15" s="130">
        <f>$K$5*表3_元件數量計算表!$E$67</f>
        <v>1109.24</v>
      </c>
      <c r="L15" s="130"/>
      <c r="M15" s="130"/>
      <c r="N15" s="130"/>
      <c r="O15" s="131">
        <f t="shared" si="0"/>
        <v>3248.8</v>
      </c>
      <c r="P15" s="132"/>
      <c r="Q15" s="130">
        <v>6.4</v>
      </c>
      <c r="R15" s="132"/>
    </row>
    <row r="16" spans="1:18" ht="19.5" customHeight="1">
      <c r="A16" s="129">
        <f t="shared" si="1"/>
        <v>11</v>
      </c>
      <c r="B16" s="214" t="s">
        <v>519</v>
      </c>
      <c r="C16" s="129" t="str">
        <f>表3_元件數量計算表!$F$31</f>
        <v>M2</v>
      </c>
      <c r="D16" s="130"/>
      <c r="E16" s="130"/>
      <c r="F16" s="133">
        <f>$F$5*表3_元件數量計算表!$E$31</f>
        <v>2414.39</v>
      </c>
      <c r="G16" s="130"/>
      <c r="H16" s="133"/>
      <c r="I16" s="133"/>
      <c r="J16" s="130"/>
      <c r="K16" s="130"/>
      <c r="L16" s="130"/>
      <c r="M16" s="130"/>
      <c r="N16" s="133"/>
      <c r="O16" s="131">
        <f t="shared" si="0"/>
        <v>2414.39</v>
      </c>
      <c r="P16" s="132"/>
      <c r="Q16" s="133"/>
      <c r="R16" s="132"/>
    </row>
    <row r="17" spans="1:18" ht="19.5" customHeight="1">
      <c r="A17" s="129">
        <f t="shared" si="1"/>
        <v>12</v>
      </c>
      <c r="B17" s="214" t="s">
        <v>520</v>
      </c>
      <c r="C17" s="129" t="str">
        <f>表3_元件數量計算表!$F$34</f>
        <v>組</v>
      </c>
      <c r="D17" s="218"/>
      <c r="E17" s="130"/>
      <c r="F17" s="130">
        <f>$F$5*表3_元件數量計算表!$E$34</f>
        <v>50</v>
      </c>
      <c r="G17" s="130"/>
      <c r="H17" s="130"/>
      <c r="I17" s="133"/>
      <c r="J17" s="133"/>
      <c r="K17" s="133"/>
      <c r="L17" s="133"/>
      <c r="M17" s="133"/>
      <c r="N17" s="133"/>
      <c r="O17" s="131">
        <f t="shared" si="0"/>
        <v>50</v>
      </c>
      <c r="P17" s="132"/>
      <c r="Q17" s="130"/>
      <c r="R17" s="132"/>
    </row>
    <row r="18" spans="1:18" ht="19.5" customHeight="1">
      <c r="A18" s="129">
        <f t="shared" si="1"/>
        <v>13</v>
      </c>
      <c r="B18" s="219" t="s">
        <v>249</v>
      </c>
      <c r="C18" s="129" t="str">
        <f>表3_元件數量計算表!$F$35</f>
        <v>M</v>
      </c>
      <c r="D18" s="130"/>
      <c r="E18" s="130"/>
      <c r="F18" s="133">
        <f>$F$5*表3_元件數量計算表!$E$35</f>
        <v>18</v>
      </c>
      <c r="G18" s="130"/>
      <c r="H18" s="133"/>
      <c r="I18" s="133"/>
      <c r="J18" s="130"/>
      <c r="K18" s="130"/>
      <c r="L18" s="130"/>
      <c r="M18" s="130"/>
      <c r="N18" s="133"/>
      <c r="O18" s="131">
        <f t="shared" si="0"/>
        <v>18</v>
      </c>
      <c r="P18" s="132"/>
      <c r="Q18" s="133"/>
      <c r="R18" s="132"/>
    </row>
    <row r="19" spans="1:18" ht="19.5" customHeight="1">
      <c r="A19" s="129">
        <f t="shared" si="1"/>
        <v>14</v>
      </c>
      <c r="B19" s="115" t="s">
        <v>521</v>
      </c>
      <c r="C19" s="129" t="str">
        <f>表3_元件數量計算表!$F$36</f>
        <v>處</v>
      </c>
      <c r="D19" s="130"/>
      <c r="E19" s="133"/>
      <c r="F19" s="133">
        <f>$F$5*表3_元件數量計算表!$E$36</f>
        <v>2</v>
      </c>
      <c r="G19" s="130"/>
      <c r="H19" s="133"/>
      <c r="I19" s="133"/>
      <c r="J19" s="130"/>
      <c r="K19" s="130"/>
      <c r="L19" s="130"/>
      <c r="M19" s="130"/>
      <c r="N19" s="133"/>
      <c r="O19" s="131">
        <f t="shared" si="0"/>
        <v>2</v>
      </c>
      <c r="P19" s="132"/>
      <c r="Q19" s="133"/>
      <c r="R19" s="132"/>
    </row>
    <row r="20" spans="1:18" ht="19.5" customHeight="1">
      <c r="A20" s="129">
        <f t="shared" si="1"/>
        <v>15</v>
      </c>
      <c r="B20" s="115" t="s">
        <v>522</v>
      </c>
      <c r="C20" s="129" t="str">
        <f>表3_元件數量計算表!$F$37</f>
        <v>M</v>
      </c>
      <c r="D20" s="130"/>
      <c r="E20" s="133"/>
      <c r="F20" s="133">
        <f>$F$5*表3_元件數量計算表!$E$37</f>
        <v>250</v>
      </c>
      <c r="G20" s="130"/>
      <c r="H20" s="133"/>
      <c r="I20" s="133"/>
      <c r="J20" s="130"/>
      <c r="K20" s="130"/>
      <c r="L20" s="130"/>
      <c r="M20" s="130"/>
      <c r="N20" s="133"/>
      <c r="O20" s="131">
        <f t="shared" si="0"/>
        <v>250</v>
      </c>
      <c r="P20" s="132"/>
      <c r="Q20" s="133"/>
      <c r="R20" s="132"/>
    </row>
    <row r="21" spans="1:18" ht="19.5" customHeight="1">
      <c r="A21" s="129">
        <f t="shared" si="1"/>
        <v>16</v>
      </c>
      <c r="B21" s="115" t="s">
        <v>523</v>
      </c>
      <c r="C21" s="129" t="str">
        <f>表3_元件數量計算表!$F$42</f>
        <v>M3</v>
      </c>
      <c r="D21" s="130"/>
      <c r="E21" s="133"/>
      <c r="F21" s="133"/>
      <c r="G21" s="130">
        <f>$G$5*表3_元件數量計算表!$E$42</f>
        <v>1.6800000000000002</v>
      </c>
      <c r="H21" s="133">
        <f>$H$5*表3_元件數量計算表!$E$47</f>
        <v>4.5</v>
      </c>
      <c r="I21" s="133">
        <f>$I$5*表3_元件數量計算表!$E$52</f>
        <v>2.4000000000000004</v>
      </c>
      <c r="J21" s="130"/>
      <c r="K21" s="130"/>
      <c r="L21" s="130"/>
      <c r="M21" s="130"/>
      <c r="N21" s="133"/>
      <c r="O21" s="131">
        <f t="shared" si="0"/>
        <v>8.58</v>
      </c>
      <c r="P21" s="132"/>
      <c r="Q21" s="133"/>
      <c r="R21" s="132"/>
    </row>
    <row r="22" spans="1:18" ht="19.5" customHeight="1">
      <c r="A22" s="129">
        <f t="shared" si="1"/>
        <v>17</v>
      </c>
      <c r="B22" s="115" t="s">
        <v>524</v>
      </c>
      <c r="C22" s="129" t="str">
        <f>表3_元件數量計算表!$F$53</f>
        <v>M2</v>
      </c>
      <c r="D22" s="130"/>
      <c r="E22" s="130"/>
      <c r="F22" s="133"/>
      <c r="G22" s="130"/>
      <c r="H22" s="133"/>
      <c r="I22" s="133">
        <f>$I$5*表3_元件數量計算表!$E$53</f>
        <v>6.48</v>
      </c>
      <c r="J22" s="130"/>
      <c r="K22" s="130"/>
      <c r="L22" s="130"/>
      <c r="M22" s="130"/>
      <c r="N22" s="133"/>
      <c r="O22" s="131">
        <f t="shared" si="0"/>
        <v>6.48</v>
      </c>
      <c r="P22" s="132"/>
      <c r="Q22" s="133"/>
      <c r="R22" s="132"/>
    </row>
    <row r="23" spans="1:18" ht="19.5" customHeight="1">
      <c r="A23" s="129">
        <f t="shared" si="1"/>
        <v>18</v>
      </c>
      <c r="B23" s="115" t="s">
        <v>525</v>
      </c>
      <c r="C23" s="135" t="str">
        <f>表3_元件數量計算表!$F$59</f>
        <v>M3</v>
      </c>
      <c r="D23" s="130"/>
      <c r="E23" s="130"/>
      <c r="F23" s="133"/>
      <c r="G23" s="130"/>
      <c r="H23" s="133"/>
      <c r="I23" s="133"/>
      <c r="J23" s="130">
        <f>$J$5*表3_元件數量計算表!$E$59</f>
        <v>377.6</v>
      </c>
      <c r="K23" s="130">
        <f>$K$5*表3_元件數量計算表!$E$70</f>
        <v>212.4</v>
      </c>
      <c r="L23" s="130"/>
      <c r="M23" s="130"/>
      <c r="N23" s="133"/>
      <c r="O23" s="131">
        <f t="shared" si="0"/>
        <v>590</v>
      </c>
      <c r="P23" s="132"/>
      <c r="Q23" s="133"/>
      <c r="R23" s="132"/>
    </row>
    <row r="24" spans="1:18" ht="19.5" customHeight="1">
      <c r="A24" s="129">
        <f t="shared" si="1"/>
        <v>19</v>
      </c>
      <c r="B24" s="115" t="s">
        <v>526</v>
      </c>
      <c r="C24" s="135" t="str">
        <f>表3_元件數量計算表!$F$60</f>
        <v>KG</v>
      </c>
      <c r="D24" s="130"/>
      <c r="E24" s="130"/>
      <c r="F24" s="133"/>
      <c r="G24" s="130"/>
      <c r="H24" s="133"/>
      <c r="I24" s="133"/>
      <c r="J24" s="130">
        <f>$J$5*表3_元件數量計算表!$E$60</f>
        <v>24206.720000000001</v>
      </c>
      <c r="K24" s="130"/>
      <c r="L24" s="130"/>
      <c r="M24" s="130"/>
      <c r="N24" s="133"/>
      <c r="O24" s="131">
        <f t="shared" si="0"/>
        <v>24206.720000000001</v>
      </c>
      <c r="P24" s="132"/>
      <c r="Q24" s="133"/>
      <c r="R24" s="132"/>
    </row>
    <row r="25" spans="1:18" ht="19.5" customHeight="1">
      <c r="A25" s="129">
        <f t="shared" si="1"/>
        <v>20</v>
      </c>
      <c r="B25" s="115" t="s">
        <v>527</v>
      </c>
      <c r="C25" s="135" t="str">
        <f>表3_元件數量計算表!$F$61</f>
        <v>M</v>
      </c>
      <c r="D25" s="130"/>
      <c r="E25" s="130"/>
      <c r="F25" s="133"/>
      <c r="G25" s="130"/>
      <c r="H25" s="133"/>
      <c r="I25" s="133"/>
      <c r="J25" s="130">
        <f>$J$5*表3_元件數量計算表!$E$61</f>
        <v>2237.7600000000002</v>
      </c>
      <c r="K25" s="130">
        <f>$K$5*表3_元件數量計算表!$E$72</f>
        <v>1258.72</v>
      </c>
      <c r="L25" s="130"/>
      <c r="M25" s="130"/>
      <c r="N25" s="133"/>
      <c r="O25" s="131">
        <f t="shared" si="0"/>
        <v>3496.48</v>
      </c>
      <c r="P25" s="132"/>
      <c r="Q25" s="133"/>
      <c r="R25" s="132"/>
    </row>
    <row r="26" spans="1:18" ht="19.5" customHeight="1">
      <c r="A26" s="129">
        <f t="shared" si="1"/>
        <v>21</v>
      </c>
      <c r="B26" s="178" t="s">
        <v>528</v>
      </c>
      <c r="C26" s="135" t="str">
        <f>表3_元件數量計算表!$F$62</f>
        <v>M</v>
      </c>
      <c r="D26" s="130"/>
      <c r="E26" s="130"/>
      <c r="F26" s="133"/>
      <c r="G26" s="130"/>
      <c r="H26" s="133"/>
      <c r="I26" s="133"/>
      <c r="J26" s="133">
        <f>$J$5*表3_元件數量計算表!$E$62</f>
        <v>2265.7600000000002</v>
      </c>
      <c r="K26" s="133">
        <f>$K$5*表3_元件數量計算表!$E$73</f>
        <v>1272.72</v>
      </c>
      <c r="L26" s="133"/>
      <c r="M26" s="133"/>
      <c r="N26" s="133"/>
      <c r="O26" s="131">
        <f t="shared" si="0"/>
        <v>3538.48</v>
      </c>
      <c r="P26" s="132"/>
      <c r="Q26" s="133"/>
      <c r="R26" s="132"/>
    </row>
    <row r="27" spans="1:18" ht="19.5" customHeight="1">
      <c r="A27" s="129">
        <f t="shared" si="1"/>
        <v>22</v>
      </c>
      <c r="B27" s="113" t="s">
        <v>529</v>
      </c>
      <c r="C27" s="135" t="str">
        <f>表3_元件數量計算表!$F$63</f>
        <v>付</v>
      </c>
      <c r="D27" s="130"/>
      <c r="E27" s="130"/>
      <c r="F27" s="133"/>
      <c r="G27" s="130"/>
      <c r="H27" s="133"/>
      <c r="I27" s="133"/>
      <c r="J27" s="133">
        <f>$J$5*表3_元件數量計算表!$E$63</f>
        <v>112</v>
      </c>
      <c r="K27" s="133"/>
      <c r="L27" s="133"/>
      <c r="M27" s="133"/>
      <c r="N27" s="133"/>
      <c r="O27" s="131">
        <f t="shared" si="0"/>
        <v>112</v>
      </c>
      <c r="P27" s="132"/>
      <c r="Q27" s="133"/>
      <c r="R27" s="132"/>
    </row>
    <row r="28" spans="1:18" ht="19.5" customHeight="1">
      <c r="A28" s="129">
        <f t="shared" si="1"/>
        <v>23</v>
      </c>
      <c r="B28" s="220" t="s">
        <v>530</v>
      </c>
      <c r="C28" s="129" t="str">
        <f>表3_元件數量計算表!$F$64</f>
        <v>處</v>
      </c>
      <c r="D28" s="130"/>
      <c r="E28" s="133"/>
      <c r="F28" s="130"/>
      <c r="G28" s="130"/>
      <c r="H28" s="133"/>
      <c r="I28" s="133"/>
      <c r="J28" s="133">
        <f>$J$5*表3_元件數量計算表!$E$64</f>
        <v>8</v>
      </c>
      <c r="K28" s="133">
        <f>$K$5*表3_元件數量計算表!$E$75</f>
        <v>4</v>
      </c>
      <c r="L28" s="133"/>
      <c r="M28" s="133"/>
      <c r="N28" s="133"/>
      <c r="O28" s="131">
        <f t="shared" si="0"/>
        <v>12</v>
      </c>
      <c r="P28" s="132"/>
      <c r="Q28" s="133"/>
      <c r="R28" s="132"/>
    </row>
    <row r="29" spans="1:18" ht="19.5" customHeight="1">
      <c r="A29" s="129">
        <f>A28+1</f>
        <v>24</v>
      </c>
      <c r="B29" s="179" t="s">
        <v>531</v>
      </c>
      <c r="C29" s="129" t="str">
        <f>表3_元件數量計算表!$F$71</f>
        <v>KG</v>
      </c>
      <c r="D29" s="130"/>
      <c r="E29" s="130"/>
      <c r="F29" s="130"/>
      <c r="G29" s="130"/>
      <c r="H29" s="130"/>
      <c r="I29" s="130"/>
      <c r="J29" s="130"/>
      <c r="K29" s="130">
        <f>$K$5*表3_元件數量計算表!$E$71</f>
        <v>17667.52</v>
      </c>
      <c r="L29" s="130"/>
      <c r="M29" s="130"/>
      <c r="N29" s="130"/>
      <c r="O29" s="131">
        <f t="shared" si="0"/>
        <v>17667.52</v>
      </c>
      <c r="P29" s="132"/>
      <c r="Q29" s="130"/>
      <c r="R29" s="132"/>
    </row>
    <row r="30" spans="1:18" ht="19.5" customHeight="1">
      <c r="A30" s="129">
        <f>A29+1</f>
        <v>25</v>
      </c>
      <c r="B30" s="221" t="s">
        <v>532</v>
      </c>
      <c r="C30" s="140" t="str">
        <f>表3_元件數量計算表!$F$74</f>
        <v>付</v>
      </c>
      <c r="D30" s="136"/>
      <c r="E30" s="130"/>
      <c r="F30" s="130"/>
      <c r="G30" s="130"/>
      <c r="H30" s="130"/>
      <c r="I30" s="130"/>
      <c r="J30" s="130"/>
      <c r="K30" s="130">
        <f>$K$5*表3_元件數量計算表!$E$74</f>
        <v>56</v>
      </c>
      <c r="L30" s="130"/>
      <c r="M30" s="130"/>
      <c r="N30" s="130"/>
      <c r="O30" s="131">
        <f t="shared" si="0"/>
        <v>56</v>
      </c>
      <c r="P30" s="132"/>
      <c r="Q30" s="130"/>
      <c r="R30" s="132"/>
    </row>
    <row r="31" spans="1:18" ht="19.5" customHeight="1">
      <c r="A31" s="129">
        <f>A30+1</f>
        <v>26</v>
      </c>
      <c r="B31" s="115" t="s">
        <v>483</v>
      </c>
      <c r="C31" s="129" t="str">
        <f>表3_元件數量計算表!$F$82</f>
        <v>M3</v>
      </c>
      <c r="D31" s="218"/>
      <c r="E31" s="218"/>
      <c r="F31" s="218"/>
      <c r="G31" s="130"/>
      <c r="H31" s="130"/>
      <c r="I31" s="133"/>
      <c r="J31" s="218"/>
      <c r="K31" s="218"/>
      <c r="L31" s="218">
        <f>$L$5*表3_元件數量計算表!$E$82</f>
        <v>274.50099999999998</v>
      </c>
      <c r="M31" s="218">
        <f>$M$5*表3_元件數量計算表!$E$87</f>
        <v>22.72</v>
      </c>
      <c r="N31" s="218"/>
      <c r="O31" s="131">
        <f t="shared" si="0"/>
        <v>297.22000000000003</v>
      </c>
      <c r="P31" s="132"/>
      <c r="Q31" s="134"/>
      <c r="R31" s="132"/>
    </row>
    <row r="32" spans="1:18">
      <c r="B32" s="127" t="s">
        <v>533</v>
      </c>
      <c r="C32" s="127" t="str">
        <f>表3_元件數量計算表!$F$92</f>
        <v>M3</v>
      </c>
      <c r="N32" s="127">
        <f>$N$5*表3_元件數量計算表!$E$92</f>
        <v>317.88</v>
      </c>
      <c r="O32" s="131">
        <f t="shared" si="0"/>
        <v>317.88</v>
      </c>
    </row>
  </sheetData>
  <mergeCells count="4">
    <mergeCell ref="A3:A5"/>
    <mergeCell ref="B3:B5"/>
    <mergeCell ref="C3:C5"/>
    <mergeCell ref="O4:O5"/>
  </mergeCells>
  <phoneticPr fontId="3" type="noConversion"/>
  <pageMargins left="0.23622047244094491" right="0.23622047244094491" top="1.3779527559055118" bottom="0.74803149606299213" header="0.31496062992125984" footer="0.31496062992125984"/>
  <pageSetup paperSize="9" scale="58" orientation="landscape" r:id="rId1"/>
  <headerFooter alignWithMargins="0">
    <oddHeader>&amp;L&amp;"標楷體,標準"
工程名稱:左鎮區南171民生橋改建工程&amp;C&amp;18臺南市政府工務局
橋梁工程數量計算表</oddHeader>
    <oddFooter>&amp;L&amp;"標楷體,標準"計算：&amp;C&amp;"標楷體,標準"表1-&amp;P&amp;R&amp;"標楷體,標準"松陽工程顧問有限公司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3:V23"/>
  <sheetViews>
    <sheetView view="pageBreakPreview" zoomScale="70" zoomScaleNormal="100" zoomScaleSheetLayoutView="70" workbookViewId="0">
      <selection activeCell="K27" sqref="K27"/>
    </sheetView>
  </sheetViews>
  <sheetFormatPr defaultRowHeight="15.75"/>
  <cols>
    <col min="1" max="1" width="5.625" style="127" customWidth="1"/>
    <col min="2" max="2" width="31.625" style="127" customWidth="1"/>
    <col min="3" max="3" width="5.625" style="127" customWidth="1"/>
    <col min="4" max="20" width="15.625" style="127" customWidth="1"/>
    <col min="21" max="21" width="10.625" style="127" customWidth="1"/>
    <col min="22" max="22" width="11.375" style="127" customWidth="1"/>
    <col min="23" max="23" width="13.25" style="127" customWidth="1"/>
    <col min="24" max="263" width="9" style="127"/>
    <col min="264" max="264" width="6.625" style="127" customWidth="1"/>
    <col min="265" max="265" width="31.625" style="127" customWidth="1"/>
    <col min="266" max="266" width="6.625" style="127" customWidth="1"/>
    <col min="267" max="272" width="16.625" style="127" customWidth="1"/>
    <col min="273" max="273" width="21.875" style="127" bestFit="1" customWidth="1"/>
    <col min="274" max="274" width="15.625" style="127" customWidth="1"/>
    <col min="275" max="275" width="16.625" style="127" customWidth="1"/>
    <col min="276" max="276" width="10.625" style="127" customWidth="1"/>
    <col min="277" max="277" width="26.375" style="127" bestFit="1" customWidth="1"/>
    <col min="278" max="278" width="11.375" style="127" customWidth="1"/>
    <col min="279" max="279" width="13.25" style="127" customWidth="1"/>
    <col min="280" max="519" width="9" style="127"/>
    <col min="520" max="520" width="6.625" style="127" customWidth="1"/>
    <col min="521" max="521" width="31.625" style="127" customWidth="1"/>
    <col min="522" max="522" width="6.625" style="127" customWidth="1"/>
    <col min="523" max="528" width="16.625" style="127" customWidth="1"/>
    <col min="529" max="529" width="21.875" style="127" bestFit="1" customWidth="1"/>
    <col min="530" max="530" width="15.625" style="127" customWidth="1"/>
    <col min="531" max="531" width="16.625" style="127" customWidth="1"/>
    <col min="532" max="532" width="10.625" style="127" customWidth="1"/>
    <col min="533" max="533" width="26.375" style="127" bestFit="1" customWidth="1"/>
    <col min="534" max="534" width="11.375" style="127" customWidth="1"/>
    <col min="535" max="535" width="13.25" style="127" customWidth="1"/>
    <col min="536" max="775" width="9" style="127"/>
    <col min="776" max="776" width="6.625" style="127" customWidth="1"/>
    <col min="777" max="777" width="31.625" style="127" customWidth="1"/>
    <col min="778" max="778" width="6.625" style="127" customWidth="1"/>
    <col min="779" max="784" width="16.625" style="127" customWidth="1"/>
    <col min="785" max="785" width="21.875" style="127" bestFit="1" customWidth="1"/>
    <col min="786" max="786" width="15.625" style="127" customWidth="1"/>
    <col min="787" max="787" width="16.625" style="127" customWidth="1"/>
    <col min="788" max="788" width="10.625" style="127" customWidth="1"/>
    <col min="789" max="789" width="26.375" style="127" bestFit="1" customWidth="1"/>
    <col min="790" max="790" width="11.375" style="127" customWidth="1"/>
    <col min="791" max="791" width="13.25" style="127" customWidth="1"/>
    <col min="792" max="1031" width="9" style="127"/>
    <col min="1032" max="1032" width="6.625" style="127" customWidth="1"/>
    <col min="1033" max="1033" width="31.625" style="127" customWidth="1"/>
    <col min="1034" max="1034" width="6.625" style="127" customWidth="1"/>
    <col min="1035" max="1040" width="16.625" style="127" customWidth="1"/>
    <col min="1041" max="1041" width="21.875" style="127" bestFit="1" customWidth="1"/>
    <col min="1042" max="1042" width="15.625" style="127" customWidth="1"/>
    <col min="1043" max="1043" width="16.625" style="127" customWidth="1"/>
    <col min="1044" max="1044" width="10.625" style="127" customWidth="1"/>
    <col min="1045" max="1045" width="26.375" style="127" bestFit="1" customWidth="1"/>
    <col min="1046" max="1046" width="11.375" style="127" customWidth="1"/>
    <col min="1047" max="1047" width="13.25" style="127" customWidth="1"/>
    <col min="1048" max="1287" width="9" style="127"/>
    <col min="1288" max="1288" width="6.625" style="127" customWidth="1"/>
    <col min="1289" max="1289" width="31.625" style="127" customWidth="1"/>
    <col min="1290" max="1290" width="6.625" style="127" customWidth="1"/>
    <col min="1291" max="1296" width="16.625" style="127" customWidth="1"/>
    <col min="1297" max="1297" width="21.875" style="127" bestFit="1" customWidth="1"/>
    <col min="1298" max="1298" width="15.625" style="127" customWidth="1"/>
    <col min="1299" max="1299" width="16.625" style="127" customWidth="1"/>
    <col min="1300" max="1300" width="10.625" style="127" customWidth="1"/>
    <col min="1301" max="1301" width="26.375" style="127" bestFit="1" customWidth="1"/>
    <col min="1302" max="1302" width="11.375" style="127" customWidth="1"/>
    <col min="1303" max="1303" width="13.25" style="127" customWidth="1"/>
    <col min="1304" max="1543" width="9" style="127"/>
    <col min="1544" max="1544" width="6.625" style="127" customWidth="1"/>
    <col min="1545" max="1545" width="31.625" style="127" customWidth="1"/>
    <col min="1546" max="1546" width="6.625" style="127" customWidth="1"/>
    <col min="1547" max="1552" width="16.625" style="127" customWidth="1"/>
    <col min="1553" max="1553" width="21.875" style="127" bestFit="1" customWidth="1"/>
    <col min="1554" max="1554" width="15.625" style="127" customWidth="1"/>
    <col min="1555" max="1555" width="16.625" style="127" customWidth="1"/>
    <col min="1556" max="1556" width="10.625" style="127" customWidth="1"/>
    <col min="1557" max="1557" width="26.375" style="127" bestFit="1" customWidth="1"/>
    <col min="1558" max="1558" width="11.375" style="127" customWidth="1"/>
    <col min="1559" max="1559" width="13.25" style="127" customWidth="1"/>
    <col min="1560" max="1799" width="9" style="127"/>
    <col min="1800" max="1800" width="6.625" style="127" customWidth="1"/>
    <col min="1801" max="1801" width="31.625" style="127" customWidth="1"/>
    <col min="1802" max="1802" width="6.625" style="127" customWidth="1"/>
    <col min="1803" max="1808" width="16.625" style="127" customWidth="1"/>
    <col min="1809" max="1809" width="21.875" style="127" bestFit="1" customWidth="1"/>
    <col min="1810" max="1810" width="15.625" style="127" customWidth="1"/>
    <col min="1811" max="1811" width="16.625" style="127" customWidth="1"/>
    <col min="1812" max="1812" width="10.625" style="127" customWidth="1"/>
    <col min="1813" max="1813" width="26.375" style="127" bestFit="1" customWidth="1"/>
    <col min="1814" max="1814" width="11.375" style="127" customWidth="1"/>
    <col min="1815" max="1815" width="13.25" style="127" customWidth="1"/>
    <col min="1816" max="2055" width="9" style="127"/>
    <col min="2056" max="2056" width="6.625" style="127" customWidth="1"/>
    <col min="2057" max="2057" width="31.625" style="127" customWidth="1"/>
    <col min="2058" max="2058" width="6.625" style="127" customWidth="1"/>
    <col min="2059" max="2064" width="16.625" style="127" customWidth="1"/>
    <col min="2065" max="2065" width="21.875" style="127" bestFit="1" customWidth="1"/>
    <col min="2066" max="2066" width="15.625" style="127" customWidth="1"/>
    <col min="2067" max="2067" width="16.625" style="127" customWidth="1"/>
    <col min="2068" max="2068" width="10.625" style="127" customWidth="1"/>
    <col min="2069" max="2069" width="26.375" style="127" bestFit="1" customWidth="1"/>
    <col min="2070" max="2070" width="11.375" style="127" customWidth="1"/>
    <col min="2071" max="2071" width="13.25" style="127" customWidth="1"/>
    <col min="2072" max="2311" width="9" style="127"/>
    <col min="2312" max="2312" width="6.625" style="127" customWidth="1"/>
    <col min="2313" max="2313" width="31.625" style="127" customWidth="1"/>
    <col min="2314" max="2314" width="6.625" style="127" customWidth="1"/>
    <col min="2315" max="2320" width="16.625" style="127" customWidth="1"/>
    <col min="2321" max="2321" width="21.875" style="127" bestFit="1" customWidth="1"/>
    <col min="2322" max="2322" width="15.625" style="127" customWidth="1"/>
    <col min="2323" max="2323" width="16.625" style="127" customWidth="1"/>
    <col min="2324" max="2324" width="10.625" style="127" customWidth="1"/>
    <col min="2325" max="2325" width="26.375" style="127" bestFit="1" customWidth="1"/>
    <col min="2326" max="2326" width="11.375" style="127" customWidth="1"/>
    <col min="2327" max="2327" width="13.25" style="127" customWidth="1"/>
    <col min="2328" max="2567" width="9" style="127"/>
    <col min="2568" max="2568" width="6.625" style="127" customWidth="1"/>
    <col min="2569" max="2569" width="31.625" style="127" customWidth="1"/>
    <col min="2570" max="2570" width="6.625" style="127" customWidth="1"/>
    <col min="2571" max="2576" width="16.625" style="127" customWidth="1"/>
    <col min="2577" max="2577" width="21.875" style="127" bestFit="1" customWidth="1"/>
    <col min="2578" max="2578" width="15.625" style="127" customWidth="1"/>
    <col min="2579" max="2579" width="16.625" style="127" customWidth="1"/>
    <col min="2580" max="2580" width="10.625" style="127" customWidth="1"/>
    <col min="2581" max="2581" width="26.375" style="127" bestFit="1" customWidth="1"/>
    <col min="2582" max="2582" width="11.375" style="127" customWidth="1"/>
    <col min="2583" max="2583" width="13.25" style="127" customWidth="1"/>
    <col min="2584" max="2823" width="9" style="127"/>
    <col min="2824" max="2824" width="6.625" style="127" customWidth="1"/>
    <col min="2825" max="2825" width="31.625" style="127" customWidth="1"/>
    <col min="2826" max="2826" width="6.625" style="127" customWidth="1"/>
    <col min="2827" max="2832" width="16.625" style="127" customWidth="1"/>
    <col min="2833" max="2833" width="21.875" style="127" bestFit="1" customWidth="1"/>
    <col min="2834" max="2834" width="15.625" style="127" customWidth="1"/>
    <col min="2835" max="2835" width="16.625" style="127" customWidth="1"/>
    <col min="2836" max="2836" width="10.625" style="127" customWidth="1"/>
    <col min="2837" max="2837" width="26.375" style="127" bestFit="1" customWidth="1"/>
    <col min="2838" max="2838" width="11.375" style="127" customWidth="1"/>
    <col min="2839" max="2839" width="13.25" style="127" customWidth="1"/>
    <col min="2840" max="3079" width="9" style="127"/>
    <col min="3080" max="3080" width="6.625" style="127" customWidth="1"/>
    <col min="3081" max="3081" width="31.625" style="127" customWidth="1"/>
    <col min="3082" max="3082" width="6.625" style="127" customWidth="1"/>
    <col min="3083" max="3088" width="16.625" style="127" customWidth="1"/>
    <col min="3089" max="3089" width="21.875" style="127" bestFit="1" customWidth="1"/>
    <col min="3090" max="3090" width="15.625" style="127" customWidth="1"/>
    <col min="3091" max="3091" width="16.625" style="127" customWidth="1"/>
    <col min="3092" max="3092" width="10.625" style="127" customWidth="1"/>
    <col min="3093" max="3093" width="26.375" style="127" bestFit="1" customWidth="1"/>
    <col min="3094" max="3094" width="11.375" style="127" customWidth="1"/>
    <col min="3095" max="3095" width="13.25" style="127" customWidth="1"/>
    <col min="3096" max="3335" width="9" style="127"/>
    <col min="3336" max="3336" width="6.625" style="127" customWidth="1"/>
    <col min="3337" max="3337" width="31.625" style="127" customWidth="1"/>
    <col min="3338" max="3338" width="6.625" style="127" customWidth="1"/>
    <col min="3339" max="3344" width="16.625" style="127" customWidth="1"/>
    <col min="3345" max="3345" width="21.875" style="127" bestFit="1" customWidth="1"/>
    <col min="3346" max="3346" width="15.625" style="127" customWidth="1"/>
    <col min="3347" max="3347" width="16.625" style="127" customWidth="1"/>
    <col min="3348" max="3348" width="10.625" style="127" customWidth="1"/>
    <col min="3349" max="3349" width="26.375" style="127" bestFit="1" customWidth="1"/>
    <col min="3350" max="3350" width="11.375" style="127" customWidth="1"/>
    <col min="3351" max="3351" width="13.25" style="127" customWidth="1"/>
    <col min="3352" max="3591" width="9" style="127"/>
    <col min="3592" max="3592" width="6.625" style="127" customWidth="1"/>
    <col min="3593" max="3593" width="31.625" style="127" customWidth="1"/>
    <col min="3594" max="3594" width="6.625" style="127" customWidth="1"/>
    <col min="3595" max="3600" width="16.625" style="127" customWidth="1"/>
    <col min="3601" max="3601" width="21.875" style="127" bestFit="1" customWidth="1"/>
    <col min="3602" max="3602" width="15.625" style="127" customWidth="1"/>
    <col min="3603" max="3603" width="16.625" style="127" customWidth="1"/>
    <col min="3604" max="3604" width="10.625" style="127" customWidth="1"/>
    <col min="3605" max="3605" width="26.375" style="127" bestFit="1" customWidth="1"/>
    <col min="3606" max="3606" width="11.375" style="127" customWidth="1"/>
    <col min="3607" max="3607" width="13.25" style="127" customWidth="1"/>
    <col min="3608" max="3847" width="9" style="127"/>
    <col min="3848" max="3848" width="6.625" style="127" customWidth="1"/>
    <col min="3849" max="3849" width="31.625" style="127" customWidth="1"/>
    <col min="3850" max="3850" width="6.625" style="127" customWidth="1"/>
    <col min="3851" max="3856" width="16.625" style="127" customWidth="1"/>
    <col min="3857" max="3857" width="21.875" style="127" bestFit="1" customWidth="1"/>
    <col min="3858" max="3858" width="15.625" style="127" customWidth="1"/>
    <col min="3859" max="3859" width="16.625" style="127" customWidth="1"/>
    <col min="3860" max="3860" width="10.625" style="127" customWidth="1"/>
    <col min="3861" max="3861" width="26.375" style="127" bestFit="1" customWidth="1"/>
    <col min="3862" max="3862" width="11.375" style="127" customWidth="1"/>
    <col min="3863" max="3863" width="13.25" style="127" customWidth="1"/>
    <col min="3864" max="4103" width="9" style="127"/>
    <col min="4104" max="4104" width="6.625" style="127" customWidth="1"/>
    <col min="4105" max="4105" width="31.625" style="127" customWidth="1"/>
    <col min="4106" max="4106" width="6.625" style="127" customWidth="1"/>
    <col min="4107" max="4112" width="16.625" style="127" customWidth="1"/>
    <col min="4113" max="4113" width="21.875" style="127" bestFit="1" customWidth="1"/>
    <col min="4114" max="4114" width="15.625" style="127" customWidth="1"/>
    <col min="4115" max="4115" width="16.625" style="127" customWidth="1"/>
    <col min="4116" max="4116" width="10.625" style="127" customWidth="1"/>
    <col min="4117" max="4117" width="26.375" style="127" bestFit="1" customWidth="1"/>
    <col min="4118" max="4118" width="11.375" style="127" customWidth="1"/>
    <col min="4119" max="4119" width="13.25" style="127" customWidth="1"/>
    <col min="4120" max="4359" width="9" style="127"/>
    <col min="4360" max="4360" width="6.625" style="127" customWidth="1"/>
    <col min="4361" max="4361" width="31.625" style="127" customWidth="1"/>
    <col min="4362" max="4362" width="6.625" style="127" customWidth="1"/>
    <col min="4363" max="4368" width="16.625" style="127" customWidth="1"/>
    <col min="4369" max="4369" width="21.875" style="127" bestFit="1" customWidth="1"/>
    <col min="4370" max="4370" width="15.625" style="127" customWidth="1"/>
    <col min="4371" max="4371" width="16.625" style="127" customWidth="1"/>
    <col min="4372" max="4372" width="10.625" style="127" customWidth="1"/>
    <col min="4373" max="4373" width="26.375" style="127" bestFit="1" customWidth="1"/>
    <col min="4374" max="4374" width="11.375" style="127" customWidth="1"/>
    <col min="4375" max="4375" width="13.25" style="127" customWidth="1"/>
    <col min="4376" max="4615" width="9" style="127"/>
    <col min="4616" max="4616" width="6.625" style="127" customWidth="1"/>
    <col min="4617" max="4617" width="31.625" style="127" customWidth="1"/>
    <col min="4618" max="4618" width="6.625" style="127" customWidth="1"/>
    <col min="4619" max="4624" width="16.625" style="127" customWidth="1"/>
    <col min="4625" max="4625" width="21.875" style="127" bestFit="1" customWidth="1"/>
    <col min="4626" max="4626" width="15.625" style="127" customWidth="1"/>
    <col min="4627" max="4627" width="16.625" style="127" customWidth="1"/>
    <col min="4628" max="4628" width="10.625" style="127" customWidth="1"/>
    <col min="4629" max="4629" width="26.375" style="127" bestFit="1" customWidth="1"/>
    <col min="4630" max="4630" width="11.375" style="127" customWidth="1"/>
    <col min="4631" max="4631" width="13.25" style="127" customWidth="1"/>
    <col min="4632" max="4871" width="9" style="127"/>
    <col min="4872" max="4872" width="6.625" style="127" customWidth="1"/>
    <col min="4873" max="4873" width="31.625" style="127" customWidth="1"/>
    <col min="4874" max="4874" width="6.625" style="127" customWidth="1"/>
    <col min="4875" max="4880" width="16.625" style="127" customWidth="1"/>
    <col min="4881" max="4881" width="21.875" style="127" bestFit="1" customWidth="1"/>
    <col min="4882" max="4882" width="15.625" style="127" customWidth="1"/>
    <col min="4883" max="4883" width="16.625" style="127" customWidth="1"/>
    <col min="4884" max="4884" width="10.625" style="127" customWidth="1"/>
    <col min="4885" max="4885" width="26.375" style="127" bestFit="1" customWidth="1"/>
    <col min="4886" max="4886" width="11.375" style="127" customWidth="1"/>
    <col min="4887" max="4887" width="13.25" style="127" customWidth="1"/>
    <col min="4888" max="5127" width="9" style="127"/>
    <col min="5128" max="5128" width="6.625" style="127" customWidth="1"/>
    <col min="5129" max="5129" width="31.625" style="127" customWidth="1"/>
    <col min="5130" max="5130" width="6.625" style="127" customWidth="1"/>
    <col min="5131" max="5136" width="16.625" style="127" customWidth="1"/>
    <col min="5137" max="5137" width="21.875" style="127" bestFit="1" customWidth="1"/>
    <col min="5138" max="5138" width="15.625" style="127" customWidth="1"/>
    <col min="5139" max="5139" width="16.625" style="127" customWidth="1"/>
    <col min="5140" max="5140" width="10.625" style="127" customWidth="1"/>
    <col min="5141" max="5141" width="26.375" style="127" bestFit="1" customWidth="1"/>
    <col min="5142" max="5142" width="11.375" style="127" customWidth="1"/>
    <col min="5143" max="5143" width="13.25" style="127" customWidth="1"/>
    <col min="5144" max="5383" width="9" style="127"/>
    <col min="5384" max="5384" width="6.625" style="127" customWidth="1"/>
    <col min="5385" max="5385" width="31.625" style="127" customWidth="1"/>
    <col min="5386" max="5386" width="6.625" style="127" customWidth="1"/>
    <col min="5387" max="5392" width="16.625" style="127" customWidth="1"/>
    <col min="5393" max="5393" width="21.875" style="127" bestFit="1" customWidth="1"/>
    <col min="5394" max="5394" width="15.625" style="127" customWidth="1"/>
    <col min="5395" max="5395" width="16.625" style="127" customWidth="1"/>
    <col min="5396" max="5396" width="10.625" style="127" customWidth="1"/>
    <col min="5397" max="5397" width="26.375" style="127" bestFit="1" customWidth="1"/>
    <col min="5398" max="5398" width="11.375" style="127" customWidth="1"/>
    <col min="5399" max="5399" width="13.25" style="127" customWidth="1"/>
    <col min="5400" max="5639" width="9" style="127"/>
    <col min="5640" max="5640" width="6.625" style="127" customWidth="1"/>
    <col min="5641" max="5641" width="31.625" style="127" customWidth="1"/>
    <col min="5642" max="5642" width="6.625" style="127" customWidth="1"/>
    <col min="5643" max="5648" width="16.625" style="127" customWidth="1"/>
    <col min="5649" max="5649" width="21.875" style="127" bestFit="1" customWidth="1"/>
    <col min="5650" max="5650" width="15.625" style="127" customWidth="1"/>
    <col min="5651" max="5651" width="16.625" style="127" customWidth="1"/>
    <col min="5652" max="5652" width="10.625" style="127" customWidth="1"/>
    <col min="5653" max="5653" width="26.375" style="127" bestFit="1" customWidth="1"/>
    <col min="5654" max="5654" width="11.375" style="127" customWidth="1"/>
    <col min="5655" max="5655" width="13.25" style="127" customWidth="1"/>
    <col min="5656" max="5895" width="9" style="127"/>
    <col min="5896" max="5896" width="6.625" style="127" customWidth="1"/>
    <col min="5897" max="5897" width="31.625" style="127" customWidth="1"/>
    <col min="5898" max="5898" width="6.625" style="127" customWidth="1"/>
    <col min="5899" max="5904" width="16.625" style="127" customWidth="1"/>
    <col min="5905" max="5905" width="21.875" style="127" bestFit="1" customWidth="1"/>
    <col min="5906" max="5906" width="15.625" style="127" customWidth="1"/>
    <col min="5907" max="5907" width="16.625" style="127" customWidth="1"/>
    <col min="5908" max="5908" width="10.625" style="127" customWidth="1"/>
    <col min="5909" max="5909" width="26.375" style="127" bestFit="1" customWidth="1"/>
    <col min="5910" max="5910" width="11.375" style="127" customWidth="1"/>
    <col min="5911" max="5911" width="13.25" style="127" customWidth="1"/>
    <col min="5912" max="6151" width="9" style="127"/>
    <col min="6152" max="6152" width="6.625" style="127" customWidth="1"/>
    <col min="6153" max="6153" width="31.625" style="127" customWidth="1"/>
    <col min="6154" max="6154" width="6.625" style="127" customWidth="1"/>
    <col min="6155" max="6160" width="16.625" style="127" customWidth="1"/>
    <col min="6161" max="6161" width="21.875" style="127" bestFit="1" customWidth="1"/>
    <col min="6162" max="6162" width="15.625" style="127" customWidth="1"/>
    <col min="6163" max="6163" width="16.625" style="127" customWidth="1"/>
    <col min="6164" max="6164" width="10.625" style="127" customWidth="1"/>
    <col min="6165" max="6165" width="26.375" style="127" bestFit="1" customWidth="1"/>
    <col min="6166" max="6166" width="11.375" style="127" customWidth="1"/>
    <col min="6167" max="6167" width="13.25" style="127" customWidth="1"/>
    <col min="6168" max="6407" width="9" style="127"/>
    <col min="6408" max="6408" width="6.625" style="127" customWidth="1"/>
    <col min="6409" max="6409" width="31.625" style="127" customWidth="1"/>
    <col min="6410" max="6410" width="6.625" style="127" customWidth="1"/>
    <col min="6411" max="6416" width="16.625" style="127" customWidth="1"/>
    <col min="6417" max="6417" width="21.875" style="127" bestFit="1" customWidth="1"/>
    <col min="6418" max="6418" width="15.625" style="127" customWidth="1"/>
    <col min="6419" max="6419" width="16.625" style="127" customWidth="1"/>
    <col min="6420" max="6420" width="10.625" style="127" customWidth="1"/>
    <col min="6421" max="6421" width="26.375" style="127" bestFit="1" customWidth="1"/>
    <col min="6422" max="6422" width="11.375" style="127" customWidth="1"/>
    <col min="6423" max="6423" width="13.25" style="127" customWidth="1"/>
    <col min="6424" max="6663" width="9" style="127"/>
    <col min="6664" max="6664" width="6.625" style="127" customWidth="1"/>
    <col min="6665" max="6665" width="31.625" style="127" customWidth="1"/>
    <col min="6666" max="6666" width="6.625" style="127" customWidth="1"/>
    <col min="6667" max="6672" width="16.625" style="127" customWidth="1"/>
    <col min="6673" max="6673" width="21.875" style="127" bestFit="1" customWidth="1"/>
    <col min="6674" max="6674" width="15.625" style="127" customWidth="1"/>
    <col min="6675" max="6675" width="16.625" style="127" customWidth="1"/>
    <col min="6676" max="6676" width="10.625" style="127" customWidth="1"/>
    <col min="6677" max="6677" width="26.375" style="127" bestFit="1" customWidth="1"/>
    <col min="6678" max="6678" width="11.375" style="127" customWidth="1"/>
    <col min="6679" max="6679" width="13.25" style="127" customWidth="1"/>
    <col min="6680" max="6919" width="9" style="127"/>
    <col min="6920" max="6920" width="6.625" style="127" customWidth="1"/>
    <col min="6921" max="6921" width="31.625" style="127" customWidth="1"/>
    <col min="6922" max="6922" width="6.625" style="127" customWidth="1"/>
    <col min="6923" max="6928" width="16.625" style="127" customWidth="1"/>
    <col min="6929" max="6929" width="21.875" style="127" bestFit="1" customWidth="1"/>
    <col min="6930" max="6930" width="15.625" style="127" customWidth="1"/>
    <col min="6931" max="6931" width="16.625" style="127" customWidth="1"/>
    <col min="6932" max="6932" width="10.625" style="127" customWidth="1"/>
    <col min="6933" max="6933" width="26.375" style="127" bestFit="1" customWidth="1"/>
    <col min="6934" max="6934" width="11.375" style="127" customWidth="1"/>
    <col min="6935" max="6935" width="13.25" style="127" customWidth="1"/>
    <col min="6936" max="7175" width="9" style="127"/>
    <col min="7176" max="7176" width="6.625" style="127" customWidth="1"/>
    <col min="7177" max="7177" width="31.625" style="127" customWidth="1"/>
    <col min="7178" max="7178" width="6.625" style="127" customWidth="1"/>
    <col min="7179" max="7184" width="16.625" style="127" customWidth="1"/>
    <col min="7185" max="7185" width="21.875" style="127" bestFit="1" customWidth="1"/>
    <col min="7186" max="7186" width="15.625" style="127" customWidth="1"/>
    <col min="7187" max="7187" width="16.625" style="127" customWidth="1"/>
    <col min="7188" max="7188" width="10.625" style="127" customWidth="1"/>
    <col min="7189" max="7189" width="26.375" style="127" bestFit="1" customWidth="1"/>
    <col min="7190" max="7190" width="11.375" style="127" customWidth="1"/>
    <col min="7191" max="7191" width="13.25" style="127" customWidth="1"/>
    <col min="7192" max="7431" width="9" style="127"/>
    <col min="7432" max="7432" width="6.625" style="127" customWidth="1"/>
    <col min="7433" max="7433" width="31.625" style="127" customWidth="1"/>
    <col min="7434" max="7434" width="6.625" style="127" customWidth="1"/>
    <col min="7435" max="7440" width="16.625" style="127" customWidth="1"/>
    <col min="7441" max="7441" width="21.875" style="127" bestFit="1" customWidth="1"/>
    <col min="7442" max="7442" width="15.625" style="127" customWidth="1"/>
    <col min="7443" max="7443" width="16.625" style="127" customWidth="1"/>
    <col min="7444" max="7444" width="10.625" style="127" customWidth="1"/>
    <col min="7445" max="7445" width="26.375" style="127" bestFit="1" customWidth="1"/>
    <col min="7446" max="7446" width="11.375" style="127" customWidth="1"/>
    <col min="7447" max="7447" width="13.25" style="127" customWidth="1"/>
    <col min="7448" max="7687" width="9" style="127"/>
    <col min="7688" max="7688" width="6.625" style="127" customWidth="1"/>
    <col min="7689" max="7689" width="31.625" style="127" customWidth="1"/>
    <col min="7690" max="7690" width="6.625" style="127" customWidth="1"/>
    <col min="7691" max="7696" width="16.625" style="127" customWidth="1"/>
    <col min="7697" max="7697" width="21.875" style="127" bestFit="1" customWidth="1"/>
    <col min="7698" max="7698" width="15.625" style="127" customWidth="1"/>
    <col min="7699" max="7699" width="16.625" style="127" customWidth="1"/>
    <col min="7700" max="7700" width="10.625" style="127" customWidth="1"/>
    <col min="7701" max="7701" width="26.375" style="127" bestFit="1" customWidth="1"/>
    <col min="7702" max="7702" width="11.375" style="127" customWidth="1"/>
    <col min="7703" max="7703" width="13.25" style="127" customWidth="1"/>
    <col min="7704" max="7943" width="9" style="127"/>
    <col min="7944" max="7944" width="6.625" style="127" customWidth="1"/>
    <col min="7945" max="7945" width="31.625" style="127" customWidth="1"/>
    <col min="7946" max="7946" width="6.625" style="127" customWidth="1"/>
    <col min="7947" max="7952" width="16.625" style="127" customWidth="1"/>
    <col min="7953" max="7953" width="21.875" style="127" bestFit="1" customWidth="1"/>
    <col min="7954" max="7954" width="15.625" style="127" customWidth="1"/>
    <col min="7955" max="7955" width="16.625" style="127" customWidth="1"/>
    <col min="7956" max="7956" width="10.625" style="127" customWidth="1"/>
    <col min="7957" max="7957" width="26.375" style="127" bestFit="1" customWidth="1"/>
    <col min="7958" max="7958" width="11.375" style="127" customWidth="1"/>
    <col min="7959" max="7959" width="13.25" style="127" customWidth="1"/>
    <col min="7960" max="8199" width="9" style="127"/>
    <col min="8200" max="8200" width="6.625" style="127" customWidth="1"/>
    <col min="8201" max="8201" width="31.625" style="127" customWidth="1"/>
    <col min="8202" max="8202" width="6.625" style="127" customWidth="1"/>
    <col min="8203" max="8208" width="16.625" style="127" customWidth="1"/>
    <col min="8209" max="8209" width="21.875" style="127" bestFit="1" customWidth="1"/>
    <col min="8210" max="8210" width="15.625" style="127" customWidth="1"/>
    <col min="8211" max="8211" width="16.625" style="127" customWidth="1"/>
    <col min="8212" max="8212" width="10.625" style="127" customWidth="1"/>
    <col min="8213" max="8213" width="26.375" style="127" bestFit="1" customWidth="1"/>
    <col min="8214" max="8214" width="11.375" style="127" customWidth="1"/>
    <col min="8215" max="8215" width="13.25" style="127" customWidth="1"/>
    <col min="8216" max="8455" width="9" style="127"/>
    <col min="8456" max="8456" width="6.625" style="127" customWidth="1"/>
    <col min="8457" max="8457" width="31.625" style="127" customWidth="1"/>
    <col min="8458" max="8458" width="6.625" style="127" customWidth="1"/>
    <col min="8459" max="8464" width="16.625" style="127" customWidth="1"/>
    <col min="8465" max="8465" width="21.875" style="127" bestFit="1" customWidth="1"/>
    <col min="8466" max="8466" width="15.625" style="127" customWidth="1"/>
    <col min="8467" max="8467" width="16.625" style="127" customWidth="1"/>
    <col min="8468" max="8468" width="10.625" style="127" customWidth="1"/>
    <col min="8469" max="8469" width="26.375" style="127" bestFit="1" customWidth="1"/>
    <col min="8470" max="8470" width="11.375" style="127" customWidth="1"/>
    <col min="8471" max="8471" width="13.25" style="127" customWidth="1"/>
    <col min="8472" max="8711" width="9" style="127"/>
    <col min="8712" max="8712" width="6.625" style="127" customWidth="1"/>
    <col min="8713" max="8713" width="31.625" style="127" customWidth="1"/>
    <col min="8714" max="8714" width="6.625" style="127" customWidth="1"/>
    <col min="8715" max="8720" width="16.625" style="127" customWidth="1"/>
    <col min="8721" max="8721" width="21.875" style="127" bestFit="1" customWidth="1"/>
    <col min="8722" max="8722" width="15.625" style="127" customWidth="1"/>
    <col min="8723" max="8723" width="16.625" style="127" customWidth="1"/>
    <col min="8724" max="8724" width="10.625" style="127" customWidth="1"/>
    <col min="8725" max="8725" width="26.375" style="127" bestFit="1" customWidth="1"/>
    <col min="8726" max="8726" width="11.375" style="127" customWidth="1"/>
    <col min="8727" max="8727" width="13.25" style="127" customWidth="1"/>
    <col min="8728" max="8967" width="9" style="127"/>
    <col min="8968" max="8968" width="6.625" style="127" customWidth="1"/>
    <col min="8969" max="8969" width="31.625" style="127" customWidth="1"/>
    <col min="8970" max="8970" width="6.625" style="127" customWidth="1"/>
    <col min="8971" max="8976" width="16.625" style="127" customWidth="1"/>
    <col min="8977" max="8977" width="21.875" style="127" bestFit="1" customWidth="1"/>
    <col min="8978" max="8978" width="15.625" style="127" customWidth="1"/>
    <col min="8979" max="8979" width="16.625" style="127" customWidth="1"/>
    <col min="8980" max="8980" width="10.625" style="127" customWidth="1"/>
    <col min="8981" max="8981" width="26.375" style="127" bestFit="1" customWidth="1"/>
    <col min="8982" max="8982" width="11.375" style="127" customWidth="1"/>
    <col min="8983" max="8983" width="13.25" style="127" customWidth="1"/>
    <col min="8984" max="9223" width="9" style="127"/>
    <col min="9224" max="9224" width="6.625" style="127" customWidth="1"/>
    <col min="9225" max="9225" width="31.625" style="127" customWidth="1"/>
    <col min="9226" max="9226" width="6.625" style="127" customWidth="1"/>
    <col min="9227" max="9232" width="16.625" style="127" customWidth="1"/>
    <col min="9233" max="9233" width="21.875" style="127" bestFit="1" customWidth="1"/>
    <col min="9234" max="9234" width="15.625" style="127" customWidth="1"/>
    <col min="9235" max="9235" width="16.625" style="127" customWidth="1"/>
    <col min="9236" max="9236" width="10.625" style="127" customWidth="1"/>
    <col min="9237" max="9237" width="26.375" style="127" bestFit="1" customWidth="1"/>
    <col min="9238" max="9238" width="11.375" style="127" customWidth="1"/>
    <col min="9239" max="9239" width="13.25" style="127" customWidth="1"/>
    <col min="9240" max="9479" width="9" style="127"/>
    <col min="9480" max="9480" width="6.625" style="127" customWidth="1"/>
    <col min="9481" max="9481" width="31.625" style="127" customWidth="1"/>
    <col min="9482" max="9482" width="6.625" style="127" customWidth="1"/>
    <col min="9483" max="9488" width="16.625" style="127" customWidth="1"/>
    <col min="9489" max="9489" width="21.875" style="127" bestFit="1" customWidth="1"/>
    <col min="9490" max="9490" width="15.625" style="127" customWidth="1"/>
    <col min="9491" max="9491" width="16.625" style="127" customWidth="1"/>
    <col min="9492" max="9492" width="10.625" style="127" customWidth="1"/>
    <col min="9493" max="9493" width="26.375" style="127" bestFit="1" customWidth="1"/>
    <col min="9494" max="9494" width="11.375" style="127" customWidth="1"/>
    <col min="9495" max="9495" width="13.25" style="127" customWidth="1"/>
    <col min="9496" max="9735" width="9" style="127"/>
    <col min="9736" max="9736" width="6.625" style="127" customWidth="1"/>
    <col min="9737" max="9737" width="31.625" style="127" customWidth="1"/>
    <col min="9738" max="9738" width="6.625" style="127" customWidth="1"/>
    <col min="9739" max="9744" width="16.625" style="127" customWidth="1"/>
    <col min="9745" max="9745" width="21.875" style="127" bestFit="1" customWidth="1"/>
    <col min="9746" max="9746" width="15.625" style="127" customWidth="1"/>
    <col min="9747" max="9747" width="16.625" style="127" customWidth="1"/>
    <col min="9748" max="9748" width="10.625" style="127" customWidth="1"/>
    <col min="9749" max="9749" width="26.375" style="127" bestFit="1" customWidth="1"/>
    <col min="9750" max="9750" width="11.375" style="127" customWidth="1"/>
    <col min="9751" max="9751" width="13.25" style="127" customWidth="1"/>
    <col min="9752" max="9991" width="9" style="127"/>
    <col min="9992" max="9992" width="6.625" style="127" customWidth="1"/>
    <col min="9993" max="9993" width="31.625" style="127" customWidth="1"/>
    <col min="9994" max="9994" width="6.625" style="127" customWidth="1"/>
    <col min="9995" max="10000" width="16.625" style="127" customWidth="1"/>
    <col min="10001" max="10001" width="21.875" style="127" bestFit="1" customWidth="1"/>
    <col min="10002" max="10002" width="15.625" style="127" customWidth="1"/>
    <col min="10003" max="10003" width="16.625" style="127" customWidth="1"/>
    <col min="10004" max="10004" width="10.625" style="127" customWidth="1"/>
    <col min="10005" max="10005" width="26.375" style="127" bestFit="1" customWidth="1"/>
    <col min="10006" max="10006" width="11.375" style="127" customWidth="1"/>
    <col min="10007" max="10007" width="13.25" style="127" customWidth="1"/>
    <col min="10008" max="10247" width="9" style="127"/>
    <col min="10248" max="10248" width="6.625" style="127" customWidth="1"/>
    <col min="10249" max="10249" width="31.625" style="127" customWidth="1"/>
    <col min="10250" max="10250" width="6.625" style="127" customWidth="1"/>
    <col min="10251" max="10256" width="16.625" style="127" customWidth="1"/>
    <col min="10257" max="10257" width="21.875" style="127" bestFit="1" customWidth="1"/>
    <col min="10258" max="10258" width="15.625" style="127" customWidth="1"/>
    <col min="10259" max="10259" width="16.625" style="127" customWidth="1"/>
    <col min="10260" max="10260" width="10.625" style="127" customWidth="1"/>
    <col min="10261" max="10261" width="26.375" style="127" bestFit="1" customWidth="1"/>
    <col min="10262" max="10262" width="11.375" style="127" customWidth="1"/>
    <col min="10263" max="10263" width="13.25" style="127" customWidth="1"/>
    <col min="10264" max="10503" width="9" style="127"/>
    <col min="10504" max="10504" width="6.625" style="127" customWidth="1"/>
    <col min="10505" max="10505" width="31.625" style="127" customWidth="1"/>
    <col min="10506" max="10506" width="6.625" style="127" customWidth="1"/>
    <col min="10507" max="10512" width="16.625" style="127" customWidth="1"/>
    <col min="10513" max="10513" width="21.875" style="127" bestFit="1" customWidth="1"/>
    <col min="10514" max="10514" width="15.625" style="127" customWidth="1"/>
    <col min="10515" max="10515" width="16.625" style="127" customWidth="1"/>
    <col min="10516" max="10516" width="10.625" style="127" customWidth="1"/>
    <col min="10517" max="10517" width="26.375" style="127" bestFit="1" customWidth="1"/>
    <col min="10518" max="10518" width="11.375" style="127" customWidth="1"/>
    <col min="10519" max="10519" width="13.25" style="127" customWidth="1"/>
    <col min="10520" max="10759" width="9" style="127"/>
    <col min="10760" max="10760" width="6.625" style="127" customWidth="1"/>
    <col min="10761" max="10761" width="31.625" style="127" customWidth="1"/>
    <col min="10762" max="10762" width="6.625" style="127" customWidth="1"/>
    <col min="10763" max="10768" width="16.625" style="127" customWidth="1"/>
    <col min="10769" max="10769" width="21.875" style="127" bestFit="1" customWidth="1"/>
    <col min="10770" max="10770" width="15.625" style="127" customWidth="1"/>
    <col min="10771" max="10771" width="16.625" style="127" customWidth="1"/>
    <col min="10772" max="10772" width="10.625" style="127" customWidth="1"/>
    <col min="10773" max="10773" width="26.375" style="127" bestFit="1" customWidth="1"/>
    <col min="10774" max="10774" width="11.375" style="127" customWidth="1"/>
    <col min="10775" max="10775" width="13.25" style="127" customWidth="1"/>
    <col min="10776" max="11015" width="9" style="127"/>
    <col min="11016" max="11016" width="6.625" style="127" customWidth="1"/>
    <col min="11017" max="11017" width="31.625" style="127" customWidth="1"/>
    <col min="11018" max="11018" width="6.625" style="127" customWidth="1"/>
    <col min="11019" max="11024" width="16.625" style="127" customWidth="1"/>
    <col min="11025" max="11025" width="21.875" style="127" bestFit="1" customWidth="1"/>
    <col min="11026" max="11026" width="15.625" style="127" customWidth="1"/>
    <col min="11027" max="11027" width="16.625" style="127" customWidth="1"/>
    <col min="11028" max="11028" width="10.625" style="127" customWidth="1"/>
    <col min="11029" max="11029" width="26.375" style="127" bestFit="1" customWidth="1"/>
    <col min="11030" max="11030" width="11.375" style="127" customWidth="1"/>
    <col min="11031" max="11031" width="13.25" style="127" customWidth="1"/>
    <col min="11032" max="11271" width="9" style="127"/>
    <col min="11272" max="11272" width="6.625" style="127" customWidth="1"/>
    <col min="11273" max="11273" width="31.625" style="127" customWidth="1"/>
    <col min="11274" max="11274" width="6.625" style="127" customWidth="1"/>
    <col min="11275" max="11280" width="16.625" style="127" customWidth="1"/>
    <col min="11281" max="11281" width="21.875" style="127" bestFit="1" customWidth="1"/>
    <col min="11282" max="11282" width="15.625" style="127" customWidth="1"/>
    <col min="11283" max="11283" width="16.625" style="127" customWidth="1"/>
    <col min="11284" max="11284" width="10.625" style="127" customWidth="1"/>
    <col min="11285" max="11285" width="26.375" style="127" bestFit="1" customWidth="1"/>
    <col min="11286" max="11286" width="11.375" style="127" customWidth="1"/>
    <col min="11287" max="11287" width="13.25" style="127" customWidth="1"/>
    <col min="11288" max="11527" width="9" style="127"/>
    <col min="11528" max="11528" width="6.625" style="127" customWidth="1"/>
    <col min="11529" max="11529" width="31.625" style="127" customWidth="1"/>
    <col min="11530" max="11530" width="6.625" style="127" customWidth="1"/>
    <col min="11531" max="11536" width="16.625" style="127" customWidth="1"/>
    <col min="11537" max="11537" width="21.875" style="127" bestFit="1" customWidth="1"/>
    <col min="11538" max="11538" width="15.625" style="127" customWidth="1"/>
    <col min="11539" max="11539" width="16.625" style="127" customWidth="1"/>
    <col min="11540" max="11540" width="10.625" style="127" customWidth="1"/>
    <col min="11541" max="11541" width="26.375" style="127" bestFit="1" customWidth="1"/>
    <col min="11542" max="11542" width="11.375" style="127" customWidth="1"/>
    <col min="11543" max="11543" width="13.25" style="127" customWidth="1"/>
    <col min="11544" max="11783" width="9" style="127"/>
    <col min="11784" max="11784" width="6.625" style="127" customWidth="1"/>
    <col min="11785" max="11785" width="31.625" style="127" customWidth="1"/>
    <col min="11786" max="11786" width="6.625" style="127" customWidth="1"/>
    <col min="11787" max="11792" width="16.625" style="127" customWidth="1"/>
    <col min="11793" max="11793" width="21.875" style="127" bestFit="1" customWidth="1"/>
    <col min="11794" max="11794" width="15.625" style="127" customWidth="1"/>
    <col min="11795" max="11795" width="16.625" style="127" customWidth="1"/>
    <col min="11796" max="11796" width="10.625" style="127" customWidth="1"/>
    <col min="11797" max="11797" width="26.375" style="127" bestFit="1" customWidth="1"/>
    <col min="11798" max="11798" width="11.375" style="127" customWidth="1"/>
    <col min="11799" max="11799" width="13.25" style="127" customWidth="1"/>
    <col min="11800" max="12039" width="9" style="127"/>
    <col min="12040" max="12040" width="6.625" style="127" customWidth="1"/>
    <col min="12041" max="12041" width="31.625" style="127" customWidth="1"/>
    <col min="12042" max="12042" width="6.625" style="127" customWidth="1"/>
    <col min="12043" max="12048" width="16.625" style="127" customWidth="1"/>
    <col min="12049" max="12049" width="21.875" style="127" bestFit="1" customWidth="1"/>
    <col min="12050" max="12050" width="15.625" style="127" customWidth="1"/>
    <col min="12051" max="12051" width="16.625" style="127" customWidth="1"/>
    <col min="12052" max="12052" width="10.625" style="127" customWidth="1"/>
    <col min="12053" max="12053" width="26.375" style="127" bestFit="1" customWidth="1"/>
    <col min="12054" max="12054" width="11.375" style="127" customWidth="1"/>
    <col min="12055" max="12055" width="13.25" style="127" customWidth="1"/>
    <col min="12056" max="12295" width="9" style="127"/>
    <col min="12296" max="12296" width="6.625" style="127" customWidth="1"/>
    <col min="12297" max="12297" width="31.625" style="127" customWidth="1"/>
    <col min="12298" max="12298" width="6.625" style="127" customWidth="1"/>
    <col min="12299" max="12304" width="16.625" style="127" customWidth="1"/>
    <col min="12305" max="12305" width="21.875" style="127" bestFit="1" customWidth="1"/>
    <col min="12306" max="12306" width="15.625" style="127" customWidth="1"/>
    <col min="12307" max="12307" width="16.625" style="127" customWidth="1"/>
    <col min="12308" max="12308" width="10.625" style="127" customWidth="1"/>
    <col min="12309" max="12309" width="26.375" style="127" bestFit="1" customWidth="1"/>
    <col min="12310" max="12310" width="11.375" style="127" customWidth="1"/>
    <col min="12311" max="12311" width="13.25" style="127" customWidth="1"/>
    <col min="12312" max="12551" width="9" style="127"/>
    <col min="12552" max="12552" width="6.625" style="127" customWidth="1"/>
    <col min="12553" max="12553" width="31.625" style="127" customWidth="1"/>
    <col min="12554" max="12554" width="6.625" style="127" customWidth="1"/>
    <col min="12555" max="12560" width="16.625" style="127" customWidth="1"/>
    <col min="12561" max="12561" width="21.875" style="127" bestFit="1" customWidth="1"/>
    <col min="12562" max="12562" width="15.625" style="127" customWidth="1"/>
    <col min="12563" max="12563" width="16.625" style="127" customWidth="1"/>
    <col min="12564" max="12564" width="10.625" style="127" customWidth="1"/>
    <col min="12565" max="12565" width="26.375" style="127" bestFit="1" customWidth="1"/>
    <col min="12566" max="12566" width="11.375" style="127" customWidth="1"/>
    <col min="12567" max="12567" width="13.25" style="127" customWidth="1"/>
    <col min="12568" max="12807" width="9" style="127"/>
    <col min="12808" max="12808" width="6.625" style="127" customWidth="1"/>
    <col min="12809" max="12809" width="31.625" style="127" customWidth="1"/>
    <col min="12810" max="12810" width="6.625" style="127" customWidth="1"/>
    <col min="12811" max="12816" width="16.625" style="127" customWidth="1"/>
    <col min="12817" max="12817" width="21.875" style="127" bestFit="1" customWidth="1"/>
    <col min="12818" max="12818" width="15.625" style="127" customWidth="1"/>
    <col min="12819" max="12819" width="16.625" style="127" customWidth="1"/>
    <col min="12820" max="12820" width="10.625" style="127" customWidth="1"/>
    <col min="12821" max="12821" width="26.375" style="127" bestFit="1" customWidth="1"/>
    <col min="12822" max="12822" width="11.375" style="127" customWidth="1"/>
    <col min="12823" max="12823" width="13.25" style="127" customWidth="1"/>
    <col min="12824" max="13063" width="9" style="127"/>
    <col min="13064" max="13064" width="6.625" style="127" customWidth="1"/>
    <col min="13065" max="13065" width="31.625" style="127" customWidth="1"/>
    <col min="13066" max="13066" width="6.625" style="127" customWidth="1"/>
    <col min="13067" max="13072" width="16.625" style="127" customWidth="1"/>
    <col min="13073" max="13073" width="21.875" style="127" bestFit="1" customWidth="1"/>
    <col min="13074" max="13074" width="15.625" style="127" customWidth="1"/>
    <col min="13075" max="13075" width="16.625" style="127" customWidth="1"/>
    <col min="13076" max="13076" width="10.625" style="127" customWidth="1"/>
    <col min="13077" max="13077" width="26.375" style="127" bestFit="1" customWidth="1"/>
    <col min="13078" max="13078" width="11.375" style="127" customWidth="1"/>
    <col min="13079" max="13079" width="13.25" style="127" customWidth="1"/>
    <col min="13080" max="13319" width="9" style="127"/>
    <col min="13320" max="13320" width="6.625" style="127" customWidth="1"/>
    <col min="13321" max="13321" width="31.625" style="127" customWidth="1"/>
    <col min="13322" max="13322" width="6.625" style="127" customWidth="1"/>
    <col min="13323" max="13328" width="16.625" style="127" customWidth="1"/>
    <col min="13329" max="13329" width="21.875" style="127" bestFit="1" customWidth="1"/>
    <col min="13330" max="13330" width="15.625" style="127" customWidth="1"/>
    <col min="13331" max="13331" width="16.625" style="127" customWidth="1"/>
    <col min="13332" max="13332" width="10.625" style="127" customWidth="1"/>
    <col min="13333" max="13333" width="26.375" style="127" bestFit="1" customWidth="1"/>
    <col min="13334" max="13334" width="11.375" style="127" customWidth="1"/>
    <col min="13335" max="13335" width="13.25" style="127" customWidth="1"/>
    <col min="13336" max="13575" width="9" style="127"/>
    <col min="13576" max="13576" width="6.625" style="127" customWidth="1"/>
    <col min="13577" max="13577" width="31.625" style="127" customWidth="1"/>
    <col min="13578" max="13578" width="6.625" style="127" customWidth="1"/>
    <col min="13579" max="13584" width="16.625" style="127" customWidth="1"/>
    <col min="13585" max="13585" width="21.875" style="127" bestFit="1" customWidth="1"/>
    <col min="13586" max="13586" width="15.625" style="127" customWidth="1"/>
    <col min="13587" max="13587" width="16.625" style="127" customWidth="1"/>
    <col min="13588" max="13588" width="10.625" style="127" customWidth="1"/>
    <col min="13589" max="13589" width="26.375" style="127" bestFit="1" customWidth="1"/>
    <col min="13590" max="13590" width="11.375" style="127" customWidth="1"/>
    <col min="13591" max="13591" width="13.25" style="127" customWidth="1"/>
    <col min="13592" max="13831" width="9" style="127"/>
    <col min="13832" max="13832" width="6.625" style="127" customWidth="1"/>
    <col min="13833" max="13833" width="31.625" style="127" customWidth="1"/>
    <col min="13834" max="13834" width="6.625" style="127" customWidth="1"/>
    <col min="13835" max="13840" width="16.625" style="127" customWidth="1"/>
    <col min="13841" max="13841" width="21.875" style="127" bestFit="1" customWidth="1"/>
    <col min="13842" max="13842" width="15.625" style="127" customWidth="1"/>
    <col min="13843" max="13843" width="16.625" style="127" customWidth="1"/>
    <col min="13844" max="13844" width="10.625" style="127" customWidth="1"/>
    <col min="13845" max="13845" width="26.375" style="127" bestFit="1" customWidth="1"/>
    <col min="13846" max="13846" width="11.375" style="127" customWidth="1"/>
    <col min="13847" max="13847" width="13.25" style="127" customWidth="1"/>
    <col min="13848" max="14087" width="9" style="127"/>
    <col min="14088" max="14088" width="6.625" style="127" customWidth="1"/>
    <col min="14089" max="14089" width="31.625" style="127" customWidth="1"/>
    <col min="14090" max="14090" width="6.625" style="127" customWidth="1"/>
    <col min="14091" max="14096" width="16.625" style="127" customWidth="1"/>
    <col min="14097" max="14097" width="21.875" style="127" bestFit="1" customWidth="1"/>
    <col min="14098" max="14098" width="15.625" style="127" customWidth="1"/>
    <col min="14099" max="14099" width="16.625" style="127" customWidth="1"/>
    <col min="14100" max="14100" width="10.625" style="127" customWidth="1"/>
    <col min="14101" max="14101" width="26.375" style="127" bestFit="1" customWidth="1"/>
    <col min="14102" max="14102" width="11.375" style="127" customWidth="1"/>
    <col min="14103" max="14103" width="13.25" style="127" customWidth="1"/>
    <col min="14104" max="14343" width="9" style="127"/>
    <col min="14344" max="14344" width="6.625" style="127" customWidth="1"/>
    <col min="14345" max="14345" width="31.625" style="127" customWidth="1"/>
    <col min="14346" max="14346" width="6.625" style="127" customWidth="1"/>
    <col min="14347" max="14352" width="16.625" style="127" customWidth="1"/>
    <col min="14353" max="14353" width="21.875" style="127" bestFit="1" customWidth="1"/>
    <col min="14354" max="14354" width="15.625" style="127" customWidth="1"/>
    <col min="14355" max="14355" width="16.625" style="127" customWidth="1"/>
    <col min="14356" max="14356" width="10.625" style="127" customWidth="1"/>
    <col min="14357" max="14357" width="26.375" style="127" bestFit="1" customWidth="1"/>
    <col min="14358" max="14358" width="11.375" style="127" customWidth="1"/>
    <col min="14359" max="14359" width="13.25" style="127" customWidth="1"/>
    <col min="14360" max="14599" width="9" style="127"/>
    <col min="14600" max="14600" width="6.625" style="127" customWidth="1"/>
    <col min="14601" max="14601" width="31.625" style="127" customWidth="1"/>
    <col min="14602" max="14602" width="6.625" style="127" customWidth="1"/>
    <col min="14603" max="14608" width="16.625" style="127" customWidth="1"/>
    <col min="14609" max="14609" width="21.875" style="127" bestFit="1" customWidth="1"/>
    <col min="14610" max="14610" width="15.625" style="127" customWidth="1"/>
    <col min="14611" max="14611" width="16.625" style="127" customWidth="1"/>
    <col min="14612" max="14612" width="10.625" style="127" customWidth="1"/>
    <col min="14613" max="14613" width="26.375" style="127" bestFit="1" customWidth="1"/>
    <col min="14614" max="14614" width="11.375" style="127" customWidth="1"/>
    <col min="14615" max="14615" width="13.25" style="127" customWidth="1"/>
    <col min="14616" max="14855" width="9" style="127"/>
    <col min="14856" max="14856" width="6.625" style="127" customWidth="1"/>
    <col min="14857" max="14857" width="31.625" style="127" customWidth="1"/>
    <col min="14858" max="14858" width="6.625" style="127" customWidth="1"/>
    <col min="14859" max="14864" width="16.625" style="127" customWidth="1"/>
    <col min="14865" max="14865" width="21.875" style="127" bestFit="1" customWidth="1"/>
    <col min="14866" max="14866" width="15.625" style="127" customWidth="1"/>
    <col min="14867" max="14867" width="16.625" style="127" customWidth="1"/>
    <col min="14868" max="14868" width="10.625" style="127" customWidth="1"/>
    <col min="14869" max="14869" width="26.375" style="127" bestFit="1" customWidth="1"/>
    <col min="14870" max="14870" width="11.375" style="127" customWidth="1"/>
    <col min="14871" max="14871" width="13.25" style="127" customWidth="1"/>
    <col min="14872" max="15111" width="9" style="127"/>
    <col min="15112" max="15112" width="6.625" style="127" customWidth="1"/>
    <col min="15113" max="15113" width="31.625" style="127" customWidth="1"/>
    <col min="15114" max="15114" width="6.625" style="127" customWidth="1"/>
    <col min="15115" max="15120" width="16.625" style="127" customWidth="1"/>
    <col min="15121" max="15121" width="21.875" style="127" bestFit="1" customWidth="1"/>
    <col min="15122" max="15122" width="15.625" style="127" customWidth="1"/>
    <col min="15123" max="15123" width="16.625" style="127" customWidth="1"/>
    <col min="15124" max="15124" width="10.625" style="127" customWidth="1"/>
    <col min="15125" max="15125" width="26.375" style="127" bestFit="1" customWidth="1"/>
    <col min="15126" max="15126" width="11.375" style="127" customWidth="1"/>
    <col min="15127" max="15127" width="13.25" style="127" customWidth="1"/>
    <col min="15128" max="15367" width="9" style="127"/>
    <col min="15368" max="15368" width="6.625" style="127" customWidth="1"/>
    <col min="15369" max="15369" width="31.625" style="127" customWidth="1"/>
    <col min="15370" max="15370" width="6.625" style="127" customWidth="1"/>
    <col min="15371" max="15376" width="16.625" style="127" customWidth="1"/>
    <col min="15377" max="15377" width="21.875" style="127" bestFit="1" customWidth="1"/>
    <col min="15378" max="15378" width="15.625" style="127" customWidth="1"/>
    <col min="15379" max="15379" width="16.625" style="127" customWidth="1"/>
    <col min="15380" max="15380" width="10.625" style="127" customWidth="1"/>
    <col min="15381" max="15381" width="26.375" style="127" bestFit="1" customWidth="1"/>
    <col min="15382" max="15382" width="11.375" style="127" customWidth="1"/>
    <col min="15383" max="15383" width="13.25" style="127" customWidth="1"/>
    <col min="15384" max="15623" width="9" style="127"/>
    <col min="15624" max="15624" width="6.625" style="127" customWidth="1"/>
    <col min="15625" max="15625" width="31.625" style="127" customWidth="1"/>
    <col min="15626" max="15626" width="6.625" style="127" customWidth="1"/>
    <col min="15627" max="15632" width="16.625" style="127" customWidth="1"/>
    <col min="15633" max="15633" width="21.875" style="127" bestFit="1" customWidth="1"/>
    <col min="15634" max="15634" width="15.625" style="127" customWidth="1"/>
    <col min="15635" max="15635" width="16.625" style="127" customWidth="1"/>
    <col min="15636" max="15636" width="10.625" style="127" customWidth="1"/>
    <col min="15637" max="15637" width="26.375" style="127" bestFit="1" customWidth="1"/>
    <col min="15638" max="15638" width="11.375" style="127" customWidth="1"/>
    <col min="15639" max="15639" width="13.25" style="127" customWidth="1"/>
    <col min="15640" max="15879" width="9" style="127"/>
    <col min="15880" max="15880" width="6.625" style="127" customWidth="1"/>
    <col min="15881" max="15881" width="31.625" style="127" customWidth="1"/>
    <col min="15882" max="15882" width="6.625" style="127" customWidth="1"/>
    <col min="15883" max="15888" width="16.625" style="127" customWidth="1"/>
    <col min="15889" max="15889" width="21.875" style="127" bestFit="1" customWidth="1"/>
    <col min="15890" max="15890" width="15.625" style="127" customWidth="1"/>
    <col min="15891" max="15891" width="16.625" style="127" customWidth="1"/>
    <col min="15892" max="15892" width="10.625" style="127" customWidth="1"/>
    <col min="15893" max="15893" width="26.375" style="127" bestFit="1" customWidth="1"/>
    <col min="15894" max="15894" width="11.375" style="127" customWidth="1"/>
    <col min="15895" max="15895" width="13.25" style="127" customWidth="1"/>
    <col min="15896" max="16135" width="9" style="127"/>
    <col min="16136" max="16136" width="6.625" style="127" customWidth="1"/>
    <col min="16137" max="16137" width="31.625" style="127" customWidth="1"/>
    <col min="16138" max="16138" width="6.625" style="127" customWidth="1"/>
    <col min="16139" max="16144" width="16.625" style="127" customWidth="1"/>
    <col min="16145" max="16145" width="21.875" style="127" bestFit="1" customWidth="1"/>
    <col min="16146" max="16146" width="15.625" style="127" customWidth="1"/>
    <col min="16147" max="16147" width="16.625" style="127" customWidth="1"/>
    <col min="16148" max="16148" width="10.625" style="127" customWidth="1"/>
    <col min="16149" max="16149" width="26.375" style="127" bestFit="1" customWidth="1"/>
    <col min="16150" max="16150" width="11.375" style="127" customWidth="1"/>
    <col min="16151" max="16151" width="13.25" style="127" customWidth="1"/>
    <col min="16152" max="16384" width="9" style="127"/>
  </cols>
  <sheetData>
    <row r="3" spans="1:22" s="125" customFormat="1" ht="19.5" customHeight="1">
      <c r="A3" s="250" t="s">
        <v>215</v>
      </c>
      <c r="B3" s="250" t="s">
        <v>216</v>
      </c>
      <c r="C3" s="250" t="s">
        <v>217</v>
      </c>
      <c r="D3" s="123">
        <v>1</v>
      </c>
      <c r="E3" s="123">
        <v>2</v>
      </c>
      <c r="F3" s="123">
        <v>3</v>
      </c>
      <c r="G3" s="123">
        <v>4</v>
      </c>
      <c r="H3" s="123">
        <v>5</v>
      </c>
      <c r="I3" s="123">
        <v>6</v>
      </c>
      <c r="J3" s="123">
        <v>7</v>
      </c>
      <c r="K3" s="123">
        <v>8</v>
      </c>
      <c r="L3" s="123">
        <v>9</v>
      </c>
      <c r="M3" s="123">
        <v>10</v>
      </c>
      <c r="N3" s="123">
        <v>11</v>
      </c>
      <c r="O3" s="123">
        <v>12</v>
      </c>
      <c r="P3" s="123">
        <v>13</v>
      </c>
      <c r="Q3" s="123">
        <v>14</v>
      </c>
      <c r="R3" s="123">
        <v>15</v>
      </c>
      <c r="S3" s="123">
        <v>16</v>
      </c>
      <c r="T3" s="124"/>
    </row>
    <row r="4" spans="1:22" ht="75" customHeight="1">
      <c r="A4" s="250"/>
      <c r="B4" s="250"/>
      <c r="C4" s="250"/>
      <c r="D4" s="228" t="s">
        <v>505</v>
      </c>
      <c r="E4" s="228" t="s">
        <v>506</v>
      </c>
      <c r="F4" s="228" t="s">
        <v>330</v>
      </c>
      <c r="G4" s="228" t="s">
        <v>298</v>
      </c>
      <c r="H4" s="228" t="s">
        <v>299</v>
      </c>
      <c r="I4" s="228" t="s">
        <v>444</v>
      </c>
      <c r="J4" s="228" t="s">
        <v>209</v>
      </c>
      <c r="K4" s="228" t="s">
        <v>129</v>
      </c>
      <c r="L4" s="228" t="s">
        <v>228</v>
      </c>
      <c r="M4" s="228" t="s">
        <v>212</v>
      </c>
      <c r="N4" s="228" t="s">
        <v>507</v>
      </c>
      <c r="O4" s="228" t="s">
        <v>508</v>
      </c>
      <c r="P4" s="228" t="s">
        <v>509</v>
      </c>
      <c r="Q4" s="228" t="s">
        <v>510</v>
      </c>
      <c r="R4" s="228" t="s">
        <v>412</v>
      </c>
      <c r="S4" s="228" t="s">
        <v>411</v>
      </c>
      <c r="T4" s="251" t="s">
        <v>24</v>
      </c>
    </row>
    <row r="5" spans="1:22" ht="19.5" customHeight="1">
      <c r="A5" s="250"/>
      <c r="B5" s="250"/>
      <c r="C5" s="250"/>
      <c r="D5" s="229">
        <v>188</v>
      </c>
      <c r="E5" s="229">
        <v>93</v>
      </c>
      <c r="F5" s="229">
        <v>12</v>
      </c>
      <c r="G5" s="137">
        <v>2</v>
      </c>
      <c r="H5" s="227">
        <v>2</v>
      </c>
      <c r="I5" s="230">
        <v>4</v>
      </c>
      <c r="J5" s="231">
        <v>4.2</v>
      </c>
      <c r="K5" s="231">
        <v>208</v>
      </c>
      <c r="L5" s="137">
        <f>D5/2+77.5</f>
        <v>171.5</v>
      </c>
      <c r="M5" s="137">
        <v>4</v>
      </c>
      <c r="N5" s="137">
        <v>1</v>
      </c>
      <c r="O5" s="137">
        <v>1</v>
      </c>
      <c r="P5" s="137">
        <v>1</v>
      </c>
      <c r="Q5" s="137">
        <v>1</v>
      </c>
      <c r="R5" s="232">
        <v>31</v>
      </c>
      <c r="S5" s="232">
        <v>65</v>
      </c>
      <c r="T5" s="252"/>
    </row>
    <row r="6" spans="1:22" ht="21.95" customHeight="1">
      <c r="A6" s="123">
        <v>1</v>
      </c>
      <c r="B6" s="225" t="s">
        <v>482</v>
      </c>
      <c r="C6" s="129" t="str">
        <f>表3_元件數量計算表!$F$96</f>
        <v>M2</v>
      </c>
      <c r="D6" s="223">
        <f>$D$5*表3_元件數量計算表!$E$96</f>
        <v>1128</v>
      </c>
      <c r="E6" s="223">
        <f>$E$5*表3_元件數量計算表!$E$107</f>
        <v>2512.8599999999997</v>
      </c>
      <c r="F6" s="223">
        <f>$F$5*表3_元件數量計算表!$E$118</f>
        <v>436.91999999999996</v>
      </c>
      <c r="G6" s="223">
        <f>$G$5*表3_元件數量計算表!$E$126</f>
        <v>120</v>
      </c>
      <c r="H6" s="223">
        <f>$H$5*表3_元件數量計算表!$E$131</f>
        <v>38</v>
      </c>
      <c r="I6" s="223">
        <f>$I$5*表3_元件數量計算表!$E$136</f>
        <v>53.76</v>
      </c>
      <c r="J6" s="223">
        <f>$J$5*表3_元件數量計算表!$E$143</f>
        <v>20.16</v>
      </c>
      <c r="K6" s="223"/>
      <c r="L6" s="223">
        <f>$L$5*表3_元件數量計算表!$E$157</f>
        <v>214.375</v>
      </c>
      <c r="M6" s="223">
        <f>$M$5*表3_元件數量計算表!$E$163</f>
        <v>72</v>
      </c>
      <c r="N6" s="223">
        <f>$N$5*表3_元件數量計算表!$E$169</f>
        <v>230.38000000000002</v>
      </c>
      <c r="O6" s="223">
        <f>$O$5*表3_元件數量計算表!$E$175</f>
        <v>497.42500000000001</v>
      </c>
      <c r="P6" s="223">
        <f>$P$5*表3_元件數量計算表!$E$183</f>
        <v>387.59999999999997</v>
      </c>
      <c r="Q6" s="223">
        <f>$Q$5*表3_元件數量計算表!$E$191</f>
        <v>40.86</v>
      </c>
      <c r="R6" s="223">
        <f>$R$5*表3_元件數量計算表!$E$197</f>
        <v>62</v>
      </c>
      <c r="S6" s="223">
        <f>$S$5*表3_元件數量計算表!$E$202</f>
        <v>130</v>
      </c>
      <c r="T6" s="131">
        <f>ROUND(SUM(D6:S6),2)</f>
        <v>5944.34</v>
      </c>
      <c r="U6" s="132"/>
      <c r="V6" s="132"/>
    </row>
    <row r="7" spans="1:22" ht="21.95" customHeight="1">
      <c r="A7" s="123">
        <f>A6+1</f>
        <v>2</v>
      </c>
      <c r="B7" s="225" t="s">
        <v>497</v>
      </c>
      <c r="C7" s="129" t="str">
        <f>表3_元件數量計算表!$F$97</f>
        <v>KG</v>
      </c>
      <c r="D7" s="223">
        <f>$D$5*表3_元件數量計算表!$E$97</f>
        <v>8505.1200000000008</v>
      </c>
      <c r="E7" s="223">
        <f>$E$5*表3_元件數量計算表!$E$108</f>
        <v>41802.57</v>
      </c>
      <c r="F7" s="223">
        <f>$F$5*表3_元件數量計算表!$E$119</f>
        <v>6105.24</v>
      </c>
      <c r="G7" s="223"/>
      <c r="H7" s="223"/>
      <c r="I7" s="223">
        <f>$I$5*表3_元件數量計算表!$E$137</f>
        <v>643.28</v>
      </c>
      <c r="J7" s="223">
        <f>$J$5*表3_元件數量計算表!$E$144</f>
        <v>137.59199999999998</v>
      </c>
      <c r="K7" s="223">
        <f>$K$5*表3_元件數量計算表!$E$151</f>
        <v>1921.92</v>
      </c>
      <c r="L7" s="223">
        <f>$L$5*表3_元件數量計算表!$E$158</f>
        <v>1584.66</v>
      </c>
      <c r="M7" s="223">
        <f>$M$5*表3_元件數量計算表!$E$164</f>
        <v>49.6</v>
      </c>
      <c r="N7" s="223">
        <f>$N$5*表3_元件數量計算表!$E$170</f>
        <v>340.04999999999995</v>
      </c>
      <c r="O7" s="223">
        <f>$O$5*表3_元件數量計算表!$E$176</f>
        <v>4553.53</v>
      </c>
      <c r="P7" s="223">
        <f>$P$5*表3_元件數量計算表!$E$184</f>
        <v>3089.9250000000002</v>
      </c>
      <c r="Q7" s="223">
        <f>$Q$5*表3_元件數量計算表!$E$192</f>
        <v>84.094999999999999</v>
      </c>
      <c r="R7" s="223">
        <f>$R$5*表3_元件數量計算表!$E$198</f>
        <v>395.87</v>
      </c>
      <c r="S7" s="223">
        <f>$S$5*表3_元件數量計算表!$E$203</f>
        <v>830.05</v>
      </c>
      <c r="T7" s="131">
        <f t="shared" ref="T7:T23" si="0">ROUND(SUM(D7:S7),2)</f>
        <v>70043.5</v>
      </c>
      <c r="U7" s="132"/>
      <c r="V7" s="132"/>
    </row>
    <row r="8" spans="1:22" ht="21.95" customHeight="1">
      <c r="A8" s="123">
        <f t="shared" ref="A8:A21" si="1">A7+1</f>
        <v>3</v>
      </c>
      <c r="B8" s="225" t="s">
        <v>501</v>
      </c>
      <c r="C8" s="129" t="str">
        <f>表3_元件數量計算表!$F$98</f>
        <v>KG</v>
      </c>
      <c r="D8" s="223">
        <f>$D$5*表3_元件數量計算表!$E$98</f>
        <v>12056.439999999999</v>
      </c>
      <c r="E8" s="223">
        <f>$E$5*表3_元件數量計算表!$E$109</f>
        <v>218828.06999999998</v>
      </c>
      <c r="F8" s="223">
        <f>$F$5*表3_元件數量計算表!$E$120</f>
        <v>32725.32</v>
      </c>
      <c r="G8" s="223">
        <f>$G$5*表3_元件數量計算表!$E$127</f>
        <v>6172.28</v>
      </c>
      <c r="H8" s="223">
        <f>$H$5*表3_元件數量計算表!$E$132</f>
        <v>1943.94</v>
      </c>
      <c r="I8" s="223"/>
      <c r="J8" s="223">
        <f>$J$5*表3_元件數量計算表!$E$145</f>
        <v>198.45000000000002</v>
      </c>
      <c r="K8" s="223"/>
      <c r="L8" s="223"/>
      <c r="M8" s="223"/>
      <c r="N8" s="223"/>
      <c r="O8" s="223">
        <f>$O$5*表3_元件數量計算表!$E$177</f>
        <v>11910.014999999999</v>
      </c>
      <c r="P8" s="223">
        <f>$P$5*表3_元件數量計算表!$E$185</f>
        <v>8515.68</v>
      </c>
      <c r="Q8" s="223"/>
      <c r="R8" s="223"/>
      <c r="S8" s="223"/>
      <c r="T8" s="131">
        <f t="shared" si="0"/>
        <v>292350.2</v>
      </c>
      <c r="U8" s="132"/>
      <c r="V8" s="132"/>
    </row>
    <row r="9" spans="1:22" ht="21.95" customHeight="1">
      <c r="A9" s="123">
        <f t="shared" si="1"/>
        <v>4</v>
      </c>
      <c r="B9" s="225" t="s">
        <v>483</v>
      </c>
      <c r="C9" s="129" t="str">
        <f>表3_元件數量計算表!$F$99</f>
        <v>M3</v>
      </c>
      <c r="D9" s="223">
        <f>$D$5*表3_元件數量計算表!$E$99</f>
        <v>172.96</v>
      </c>
      <c r="E9" s="223"/>
      <c r="F9" s="223"/>
      <c r="G9" s="223"/>
      <c r="H9" s="223"/>
      <c r="I9" s="223">
        <f>$I$5*表3_元件數量計算表!$E$138</f>
        <v>7.36</v>
      </c>
      <c r="J9" s="223">
        <f>$J$5*表3_元件數量計算表!$E$146</f>
        <v>3.3600000000000003</v>
      </c>
      <c r="K9" s="223">
        <f>$K$5*表3_元件數量計算表!$E$152</f>
        <v>45.76</v>
      </c>
      <c r="L9" s="223">
        <f>$L$5*表3_元件數量計算表!$E$159</f>
        <v>22.295000000000002</v>
      </c>
      <c r="M9" s="223">
        <f>$M$5*表3_元件數量計算表!$E$165</f>
        <v>18.72</v>
      </c>
      <c r="N9" s="223">
        <f>$N$5*表3_元件數量計算表!$E$171</f>
        <v>44.349999999999994</v>
      </c>
      <c r="O9" s="223">
        <f>$O$5*表3_元件數量計算表!$E$178</f>
        <v>274.54499999999996</v>
      </c>
      <c r="P9" s="223">
        <f>$P$5*表3_元件數量計算表!$E$186</f>
        <v>173.64499999999998</v>
      </c>
      <c r="Q9" s="223">
        <f>$Q$5*表3_元件數量計算表!$E$193</f>
        <v>6.24</v>
      </c>
      <c r="R9" s="223">
        <f>$R$5*表3_元件數量計算表!$E$199</f>
        <v>9.2999999999999989</v>
      </c>
      <c r="S9" s="223">
        <f>$S$5*表3_元件數量計算表!$E$204</f>
        <v>13</v>
      </c>
      <c r="T9" s="131">
        <f t="shared" si="0"/>
        <v>791.54</v>
      </c>
      <c r="U9" s="132"/>
      <c r="V9" s="132"/>
    </row>
    <row r="10" spans="1:22" ht="21.95" customHeight="1">
      <c r="A10" s="123">
        <f t="shared" si="1"/>
        <v>5</v>
      </c>
      <c r="B10" s="225" t="s">
        <v>484</v>
      </c>
      <c r="C10" s="129" t="str">
        <f>表3_元件數量計算表!$F$100</f>
        <v>M3</v>
      </c>
      <c r="D10" s="223">
        <f>$D$5*表3_元件數量計算表!$E$100</f>
        <v>26.320000000000004</v>
      </c>
      <c r="E10" s="223">
        <f>$E$5*表3_元件數量計算表!$E$111</f>
        <v>83.7</v>
      </c>
      <c r="F10" s="223">
        <f>$F$5*表3_元件數量計算表!$E$122</f>
        <v>10.8</v>
      </c>
      <c r="G10" s="223"/>
      <c r="H10" s="223"/>
      <c r="I10" s="223">
        <f>$I$5*表3_元件數量計算表!$E$139</f>
        <v>1.28</v>
      </c>
      <c r="J10" s="223">
        <f>$J$5*表3_元件數量計算表!$E$147</f>
        <v>0.58800000000000008</v>
      </c>
      <c r="K10" s="223"/>
      <c r="L10" s="223"/>
      <c r="M10" s="223"/>
      <c r="N10" s="223"/>
      <c r="O10" s="223">
        <f>$O$5*表3_元件數量計算表!$E$179</f>
        <v>15.86</v>
      </c>
      <c r="P10" s="223">
        <f>$P$5*表3_元件數量計算表!$E$187</f>
        <v>13.78</v>
      </c>
      <c r="Q10" s="223"/>
      <c r="R10" s="223"/>
      <c r="S10" s="223"/>
      <c r="T10" s="131">
        <f t="shared" si="0"/>
        <v>152.33000000000001</v>
      </c>
      <c r="U10" s="132"/>
      <c r="V10" s="132"/>
    </row>
    <row r="11" spans="1:22" ht="21.95" customHeight="1">
      <c r="A11" s="123">
        <f t="shared" si="1"/>
        <v>6</v>
      </c>
      <c r="B11" s="225" t="s">
        <v>485</v>
      </c>
      <c r="C11" s="129" t="str">
        <f>表3_元件數量計算表!$F$101</f>
        <v>處</v>
      </c>
      <c r="D11" s="223">
        <f>$D$5*表3_元件數量計算表!$E$101</f>
        <v>94</v>
      </c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131">
        <f t="shared" si="0"/>
        <v>94</v>
      </c>
      <c r="U11" s="132"/>
      <c r="V11" s="132"/>
    </row>
    <row r="12" spans="1:22" ht="21.95" customHeight="1">
      <c r="A12" s="123">
        <f t="shared" si="1"/>
        <v>7</v>
      </c>
      <c r="B12" s="225" t="s">
        <v>486</v>
      </c>
      <c r="C12" s="129" t="str">
        <f>表3_元件數量計算表!$F$102</f>
        <v>組</v>
      </c>
      <c r="D12" s="223">
        <f>$D$5*表3_元件數量計算表!$E$102</f>
        <v>1880</v>
      </c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131">
        <f t="shared" si="0"/>
        <v>1880</v>
      </c>
      <c r="U12" s="132"/>
      <c r="V12" s="132"/>
    </row>
    <row r="13" spans="1:22" ht="21.95" customHeight="1">
      <c r="A13" s="123">
        <f t="shared" si="1"/>
        <v>8</v>
      </c>
      <c r="B13" s="225" t="s">
        <v>487</v>
      </c>
      <c r="C13" s="129" t="str">
        <f>表3_元件數量計算表!$F$103</f>
        <v>M2</v>
      </c>
      <c r="D13" s="223">
        <f>$D$5*表3_元件數量計算表!$E$103</f>
        <v>1880</v>
      </c>
      <c r="E13" s="223">
        <f>$E$5*表3_元件數量計算表!$E$113</f>
        <v>372</v>
      </c>
      <c r="F13" s="223"/>
      <c r="G13" s="223"/>
      <c r="H13" s="223"/>
      <c r="I13" s="223"/>
      <c r="J13" s="223"/>
      <c r="K13" s="223" t="e">
        <f>$K$5*表3_元件數量計算表!$E$154</f>
        <v>#VALUE!</v>
      </c>
      <c r="L13" s="223"/>
      <c r="M13" s="223"/>
      <c r="N13" s="223"/>
      <c r="O13" s="223"/>
      <c r="P13" s="223"/>
      <c r="Q13" s="223"/>
      <c r="R13" s="223"/>
      <c r="S13" s="223"/>
      <c r="T13" s="131" t="e">
        <f t="shared" si="0"/>
        <v>#VALUE!</v>
      </c>
      <c r="U13" s="132"/>
      <c r="V13" s="132"/>
    </row>
    <row r="14" spans="1:22" ht="21.95" customHeight="1">
      <c r="A14" s="123">
        <f t="shared" si="1"/>
        <v>9</v>
      </c>
      <c r="B14" s="225" t="s">
        <v>488</v>
      </c>
      <c r="C14" s="129" t="str">
        <f>表3_元件數量計算表!$F$104</f>
        <v>M</v>
      </c>
      <c r="D14" s="223">
        <f>$D$5*表3_元件數量計算表!$E$104</f>
        <v>1880</v>
      </c>
      <c r="E14" s="223">
        <f>$E$5*表3_元件數量計算表!$E$114</f>
        <v>372</v>
      </c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131">
        <f t="shared" si="0"/>
        <v>2252</v>
      </c>
      <c r="U14" s="132"/>
      <c r="V14" s="132"/>
    </row>
    <row r="15" spans="1:22" ht="21.95" customHeight="1">
      <c r="A15" s="123">
        <f t="shared" si="1"/>
        <v>10</v>
      </c>
      <c r="B15" s="225" t="s">
        <v>489</v>
      </c>
      <c r="C15" s="129" t="str">
        <f>表3_元件數量計算表!$F$110</f>
        <v>M3</v>
      </c>
      <c r="D15" s="223"/>
      <c r="E15" s="223">
        <f>$E$5*表3_元件數量計算表!$E$110</f>
        <v>1266.1949999999999</v>
      </c>
      <c r="F15" s="223">
        <f>$F$5*表3_元件數量計算表!$E$121</f>
        <v>191.52</v>
      </c>
      <c r="G15" s="223">
        <f>$G$5*表3_元件數量計算表!$E$128</f>
        <v>30</v>
      </c>
      <c r="H15" s="223">
        <f>$H$5*表3_元件數量計算表!$E$133</f>
        <v>9.5</v>
      </c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131">
        <f t="shared" si="0"/>
        <v>1497.22</v>
      </c>
      <c r="U15" s="132"/>
      <c r="V15" s="132"/>
    </row>
    <row r="16" spans="1:22" ht="21.95" customHeight="1">
      <c r="A16" s="123">
        <f t="shared" si="1"/>
        <v>11</v>
      </c>
      <c r="B16" s="225" t="s">
        <v>221</v>
      </c>
      <c r="C16" s="129" t="str">
        <f>表3_元件數量計算表!$F$112</f>
        <v>M3</v>
      </c>
      <c r="D16" s="223"/>
      <c r="E16" s="223">
        <f>$E$5*表3_元件數量計算表!$E$112</f>
        <v>1452.66</v>
      </c>
      <c r="F16" s="223">
        <f>$F$5*表3_元件數量計算表!$E$123</f>
        <v>311.52</v>
      </c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131">
        <f t="shared" si="0"/>
        <v>1764.18</v>
      </c>
      <c r="U16" s="132"/>
      <c r="V16" s="132"/>
    </row>
    <row r="17" spans="1:22" ht="21.95" customHeight="1">
      <c r="A17" s="123">
        <f t="shared" si="1"/>
        <v>12</v>
      </c>
      <c r="B17" s="225" t="s">
        <v>490</v>
      </c>
      <c r="C17" s="129" t="str">
        <f>表3_元件數量計算表!$F$115</f>
        <v>支</v>
      </c>
      <c r="D17" s="223"/>
      <c r="E17" s="223">
        <f>$E$5*表3_元件數量計算表!$E$115</f>
        <v>372</v>
      </c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3"/>
      <c r="S17" s="223"/>
      <c r="T17" s="131">
        <f t="shared" si="0"/>
        <v>372</v>
      </c>
      <c r="U17" s="132"/>
      <c r="V17" s="132"/>
    </row>
    <row r="18" spans="1:22" ht="21.95" customHeight="1">
      <c r="A18" s="123">
        <f t="shared" si="1"/>
        <v>13</v>
      </c>
      <c r="B18" s="225" t="s">
        <v>491</v>
      </c>
      <c r="C18" s="129" t="str">
        <f>表3_元件數量計算表!$F$140</f>
        <v>組</v>
      </c>
      <c r="D18" s="223"/>
      <c r="E18" s="223"/>
      <c r="F18" s="223"/>
      <c r="G18" s="223"/>
      <c r="H18" s="223"/>
      <c r="I18" s="223">
        <f>$I$5*表3_元件數量計算表!$E$140</f>
        <v>8</v>
      </c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131">
        <f t="shared" si="0"/>
        <v>8</v>
      </c>
      <c r="U18" s="132"/>
      <c r="V18" s="132"/>
    </row>
    <row r="19" spans="1:22" ht="21.95" customHeight="1">
      <c r="A19" s="123">
        <f t="shared" si="1"/>
        <v>14</v>
      </c>
      <c r="B19" s="225" t="s">
        <v>492</v>
      </c>
      <c r="C19" s="129" t="str">
        <f>表3_元件數量計算表!$F$150</f>
        <v>M2</v>
      </c>
      <c r="D19" s="223"/>
      <c r="E19" s="223"/>
      <c r="F19" s="223"/>
      <c r="G19" s="223"/>
      <c r="H19" s="223"/>
      <c r="I19" s="223"/>
      <c r="J19" s="223"/>
      <c r="K19" s="223">
        <f>$K$5*表3_元件數量計算表!$E$150</f>
        <v>411.84</v>
      </c>
      <c r="L19" s="223"/>
      <c r="M19" s="223"/>
      <c r="N19" s="223"/>
      <c r="O19" s="223"/>
      <c r="P19" s="223"/>
      <c r="Q19" s="223"/>
      <c r="R19" s="223"/>
      <c r="S19" s="223"/>
      <c r="T19" s="131">
        <f t="shared" si="0"/>
        <v>411.84</v>
      </c>
      <c r="U19" s="132"/>
      <c r="V19" s="132"/>
    </row>
    <row r="20" spans="1:22" ht="33">
      <c r="A20" s="123">
        <f t="shared" si="1"/>
        <v>15</v>
      </c>
      <c r="B20" s="225" t="s">
        <v>493</v>
      </c>
      <c r="C20" s="129" t="str">
        <f>表3_元件數量計算表!$F$153</f>
        <v>處</v>
      </c>
      <c r="D20" s="223"/>
      <c r="E20" s="223"/>
      <c r="F20" s="223"/>
      <c r="G20" s="223"/>
      <c r="H20" s="223"/>
      <c r="I20" s="223"/>
      <c r="J20" s="223"/>
      <c r="K20" s="223">
        <f>$K$5*表3_元件數量計算表!$E$153</f>
        <v>41.6</v>
      </c>
      <c r="L20" s="223"/>
      <c r="M20" s="223"/>
      <c r="N20" s="223"/>
      <c r="O20" s="223"/>
      <c r="P20" s="223"/>
      <c r="Q20" s="223"/>
      <c r="R20" s="223"/>
      <c r="S20" s="223"/>
      <c r="T20" s="131">
        <f t="shared" si="0"/>
        <v>41.6</v>
      </c>
      <c r="U20" s="132"/>
      <c r="V20" s="132"/>
    </row>
    <row r="21" spans="1:22" ht="21.95" customHeight="1">
      <c r="A21" s="123">
        <f t="shared" si="1"/>
        <v>16</v>
      </c>
      <c r="B21" s="225" t="s">
        <v>494</v>
      </c>
      <c r="C21" s="129" t="str">
        <f>表3_元件數量計算表!$F$160</f>
        <v>處</v>
      </c>
      <c r="D21" s="223"/>
      <c r="E21" s="223"/>
      <c r="F21" s="223"/>
      <c r="G21" s="223"/>
      <c r="H21" s="223"/>
      <c r="I21" s="223"/>
      <c r="J21" s="223"/>
      <c r="K21" s="223"/>
      <c r="L21" s="223">
        <f>$L$5*表3_元件數量計算表!$E$160</f>
        <v>171.5</v>
      </c>
      <c r="M21" s="223"/>
      <c r="N21" s="223"/>
      <c r="O21" s="223"/>
      <c r="P21" s="223"/>
      <c r="Q21" s="223"/>
      <c r="R21" s="223"/>
      <c r="S21" s="223"/>
      <c r="T21" s="131">
        <f t="shared" si="0"/>
        <v>171.5</v>
      </c>
      <c r="U21" s="132"/>
      <c r="V21" s="132"/>
    </row>
    <row r="22" spans="1:22" ht="21.95" customHeight="1">
      <c r="A22" s="123">
        <f>A21+1</f>
        <v>17</v>
      </c>
      <c r="B22" s="225" t="s">
        <v>495</v>
      </c>
      <c r="C22" s="129" t="str">
        <f>表3_元件數量計算表!$F$166</f>
        <v>M</v>
      </c>
      <c r="D22" s="223"/>
      <c r="E22" s="223"/>
      <c r="F22" s="223"/>
      <c r="G22" s="223"/>
      <c r="H22" s="223"/>
      <c r="I22" s="223"/>
      <c r="J22" s="223"/>
      <c r="K22" s="223"/>
      <c r="L22" s="223"/>
      <c r="M22" s="223">
        <f>$M$5*表3_元件數量計算表!$E$166</f>
        <v>28</v>
      </c>
      <c r="N22" s="223"/>
      <c r="O22" s="223"/>
      <c r="P22" s="223"/>
      <c r="Q22" s="223"/>
      <c r="R22" s="223"/>
      <c r="S22" s="223"/>
      <c r="T22" s="131">
        <f t="shared" si="0"/>
        <v>28</v>
      </c>
      <c r="U22" s="132"/>
      <c r="V22" s="132"/>
    </row>
    <row r="23" spans="1:22" ht="16.5">
      <c r="B23" s="225" t="s">
        <v>496</v>
      </c>
      <c r="C23" s="129" t="str">
        <f>表3_元件數量計算表!$F$172</f>
        <v>M</v>
      </c>
      <c r="D23" s="223"/>
      <c r="E23" s="223"/>
      <c r="F23" s="223"/>
      <c r="G23" s="223"/>
      <c r="H23" s="223"/>
      <c r="I23" s="223"/>
      <c r="J23" s="223"/>
      <c r="K23" s="223"/>
      <c r="L23" s="223"/>
      <c r="M23" s="223"/>
      <c r="N23" s="223">
        <f>$N$5*表3_元件數量計算表!$E$172</f>
        <v>131.35</v>
      </c>
      <c r="O23" s="223">
        <f>$O$5*表3_元件數量計算表!$E$180</f>
        <v>471.86500000000001</v>
      </c>
      <c r="P23" s="223">
        <f>$P$5*表3_元件數量計算表!$E$188</f>
        <v>297.04000000000002</v>
      </c>
      <c r="Q23" s="223">
        <f>$Q$5*表3_元件數量計算表!$E$194</f>
        <v>15.99</v>
      </c>
      <c r="R23" s="223"/>
      <c r="S23" s="223"/>
      <c r="T23" s="131">
        <f t="shared" si="0"/>
        <v>916.25</v>
      </c>
    </row>
  </sheetData>
  <dataConsolidate/>
  <mergeCells count="4">
    <mergeCell ref="A3:A5"/>
    <mergeCell ref="B3:B5"/>
    <mergeCell ref="C3:C5"/>
    <mergeCell ref="T4:T5"/>
  </mergeCells>
  <phoneticPr fontId="3" type="noConversion"/>
  <pageMargins left="0.23622047244094491" right="0.23622047244094491" top="1.3779527559055118" bottom="0.74803149606299213" header="0.31496062992125984" footer="0.31496062992125984"/>
  <pageSetup paperSize="9" scale="58" orientation="landscape" r:id="rId1"/>
  <headerFooter alignWithMargins="0">
    <oddHeader>&amp;L&amp;"標楷體,標準"
工程名稱:左鎮區南171民生橋改建工程&amp;C&amp;18臺南市政府工務局
道路排水工程數量計算表</oddHeader>
    <oddFooter>&amp;L&amp;"標楷體,標準"計算：&amp;C&amp;"標楷體,標準"表1-&amp;P&amp;R&amp;"標楷體,標準"松陽工程顧問有限公司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5FF18-3B7A-44BA-BB18-D51ED0372F4B}">
  <sheetPr codeName="工作表4"/>
  <dimension ref="A1:G111"/>
  <sheetViews>
    <sheetView topLeftCell="A12" workbookViewId="0"/>
  </sheetViews>
  <sheetFormatPr defaultRowHeight="16.5"/>
  <sheetData>
    <row r="1" spans="1:7" ht="31.5">
      <c r="A1" s="139" t="s">
        <v>218</v>
      </c>
      <c r="B1" s="139" t="s">
        <v>218</v>
      </c>
      <c r="C1" s="89" t="s">
        <v>314</v>
      </c>
      <c r="E1" s="115" t="s">
        <v>219</v>
      </c>
      <c r="F1" s="115" t="s">
        <v>219</v>
      </c>
      <c r="G1" s="89" t="s">
        <v>505</v>
      </c>
    </row>
    <row r="2" spans="1:7" ht="63">
      <c r="A2" s="89" t="s">
        <v>314</v>
      </c>
      <c r="B2" s="100" t="s">
        <v>230</v>
      </c>
      <c r="C2" s="89" t="s">
        <v>188</v>
      </c>
      <c r="E2" s="89" t="s">
        <v>505</v>
      </c>
      <c r="F2" s="178" t="s">
        <v>237</v>
      </c>
      <c r="G2" s="89" t="s">
        <v>506</v>
      </c>
    </row>
    <row r="3" spans="1:7" ht="63">
      <c r="A3" s="100" t="s">
        <v>230</v>
      </c>
      <c r="B3" s="100" t="s">
        <v>229</v>
      </c>
      <c r="C3" s="89" t="s">
        <v>192</v>
      </c>
      <c r="E3" s="178" t="s">
        <v>237</v>
      </c>
      <c r="F3" s="100" t="s">
        <v>500</v>
      </c>
      <c r="G3" s="89" t="s">
        <v>330</v>
      </c>
    </row>
    <row r="4" spans="1:7" ht="46.5">
      <c r="A4" s="100" t="s">
        <v>229</v>
      </c>
      <c r="B4" s="206" t="s">
        <v>237</v>
      </c>
      <c r="C4" s="107" t="s">
        <v>317</v>
      </c>
      <c r="E4" s="100" t="s">
        <v>500</v>
      </c>
      <c r="F4" s="100" t="s">
        <v>503</v>
      </c>
      <c r="G4" s="89" t="s">
        <v>298</v>
      </c>
    </row>
    <row r="5" spans="1:7" ht="62.25">
      <c r="A5" s="206" t="s">
        <v>237</v>
      </c>
      <c r="B5" s="100" t="s">
        <v>498</v>
      </c>
      <c r="C5" s="107" t="s">
        <v>318</v>
      </c>
      <c r="E5" s="100" t="s">
        <v>503</v>
      </c>
      <c r="F5" s="95" t="s">
        <v>185</v>
      </c>
      <c r="G5" s="89" t="s">
        <v>299</v>
      </c>
    </row>
    <row r="6" spans="1:7" ht="62.25">
      <c r="A6" s="100" t="s">
        <v>498</v>
      </c>
      <c r="B6" s="100" t="s">
        <v>502</v>
      </c>
      <c r="C6" s="107" t="s">
        <v>319</v>
      </c>
      <c r="E6" s="95" t="s">
        <v>185</v>
      </c>
      <c r="F6" s="95" t="s">
        <v>181</v>
      </c>
      <c r="G6" s="89" t="s">
        <v>444</v>
      </c>
    </row>
    <row r="7" spans="1:7" ht="62.25">
      <c r="A7" s="100" t="s">
        <v>502</v>
      </c>
      <c r="B7" s="95" t="s">
        <v>187</v>
      </c>
      <c r="C7" s="117" t="s">
        <v>201</v>
      </c>
      <c r="E7" s="95" t="s">
        <v>181</v>
      </c>
      <c r="F7" s="95" t="s">
        <v>205</v>
      </c>
      <c r="G7" s="89" t="s">
        <v>209</v>
      </c>
    </row>
    <row r="8" spans="1:7" ht="63">
      <c r="A8" s="95" t="s">
        <v>187</v>
      </c>
      <c r="B8" s="95" t="s">
        <v>181</v>
      </c>
      <c r="C8" s="117" t="s">
        <v>320</v>
      </c>
      <c r="E8" s="95" t="s">
        <v>205</v>
      </c>
      <c r="F8" s="115" t="s">
        <v>220</v>
      </c>
      <c r="G8" s="89" t="s">
        <v>129</v>
      </c>
    </row>
    <row r="9" spans="1:7" ht="63">
      <c r="A9" s="95" t="s">
        <v>181</v>
      </c>
      <c r="B9" s="178" t="s">
        <v>256</v>
      </c>
      <c r="C9" s="204" t="s">
        <v>466</v>
      </c>
      <c r="E9" s="115" t="s">
        <v>220</v>
      </c>
      <c r="F9" s="115" t="s">
        <v>245</v>
      </c>
      <c r="G9" s="89" t="s">
        <v>228</v>
      </c>
    </row>
    <row r="10" spans="1:7" ht="77.25">
      <c r="A10" s="178" t="s">
        <v>256</v>
      </c>
      <c r="B10" s="113" t="s">
        <v>316</v>
      </c>
      <c r="C10" s="204" t="s">
        <v>336</v>
      </c>
      <c r="E10" s="115" t="s">
        <v>245</v>
      </c>
      <c r="F10" s="115" t="s">
        <v>244</v>
      </c>
      <c r="G10" s="89" t="s">
        <v>212</v>
      </c>
    </row>
    <row r="11" spans="1:7" ht="77.25">
      <c r="A11" s="113" t="s">
        <v>316</v>
      </c>
      <c r="B11" s="113" t="s">
        <v>191</v>
      </c>
      <c r="C11" s="119" t="s">
        <v>204</v>
      </c>
      <c r="E11" s="115" t="s">
        <v>244</v>
      </c>
      <c r="F11" s="95" t="s">
        <v>187</v>
      </c>
      <c r="G11" s="205" t="s">
        <v>507</v>
      </c>
    </row>
    <row r="12" spans="1:7" ht="63">
      <c r="A12" s="100"/>
      <c r="B12" s="95" t="s">
        <v>184</v>
      </c>
      <c r="E12" s="115"/>
      <c r="F12" s="115" t="s">
        <v>206</v>
      </c>
      <c r="G12" s="205" t="s">
        <v>508</v>
      </c>
    </row>
    <row r="13" spans="1:7" ht="47.25">
      <c r="A13" s="89" t="s">
        <v>188</v>
      </c>
      <c r="B13" s="179" t="s">
        <v>393</v>
      </c>
      <c r="E13" s="89" t="s">
        <v>506</v>
      </c>
      <c r="F13" s="115" t="s">
        <v>246</v>
      </c>
      <c r="G13" s="205" t="s">
        <v>509</v>
      </c>
    </row>
    <row r="14" spans="1:7" ht="63">
      <c r="A14" s="100" t="s">
        <v>230</v>
      </c>
      <c r="B14" s="178" t="s">
        <v>250</v>
      </c>
      <c r="E14" s="206" t="s">
        <v>237</v>
      </c>
      <c r="F14" s="95" t="s">
        <v>208</v>
      </c>
      <c r="G14" s="205" t="s">
        <v>510</v>
      </c>
    </row>
    <row r="15" spans="1:7" ht="46.5">
      <c r="A15" s="100" t="s">
        <v>229</v>
      </c>
      <c r="B15" s="115" t="s">
        <v>252</v>
      </c>
      <c r="E15" s="100" t="s">
        <v>500</v>
      </c>
      <c r="F15" s="113" t="s">
        <v>191</v>
      </c>
      <c r="G15" s="205" t="s">
        <v>412</v>
      </c>
    </row>
    <row r="16" spans="1:7" ht="63.75">
      <c r="A16" s="206" t="s">
        <v>237</v>
      </c>
      <c r="B16" s="115" t="s">
        <v>253</v>
      </c>
      <c r="E16" s="100" t="s">
        <v>502</v>
      </c>
      <c r="F16" s="120" t="s">
        <v>222</v>
      </c>
      <c r="G16" s="205" t="s">
        <v>411</v>
      </c>
    </row>
    <row r="17" spans="1:6" ht="62.25">
      <c r="A17" s="113" t="s">
        <v>191</v>
      </c>
      <c r="B17" s="95" t="s">
        <v>190</v>
      </c>
      <c r="E17" s="95" t="s">
        <v>187</v>
      </c>
      <c r="F17" s="100" t="s">
        <v>239</v>
      </c>
    </row>
    <row r="18" spans="1:6" ht="63">
      <c r="A18" s="120" t="s">
        <v>499</v>
      </c>
      <c r="B18" s="115" t="s">
        <v>196</v>
      </c>
      <c r="E18" s="95" t="s">
        <v>181</v>
      </c>
      <c r="F18" s="115" t="s">
        <v>213</v>
      </c>
    </row>
    <row r="19" spans="1:6" ht="62.25">
      <c r="A19" s="100" t="s">
        <v>503</v>
      </c>
      <c r="B19" s="95" t="s">
        <v>322</v>
      </c>
      <c r="E19" s="115" t="s">
        <v>206</v>
      </c>
      <c r="F19" s="115" t="s">
        <v>214</v>
      </c>
    </row>
    <row r="20" spans="1:6" ht="62.25">
      <c r="A20" s="95" t="s">
        <v>187</v>
      </c>
      <c r="B20" s="115" t="s">
        <v>323</v>
      </c>
      <c r="E20" s="115" t="s">
        <v>245</v>
      </c>
      <c r="F20" s="224"/>
    </row>
    <row r="21" spans="1:6" ht="62.25">
      <c r="A21" s="95" t="s">
        <v>181</v>
      </c>
      <c r="B21" s="115" t="s">
        <v>198</v>
      </c>
      <c r="E21" s="115" t="s">
        <v>244</v>
      </c>
    </row>
    <row r="22" spans="1:6" ht="47.25">
      <c r="A22" s="178" t="s">
        <v>256</v>
      </c>
      <c r="B22" s="115" t="s">
        <v>199</v>
      </c>
      <c r="E22" s="115" t="s">
        <v>246</v>
      </c>
    </row>
    <row r="23" spans="1:6" ht="77.25">
      <c r="A23" s="113" t="s">
        <v>316</v>
      </c>
      <c r="B23" s="115" t="s">
        <v>324</v>
      </c>
      <c r="E23" s="95"/>
    </row>
    <row r="24" spans="1:6" ht="31.5">
      <c r="A24" s="100"/>
      <c r="B24" s="115" t="s">
        <v>254</v>
      </c>
      <c r="E24" s="89" t="s">
        <v>330</v>
      </c>
    </row>
    <row r="25" spans="1:6" ht="47.25">
      <c r="A25" s="89" t="s">
        <v>192</v>
      </c>
      <c r="B25" s="115" t="s">
        <v>325</v>
      </c>
      <c r="E25" s="206" t="s">
        <v>237</v>
      </c>
    </row>
    <row r="26" spans="1:6" ht="63">
      <c r="A26" s="95" t="s">
        <v>184</v>
      </c>
      <c r="B26" s="115" t="s">
        <v>326</v>
      </c>
      <c r="E26" s="100" t="s">
        <v>500</v>
      </c>
    </row>
    <row r="27" spans="1:6" ht="62.25">
      <c r="A27" s="120" t="s">
        <v>499</v>
      </c>
      <c r="B27" s="95" t="s">
        <v>185</v>
      </c>
      <c r="E27" s="100" t="s">
        <v>503</v>
      </c>
    </row>
    <row r="28" spans="1:6" ht="78.75">
      <c r="A28" s="95" t="s">
        <v>187</v>
      </c>
      <c r="B28" s="120" t="s">
        <v>203</v>
      </c>
      <c r="E28" s="95" t="s">
        <v>187</v>
      </c>
    </row>
    <row r="29" spans="1:6" ht="62.25">
      <c r="A29" s="179" t="s">
        <v>393</v>
      </c>
      <c r="B29" s="224"/>
      <c r="E29" s="95" t="s">
        <v>181</v>
      </c>
    </row>
    <row r="30" spans="1:6" ht="31.5">
      <c r="A30" s="178" t="s">
        <v>250</v>
      </c>
      <c r="E30" s="115" t="s">
        <v>206</v>
      </c>
    </row>
    <row r="31" spans="1:6">
      <c r="A31" s="115" t="s">
        <v>252</v>
      </c>
      <c r="E31" s="115"/>
    </row>
    <row r="32" spans="1:6" ht="31.5">
      <c r="A32" s="115" t="s">
        <v>253</v>
      </c>
      <c r="E32" s="89" t="s">
        <v>298</v>
      </c>
    </row>
    <row r="33" spans="1:5">
      <c r="A33" s="95"/>
      <c r="E33" s="206" t="s">
        <v>237</v>
      </c>
    </row>
    <row r="34" spans="1:5" ht="46.5">
      <c r="A34" s="107" t="s">
        <v>317</v>
      </c>
      <c r="E34" s="100" t="s">
        <v>503</v>
      </c>
    </row>
    <row r="35" spans="1:5" ht="62.25">
      <c r="A35" s="178" t="s">
        <v>237</v>
      </c>
      <c r="E35" s="95" t="s">
        <v>187</v>
      </c>
    </row>
    <row r="36" spans="1:5" ht="46.5">
      <c r="A36" s="100" t="s">
        <v>500</v>
      </c>
      <c r="E36" s="115"/>
    </row>
    <row r="37" spans="1:5" ht="62.25">
      <c r="A37" s="95" t="s">
        <v>190</v>
      </c>
      <c r="E37" s="89" t="s">
        <v>299</v>
      </c>
    </row>
    <row r="38" spans="1:5">
      <c r="A38" s="95"/>
      <c r="E38" s="206" t="s">
        <v>237</v>
      </c>
    </row>
    <row r="39" spans="1:5" ht="46.5">
      <c r="A39" s="107" t="s">
        <v>318</v>
      </c>
      <c r="E39" s="100" t="s">
        <v>503</v>
      </c>
    </row>
    <row r="40" spans="1:5" ht="62.25">
      <c r="A40" s="95" t="s">
        <v>179</v>
      </c>
      <c r="E40" s="95" t="s">
        <v>187</v>
      </c>
    </row>
    <row r="41" spans="1:5" ht="46.5">
      <c r="A41" s="100" t="s">
        <v>500</v>
      </c>
      <c r="E41" s="115"/>
    </row>
    <row r="42" spans="1:5" ht="62.25">
      <c r="A42" s="95" t="s">
        <v>190</v>
      </c>
      <c r="E42" s="89" t="s">
        <v>444</v>
      </c>
    </row>
    <row r="43" spans="1:5">
      <c r="A43" s="95"/>
      <c r="E43" s="95" t="s">
        <v>179</v>
      </c>
    </row>
    <row r="44" spans="1:5" ht="46.5">
      <c r="A44" s="107" t="s">
        <v>319</v>
      </c>
      <c r="E44" s="100" t="s">
        <v>500</v>
      </c>
    </row>
    <row r="45" spans="1:5" ht="62.25">
      <c r="A45" s="95" t="s">
        <v>179</v>
      </c>
      <c r="E45" s="95" t="s">
        <v>185</v>
      </c>
    </row>
    <row r="46" spans="1:5" ht="62.25">
      <c r="A46" s="100" t="s">
        <v>500</v>
      </c>
      <c r="E46" s="95" t="s">
        <v>181</v>
      </c>
    </row>
    <row r="47" spans="1:5" ht="62.25">
      <c r="A47" s="95" t="s">
        <v>190</v>
      </c>
      <c r="E47" s="95" t="s">
        <v>208</v>
      </c>
    </row>
    <row r="48" spans="1:5">
      <c r="A48" s="115" t="s">
        <v>196</v>
      </c>
      <c r="E48" s="95"/>
    </row>
    <row r="49" spans="1:5">
      <c r="A49" s="95"/>
      <c r="E49" s="89" t="s">
        <v>209</v>
      </c>
    </row>
    <row r="50" spans="1:5">
      <c r="A50" s="117" t="s">
        <v>201</v>
      </c>
      <c r="E50" s="95" t="s">
        <v>179</v>
      </c>
    </row>
    <row r="51" spans="1:5" ht="46.5">
      <c r="A51" s="100" t="s">
        <v>197</v>
      </c>
      <c r="E51" s="100" t="s">
        <v>500</v>
      </c>
    </row>
    <row r="52" spans="1:5" ht="46.5">
      <c r="A52" s="100" t="s">
        <v>500</v>
      </c>
      <c r="E52" s="100" t="s">
        <v>503</v>
      </c>
    </row>
    <row r="53" spans="1:5" ht="62.25">
      <c r="A53" s="100" t="s">
        <v>503</v>
      </c>
      <c r="E53" s="95" t="s">
        <v>185</v>
      </c>
    </row>
    <row r="54" spans="1:5" ht="62.25">
      <c r="A54" s="95" t="s">
        <v>322</v>
      </c>
      <c r="E54" s="95" t="s">
        <v>181</v>
      </c>
    </row>
    <row r="55" spans="1:5" ht="47.25">
      <c r="A55" s="115" t="s">
        <v>323</v>
      </c>
      <c r="E55" s="115"/>
    </row>
    <row r="56" spans="1:5" ht="31.5">
      <c r="A56" s="115" t="s">
        <v>198</v>
      </c>
      <c r="E56" s="89" t="s">
        <v>129</v>
      </c>
    </row>
    <row r="57" spans="1:5" ht="31.5">
      <c r="A57" s="115" t="s">
        <v>199</v>
      </c>
      <c r="E57" s="113" t="s">
        <v>191</v>
      </c>
    </row>
    <row r="58" spans="1:5" ht="47.25">
      <c r="A58" s="115" t="s">
        <v>324</v>
      </c>
      <c r="E58" s="100" t="s">
        <v>500</v>
      </c>
    </row>
    <row r="59" spans="1:5" ht="62.25">
      <c r="A59" s="115" t="s">
        <v>254</v>
      </c>
      <c r="E59" s="95" t="s">
        <v>185</v>
      </c>
    </row>
    <row r="60" spans="1:5" ht="63.75">
      <c r="A60" s="95"/>
      <c r="E60" s="120" t="s">
        <v>222</v>
      </c>
    </row>
    <row r="61" spans="1:5" ht="47.25">
      <c r="A61" s="117" t="s">
        <v>320</v>
      </c>
      <c r="E61" s="115" t="s">
        <v>245</v>
      </c>
    </row>
    <row r="62" spans="1:5">
      <c r="A62" s="100" t="s">
        <v>197</v>
      </c>
      <c r="E62" s="115"/>
    </row>
    <row r="63" spans="1:5" ht="46.5">
      <c r="A63" s="100" t="s">
        <v>500</v>
      </c>
      <c r="E63" s="89" t="s">
        <v>228</v>
      </c>
    </row>
    <row r="64" spans="1:5" ht="46.5">
      <c r="A64" s="100" t="s">
        <v>503</v>
      </c>
      <c r="E64" s="95" t="s">
        <v>179</v>
      </c>
    </row>
    <row r="65" spans="1:5" ht="62.25">
      <c r="A65" s="95" t="s">
        <v>322</v>
      </c>
      <c r="E65" s="100" t="s">
        <v>500</v>
      </c>
    </row>
    <row r="66" spans="1:5" ht="62.25">
      <c r="A66" s="115" t="s">
        <v>325</v>
      </c>
      <c r="E66" s="95" t="s">
        <v>185</v>
      </c>
    </row>
    <row r="67" spans="1:5" ht="31.5">
      <c r="A67" s="115" t="s">
        <v>198</v>
      </c>
      <c r="E67" s="100" t="s">
        <v>239</v>
      </c>
    </row>
    <row r="68" spans="1:5" ht="31.5">
      <c r="A68" s="115" t="s">
        <v>199</v>
      </c>
      <c r="E68" s="120"/>
    </row>
    <row r="69" spans="1:5" ht="47.25">
      <c r="A69" s="115" t="s">
        <v>326</v>
      </c>
      <c r="E69" s="89" t="s">
        <v>212</v>
      </c>
    </row>
    <row r="70" spans="1:5" ht="31.5">
      <c r="A70" s="115" t="s">
        <v>254</v>
      </c>
      <c r="E70" s="95" t="s">
        <v>179</v>
      </c>
    </row>
    <row r="71" spans="1:5" ht="46.5">
      <c r="A71" s="95"/>
      <c r="E71" s="100" t="s">
        <v>500</v>
      </c>
    </row>
    <row r="72" spans="1:5" ht="62.25">
      <c r="A72" s="204" t="s">
        <v>466</v>
      </c>
      <c r="E72" s="95" t="s">
        <v>185</v>
      </c>
    </row>
    <row r="73" spans="1:5" ht="63">
      <c r="A73" s="100" t="s">
        <v>237</v>
      </c>
      <c r="E73" s="115" t="s">
        <v>213</v>
      </c>
    </row>
    <row r="74" spans="1:5" ht="46.5">
      <c r="A74" s="100" t="s">
        <v>500</v>
      </c>
      <c r="E74" s="115"/>
    </row>
    <row r="75" spans="1:5" ht="46.5">
      <c r="A75" s="100" t="s">
        <v>503</v>
      </c>
      <c r="E75" s="205" t="s">
        <v>507</v>
      </c>
    </row>
    <row r="76" spans="1:5" ht="62.25">
      <c r="A76" s="95" t="s">
        <v>181</v>
      </c>
      <c r="E76" s="95" t="s">
        <v>179</v>
      </c>
    </row>
    <row r="77" spans="1:5" ht="62.25">
      <c r="A77" s="95" t="s">
        <v>185</v>
      </c>
      <c r="E77" s="100" t="s">
        <v>500</v>
      </c>
    </row>
    <row r="78" spans="1:5" ht="62.25">
      <c r="A78" s="95"/>
      <c r="E78" s="95" t="s">
        <v>185</v>
      </c>
    </row>
    <row r="79" spans="1:5">
      <c r="A79" s="204" t="s">
        <v>336</v>
      </c>
      <c r="E79" s="115" t="s">
        <v>214</v>
      </c>
    </row>
    <row r="80" spans="1:5">
      <c r="A80" s="100" t="s">
        <v>237</v>
      </c>
      <c r="E80" s="115"/>
    </row>
    <row r="81" spans="1:5" ht="46.5">
      <c r="A81" s="100" t="s">
        <v>503</v>
      </c>
      <c r="E81" s="205" t="s">
        <v>508</v>
      </c>
    </row>
    <row r="82" spans="1:5" ht="62.25">
      <c r="A82" s="95" t="s">
        <v>185</v>
      </c>
      <c r="E82" s="95" t="s">
        <v>179</v>
      </c>
    </row>
    <row r="83" spans="1:5" ht="46.5">
      <c r="A83" s="115"/>
      <c r="E83" s="100" t="s">
        <v>500</v>
      </c>
    </row>
    <row r="84" spans="1:5" ht="46.5">
      <c r="A84" s="119" t="s">
        <v>204</v>
      </c>
      <c r="E84" s="100" t="s">
        <v>503</v>
      </c>
    </row>
    <row r="85" spans="1:5" ht="62.25">
      <c r="A85" s="100" t="s">
        <v>500</v>
      </c>
      <c r="E85" s="95" t="s">
        <v>185</v>
      </c>
    </row>
    <row r="86" spans="1:5" ht="62.25">
      <c r="A86" s="100" t="s">
        <v>503</v>
      </c>
      <c r="E86" s="95" t="s">
        <v>181</v>
      </c>
    </row>
    <row r="87" spans="1:5" ht="78.75">
      <c r="A87" s="120" t="s">
        <v>203</v>
      </c>
      <c r="E87" s="115" t="s">
        <v>214</v>
      </c>
    </row>
    <row r="88" spans="1:5">
      <c r="A88" s="115"/>
      <c r="E88" s="115"/>
    </row>
    <row r="89" spans="1:5">
      <c r="E89" s="205" t="s">
        <v>509</v>
      </c>
    </row>
    <row r="90" spans="1:5">
      <c r="E90" s="95" t="s">
        <v>179</v>
      </c>
    </row>
    <row r="91" spans="1:5" ht="46.5">
      <c r="E91" s="100" t="s">
        <v>500</v>
      </c>
    </row>
    <row r="92" spans="1:5" ht="46.5">
      <c r="E92" s="100" t="s">
        <v>503</v>
      </c>
    </row>
    <row r="93" spans="1:5" ht="62.25">
      <c r="E93" s="95" t="s">
        <v>185</v>
      </c>
    </row>
    <row r="94" spans="1:5" ht="62.25">
      <c r="E94" s="95" t="s">
        <v>181</v>
      </c>
    </row>
    <row r="95" spans="1:5">
      <c r="E95" s="115" t="s">
        <v>214</v>
      </c>
    </row>
    <row r="96" spans="1:5">
      <c r="E96" s="95"/>
    </row>
    <row r="97" spans="5:5">
      <c r="E97" s="205" t="s">
        <v>510</v>
      </c>
    </row>
    <row r="98" spans="5:5">
      <c r="E98" s="95" t="s">
        <v>179</v>
      </c>
    </row>
    <row r="99" spans="5:5" ht="46.5">
      <c r="E99" s="100" t="s">
        <v>500</v>
      </c>
    </row>
    <row r="100" spans="5:5" ht="62.25">
      <c r="E100" s="95" t="s">
        <v>185</v>
      </c>
    </row>
    <row r="101" spans="5:5">
      <c r="E101" s="115" t="s">
        <v>214</v>
      </c>
    </row>
    <row r="102" spans="5:5">
      <c r="E102" s="115"/>
    </row>
    <row r="103" spans="5:5">
      <c r="E103" s="205" t="s">
        <v>412</v>
      </c>
    </row>
    <row r="104" spans="5:5">
      <c r="E104" s="95" t="s">
        <v>179</v>
      </c>
    </row>
    <row r="105" spans="5:5" ht="46.5">
      <c r="E105" s="100" t="s">
        <v>500</v>
      </c>
    </row>
    <row r="106" spans="5:5" ht="62.25">
      <c r="E106" s="95" t="s">
        <v>185</v>
      </c>
    </row>
    <row r="107" spans="5:5">
      <c r="E107" s="115"/>
    </row>
    <row r="108" spans="5:5">
      <c r="E108" s="205" t="s">
        <v>411</v>
      </c>
    </row>
    <row r="109" spans="5:5">
      <c r="E109" s="95" t="s">
        <v>179</v>
      </c>
    </row>
    <row r="110" spans="5:5" ht="45">
      <c r="E110" s="120" t="s">
        <v>499</v>
      </c>
    </row>
    <row r="111" spans="5:5" ht="62.25">
      <c r="E111" s="95" t="s">
        <v>185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:G206"/>
  <sheetViews>
    <sheetView view="pageBreakPreview" zoomScaleNormal="115" zoomScaleSheetLayoutView="100" workbookViewId="0">
      <pane xSplit="6" ySplit="5" topLeftCell="G6" activePane="bottomRight" state="frozen"/>
      <selection pane="topRight" activeCell="J1" sqref="J1"/>
      <selection pane="bottomLeft" activeCell="A6" sqref="A6"/>
      <selection pane="bottomRight" activeCell="J92" sqref="J92"/>
    </sheetView>
  </sheetViews>
  <sheetFormatPr defaultRowHeight="15"/>
  <cols>
    <col min="1" max="1" width="4.625" style="84" customWidth="1"/>
    <col min="2" max="2" width="35.625" style="108" customWidth="1"/>
    <col min="3" max="3" width="30.625" style="109" customWidth="1"/>
    <col min="4" max="4" width="2.375" style="110" customWidth="1"/>
    <col min="5" max="5" width="10.625" style="111" customWidth="1"/>
    <col min="6" max="6" width="4.75" style="112" customWidth="1"/>
    <col min="7" max="7" width="12.5" style="83" customWidth="1"/>
    <col min="8" max="8" width="9.5" style="83" bestFit="1" customWidth="1"/>
    <col min="9" max="255" width="9" style="83"/>
    <col min="256" max="256" width="4.625" style="83" customWidth="1"/>
    <col min="257" max="257" width="35.625" style="83" customWidth="1"/>
    <col min="258" max="258" width="30.625" style="83" customWidth="1"/>
    <col min="259" max="259" width="2.375" style="83" customWidth="1"/>
    <col min="260" max="260" width="10.625" style="83" customWidth="1"/>
    <col min="261" max="261" width="4.75" style="83" customWidth="1"/>
    <col min="262" max="262" width="9" style="83"/>
    <col min="263" max="263" width="32.75" style="83" customWidth="1"/>
    <col min="264" max="264" width="9.5" style="83" bestFit="1" customWidth="1"/>
    <col min="265" max="511" width="9" style="83"/>
    <col min="512" max="512" width="4.625" style="83" customWidth="1"/>
    <col min="513" max="513" width="35.625" style="83" customWidth="1"/>
    <col min="514" max="514" width="30.625" style="83" customWidth="1"/>
    <col min="515" max="515" width="2.375" style="83" customWidth="1"/>
    <col min="516" max="516" width="10.625" style="83" customWidth="1"/>
    <col min="517" max="517" width="4.75" style="83" customWidth="1"/>
    <col min="518" max="518" width="9" style="83"/>
    <col min="519" max="519" width="32.75" style="83" customWidth="1"/>
    <col min="520" max="520" width="9.5" style="83" bestFit="1" customWidth="1"/>
    <col min="521" max="767" width="9" style="83"/>
    <col min="768" max="768" width="4.625" style="83" customWidth="1"/>
    <col min="769" max="769" width="35.625" style="83" customWidth="1"/>
    <col min="770" max="770" width="30.625" style="83" customWidth="1"/>
    <col min="771" max="771" width="2.375" style="83" customWidth="1"/>
    <col min="772" max="772" width="10.625" style="83" customWidth="1"/>
    <col min="773" max="773" width="4.75" style="83" customWidth="1"/>
    <col min="774" max="774" width="9" style="83"/>
    <col min="775" max="775" width="32.75" style="83" customWidth="1"/>
    <col min="776" max="776" width="9.5" style="83" bestFit="1" customWidth="1"/>
    <col min="777" max="1023" width="9" style="83"/>
    <col min="1024" max="1024" width="4.625" style="83" customWidth="1"/>
    <col min="1025" max="1025" width="35.625" style="83" customWidth="1"/>
    <col min="1026" max="1026" width="30.625" style="83" customWidth="1"/>
    <col min="1027" max="1027" width="2.375" style="83" customWidth="1"/>
    <col min="1028" max="1028" width="10.625" style="83" customWidth="1"/>
    <col min="1029" max="1029" width="4.75" style="83" customWidth="1"/>
    <col min="1030" max="1030" width="9" style="83"/>
    <col min="1031" max="1031" width="32.75" style="83" customWidth="1"/>
    <col min="1032" max="1032" width="9.5" style="83" bestFit="1" customWidth="1"/>
    <col min="1033" max="1279" width="9" style="83"/>
    <col min="1280" max="1280" width="4.625" style="83" customWidth="1"/>
    <col min="1281" max="1281" width="35.625" style="83" customWidth="1"/>
    <col min="1282" max="1282" width="30.625" style="83" customWidth="1"/>
    <col min="1283" max="1283" width="2.375" style="83" customWidth="1"/>
    <col min="1284" max="1284" width="10.625" style="83" customWidth="1"/>
    <col min="1285" max="1285" width="4.75" style="83" customWidth="1"/>
    <col min="1286" max="1286" width="9" style="83"/>
    <col min="1287" max="1287" width="32.75" style="83" customWidth="1"/>
    <col min="1288" max="1288" width="9.5" style="83" bestFit="1" customWidth="1"/>
    <col min="1289" max="1535" width="9" style="83"/>
    <col min="1536" max="1536" width="4.625" style="83" customWidth="1"/>
    <col min="1537" max="1537" width="35.625" style="83" customWidth="1"/>
    <col min="1538" max="1538" width="30.625" style="83" customWidth="1"/>
    <col min="1539" max="1539" width="2.375" style="83" customWidth="1"/>
    <col min="1540" max="1540" width="10.625" style="83" customWidth="1"/>
    <col min="1541" max="1541" width="4.75" style="83" customWidth="1"/>
    <col min="1542" max="1542" width="9" style="83"/>
    <col min="1543" max="1543" width="32.75" style="83" customWidth="1"/>
    <col min="1544" max="1544" width="9.5" style="83" bestFit="1" customWidth="1"/>
    <col min="1545" max="1791" width="9" style="83"/>
    <col min="1792" max="1792" width="4.625" style="83" customWidth="1"/>
    <col min="1793" max="1793" width="35.625" style="83" customWidth="1"/>
    <col min="1794" max="1794" width="30.625" style="83" customWidth="1"/>
    <col min="1795" max="1795" width="2.375" style="83" customWidth="1"/>
    <col min="1796" max="1796" width="10.625" style="83" customWidth="1"/>
    <col min="1797" max="1797" width="4.75" style="83" customWidth="1"/>
    <col min="1798" max="1798" width="9" style="83"/>
    <col min="1799" max="1799" width="32.75" style="83" customWidth="1"/>
    <col min="1800" max="1800" width="9.5" style="83" bestFit="1" customWidth="1"/>
    <col min="1801" max="2047" width="9" style="83"/>
    <col min="2048" max="2048" width="4.625" style="83" customWidth="1"/>
    <col min="2049" max="2049" width="35.625" style="83" customWidth="1"/>
    <col min="2050" max="2050" width="30.625" style="83" customWidth="1"/>
    <col min="2051" max="2051" width="2.375" style="83" customWidth="1"/>
    <col min="2052" max="2052" width="10.625" style="83" customWidth="1"/>
    <col min="2053" max="2053" width="4.75" style="83" customWidth="1"/>
    <col min="2054" max="2054" width="9" style="83"/>
    <col min="2055" max="2055" width="32.75" style="83" customWidth="1"/>
    <col min="2056" max="2056" width="9.5" style="83" bestFit="1" customWidth="1"/>
    <col min="2057" max="2303" width="9" style="83"/>
    <col min="2304" max="2304" width="4.625" style="83" customWidth="1"/>
    <col min="2305" max="2305" width="35.625" style="83" customWidth="1"/>
    <col min="2306" max="2306" width="30.625" style="83" customWidth="1"/>
    <col min="2307" max="2307" width="2.375" style="83" customWidth="1"/>
    <col min="2308" max="2308" width="10.625" style="83" customWidth="1"/>
    <col min="2309" max="2309" width="4.75" style="83" customWidth="1"/>
    <col min="2310" max="2310" width="9" style="83"/>
    <col min="2311" max="2311" width="32.75" style="83" customWidth="1"/>
    <col min="2312" max="2312" width="9.5" style="83" bestFit="1" customWidth="1"/>
    <col min="2313" max="2559" width="9" style="83"/>
    <col min="2560" max="2560" width="4.625" style="83" customWidth="1"/>
    <col min="2561" max="2561" width="35.625" style="83" customWidth="1"/>
    <col min="2562" max="2562" width="30.625" style="83" customWidth="1"/>
    <col min="2563" max="2563" width="2.375" style="83" customWidth="1"/>
    <col min="2564" max="2564" width="10.625" style="83" customWidth="1"/>
    <col min="2565" max="2565" width="4.75" style="83" customWidth="1"/>
    <col min="2566" max="2566" width="9" style="83"/>
    <col min="2567" max="2567" width="32.75" style="83" customWidth="1"/>
    <col min="2568" max="2568" width="9.5" style="83" bestFit="1" customWidth="1"/>
    <col min="2569" max="2815" width="9" style="83"/>
    <col min="2816" max="2816" width="4.625" style="83" customWidth="1"/>
    <col min="2817" max="2817" width="35.625" style="83" customWidth="1"/>
    <col min="2818" max="2818" width="30.625" style="83" customWidth="1"/>
    <col min="2819" max="2819" width="2.375" style="83" customWidth="1"/>
    <col min="2820" max="2820" width="10.625" style="83" customWidth="1"/>
    <col min="2821" max="2821" width="4.75" style="83" customWidth="1"/>
    <col min="2822" max="2822" width="9" style="83"/>
    <col min="2823" max="2823" width="32.75" style="83" customWidth="1"/>
    <col min="2824" max="2824" width="9.5" style="83" bestFit="1" customWidth="1"/>
    <col min="2825" max="3071" width="9" style="83"/>
    <col min="3072" max="3072" width="4.625" style="83" customWidth="1"/>
    <col min="3073" max="3073" width="35.625" style="83" customWidth="1"/>
    <col min="3074" max="3074" width="30.625" style="83" customWidth="1"/>
    <col min="3075" max="3075" width="2.375" style="83" customWidth="1"/>
    <col min="3076" max="3076" width="10.625" style="83" customWidth="1"/>
    <col min="3077" max="3077" width="4.75" style="83" customWidth="1"/>
    <col min="3078" max="3078" width="9" style="83"/>
    <col min="3079" max="3079" width="32.75" style="83" customWidth="1"/>
    <col min="3080" max="3080" width="9.5" style="83" bestFit="1" customWidth="1"/>
    <col min="3081" max="3327" width="9" style="83"/>
    <col min="3328" max="3328" width="4.625" style="83" customWidth="1"/>
    <col min="3329" max="3329" width="35.625" style="83" customWidth="1"/>
    <col min="3330" max="3330" width="30.625" style="83" customWidth="1"/>
    <col min="3331" max="3331" width="2.375" style="83" customWidth="1"/>
    <col min="3332" max="3332" width="10.625" style="83" customWidth="1"/>
    <col min="3333" max="3333" width="4.75" style="83" customWidth="1"/>
    <col min="3334" max="3334" width="9" style="83"/>
    <col min="3335" max="3335" width="32.75" style="83" customWidth="1"/>
    <col min="3336" max="3336" width="9.5" style="83" bestFit="1" customWidth="1"/>
    <col min="3337" max="3583" width="9" style="83"/>
    <col min="3584" max="3584" width="4.625" style="83" customWidth="1"/>
    <col min="3585" max="3585" width="35.625" style="83" customWidth="1"/>
    <col min="3586" max="3586" width="30.625" style="83" customWidth="1"/>
    <col min="3587" max="3587" width="2.375" style="83" customWidth="1"/>
    <col min="3588" max="3588" width="10.625" style="83" customWidth="1"/>
    <col min="3589" max="3589" width="4.75" style="83" customWidth="1"/>
    <col min="3590" max="3590" width="9" style="83"/>
    <col min="3591" max="3591" width="32.75" style="83" customWidth="1"/>
    <col min="3592" max="3592" width="9.5" style="83" bestFit="1" customWidth="1"/>
    <col min="3593" max="3839" width="9" style="83"/>
    <col min="3840" max="3840" width="4.625" style="83" customWidth="1"/>
    <col min="3841" max="3841" width="35.625" style="83" customWidth="1"/>
    <col min="3842" max="3842" width="30.625" style="83" customWidth="1"/>
    <col min="3843" max="3843" width="2.375" style="83" customWidth="1"/>
    <col min="3844" max="3844" width="10.625" style="83" customWidth="1"/>
    <col min="3845" max="3845" width="4.75" style="83" customWidth="1"/>
    <col min="3846" max="3846" width="9" style="83"/>
    <col min="3847" max="3847" width="32.75" style="83" customWidth="1"/>
    <col min="3848" max="3848" width="9.5" style="83" bestFit="1" customWidth="1"/>
    <col min="3849" max="4095" width="9" style="83"/>
    <col min="4096" max="4096" width="4.625" style="83" customWidth="1"/>
    <col min="4097" max="4097" width="35.625" style="83" customWidth="1"/>
    <col min="4098" max="4098" width="30.625" style="83" customWidth="1"/>
    <col min="4099" max="4099" width="2.375" style="83" customWidth="1"/>
    <col min="4100" max="4100" width="10.625" style="83" customWidth="1"/>
    <col min="4101" max="4101" width="4.75" style="83" customWidth="1"/>
    <col min="4102" max="4102" width="9" style="83"/>
    <col min="4103" max="4103" width="32.75" style="83" customWidth="1"/>
    <col min="4104" max="4104" width="9.5" style="83" bestFit="1" customWidth="1"/>
    <col min="4105" max="4351" width="9" style="83"/>
    <col min="4352" max="4352" width="4.625" style="83" customWidth="1"/>
    <col min="4353" max="4353" width="35.625" style="83" customWidth="1"/>
    <col min="4354" max="4354" width="30.625" style="83" customWidth="1"/>
    <col min="4355" max="4355" width="2.375" style="83" customWidth="1"/>
    <col min="4356" max="4356" width="10.625" style="83" customWidth="1"/>
    <col min="4357" max="4357" width="4.75" style="83" customWidth="1"/>
    <col min="4358" max="4358" width="9" style="83"/>
    <col min="4359" max="4359" width="32.75" style="83" customWidth="1"/>
    <col min="4360" max="4360" width="9.5" style="83" bestFit="1" customWidth="1"/>
    <col min="4361" max="4607" width="9" style="83"/>
    <col min="4608" max="4608" width="4.625" style="83" customWidth="1"/>
    <col min="4609" max="4609" width="35.625" style="83" customWidth="1"/>
    <col min="4610" max="4610" width="30.625" style="83" customWidth="1"/>
    <col min="4611" max="4611" width="2.375" style="83" customWidth="1"/>
    <col min="4612" max="4612" width="10.625" style="83" customWidth="1"/>
    <col min="4613" max="4613" width="4.75" style="83" customWidth="1"/>
    <col min="4614" max="4614" width="9" style="83"/>
    <col min="4615" max="4615" width="32.75" style="83" customWidth="1"/>
    <col min="4616" max="4616" width="9.5" style="83" bestFit="1" customWidth="1"/>
    <col min="4617" max="4863" width="9" style="83"/>
    <col min="4864" max="4864" width="4.625" style="83" customWidth="1"/>
    <col min="4865" max="4865" width="35.625" style="83" customWidth="1"/>
    <col min="4866" max="4866" width="30.625" style="83" customWidth="1"/>
    <col min="4867" max="4867" width="2.375" style="83" customWidth="1"/>
    <col min="4868" max="4868" width="10.625" style="83" customWidth="1"/>
    <col min="4869" max="4869" width="4.75" style="83" customWidth="1"/>
    <col min="4870" max="4870" width="9" style="83"/>
    <col min="4871" max="4871" width="32.75" style="83" customWidth="1"/>
    <col min="4872" max="4872" width="9.5" style="83" bestFit="1" customWidth="1"/>
    <col min="4873" max="5119" width="9" style="83"/>
    <col min="5120" max="5120" width="4.625" style="83" customWidth="1"/>
    <col min="5121" max="5121" width="35.625" style="83" customWidth="1"/>
    <col min="5122" max="5122" width="30.625" style="83" customWidth="1"/>
    <col min="5123" max="5123" width="2.375" style="83" customWidth="1"/>
    <col min="5124" max="5124" width="10.625" style="83" customWidth="1"/>
    <col min="5125" max="5125" width="4.75" style="83" customWidth="1"/>
    <col min="5126" max="5126" width="9" style="83"/>
    <col min="5127" max="5127" width="32.75" style="83" customWidth="1"/>
    <col min="5128" max="5128" width="9.5" style="83" bestFit="1" customWidth="1"/>
    <col min="5129" max="5375" width="9" style="83"/>
    <col min="5376" max="5376" width="4.625" style="83" customWidth="1"/>
    <col min="5377" max="5377" width="35.625" style="83" customWidth="1"/>
    <col min="5378" max="5378" width="30.625" style="83" customWidth="1"/>
    <col min="5379" max="5379" width="2.375" style="83" customWidth="1"/>
    <col min="5380" max="5380" width="10.625" style="83" customWidth="1"/>
    <col min="5381" max="5381" width="4.75" style="83" customWidth="1"/>
    <col min="5382" max="5382" width="9" style="83"/>
    <col min="5383" max="5383" width="32.75" style="83" customWidth="1"/>
    <col min="5384" max="5384" width="9.5" style="83" bestFit="1" customWidth="1"/>
    <col min="5385" max="5631" width="9" style="83"/>
    <col min="5632" max="5632" width="4.625" style="83" customWidth="1"/>
    <col min="5633" max="5633" width="35.625" style="83" customWidth="1"/>
    <col min="5634" max="5634" width="30.625" style="83" customWidth="1"/>
    <col min="5635" max="5635" width="2.375" style="83" customWidth="1"/>
    <col min="5636" max="5636" width="10.625" style="83" customWidth="1"/>
    <col min="5637" max="5637" width="4.75" style="83" customWidth="1"/>
    <col min="5638" max="5638" width="9" style="83"/>
    <col min="5639" max="5639" width="32.75" style="83" customWidth="1"/>
    <col min="5640" max="5640" width="9.5" style="83" bestFit="1" customWidth="1"/>
    <col min="5641" max="5887" width="9" style="83"/>
    <col min="5888" max="5888" width="4.625" style="83" customWidth="1"/>
    <col min="5889" max="5889" width="35.625" style="83" customWidth="1"/>
    <col min="5890" max="5890" width="30.625" style="83" customWidth="1"/>
    <col min="5891" max="5891" width="2.375" style="83" customWidth="1"/>
    <col min="5892" max="5892" width="10.625" style="83" customWidth="1"/>
    <col min="5893" max="5893" width="4.75" style="83" customWidth="1"/>
    <col min="5894" max="5894" width="9" style="83"/>
    <col min="5895" max="5895" width="32.75" style="83" customWidth="1"/>
    <col min="5896" max="5896" width="9.5" style="83" bestFit="1" customWidth="1"/>
    <col min="5897" max="6143" width="9" style="83"/>
    <col min="6144" max="6144" width="4.625" style="83" customWidth="1"/>
    <col min="6145" max="6145" width="35.625" style="83" customWidth="1"/>
    <col min="6146" max="6146" width="30.625" style="83" customWidth="1"/>
    <col min="6147" max="6147" width="2.375" style="83" customWidth="1"/>
    <col min="6148" max="6148" width="10.625" style="83" customWidth="1"/>
    <col min="6149" max="6149" width="4.75" style="83" customWidth="1"/>
    <col min="6150" max="6150" width="9" style="83"/>
    <col min="6151" max="6151" width="32.75" style="83" customWidth="1"/>
    <col min="6152" max="6152" width="9.5" style="83" bestFit="1" customWidth="1"/>
    <col min="6153" max="6399" width="9" style="83"/>
    <col min="6400" max="6400" width="4.625" style="83" customWidth="1"/>
    <col min="6401" max="6401" width="35.625" style="83" customWidth="1"/>
    <col min="6402" max="6402" width="30.625" style="83" customWidth="1"/>
    <col min="6403" max="6403" width="2.375" style="83" customWidth="1"/>
    <col min="6404" max="6404" width="10.625" style="83" customWidth="1"/>
    <col min="6405" max="6405" width="4.75" style="83" customWidth="1"/>
    <col min="6406" max="6406" width="9" style="83"/>
    <col min="6407" max="6407" width="32.75" style="83" customWidth="1"/>
    <col min="6408" max="6408" width="9.5" style="83" bestFit="1" customWidth="1"/>
    <col min="6409" max="6655" width="9" style="83"/>
    <col min="6656" max="6656" width="4.625" style="83" customWidth="1"/>
    <col min="6657" max="6657" width="35.625" style="83" customWidth="1"/>
    <col min="6658" max="6658" width="30.625" style="83" customWidth="1"/>
    <col min="6659" max="6659" width="2.375" style="83" customWidth="1"/>
    <col min="6660" max="6660" width="10.625" style="83" customWidth="1"/>
    <col min="6661" max="6661" width="4.75" style="83" customWidth="1"/>
    <col min="6662" max="6662" width="9" style="83"/>
    <col min="6663" max="6663" width="32.75" style="83" customWidth="1"/>
    <col min="6664" max="6664" width="9.5" style="83" bestFit="1" customWidth="1"/>
    <col min="6665" max="6911" width="9" style="83"/>
    <col min="6912" max="6912" width="4.625" style="83" customWidth="1"/>
    <col min="6913" max="6913" width="35.625" style="83" customWidth="1"/>
    <col min="6914" max="6914" width="30.625" style="83" customWidth="1"/>
    <col min="6915" max="6915" width="2.375" style="83" customWidth="1"/>
    <col min="6916" max="6916" width="10.625" style="83" customWidth="1"/>
    <col min="6917" max="6917" width="4.75" style="83" customWidth="1"/>
    <col min="6918" max="6918" width="9" style="83"/>
    <col min="6919" max="6919" width="32.75" style="83" customWidth="1"/>
    <col min="6920" max="6920" width="9.5" style="83" bestFit="1" customWidth="1"/>
    <col min="6921" max="7167" width="9" style="83"/>
    <col min="7168" max="7168" width="4.625" style="83" customWidth="1"/>
    <col min="7169" max="7169" width="35.625" style="83" customWidth="1"/>
    <col min="7170" max="7170" width="30.625" style="83" customWidth="1"/>
    <col min="7171" max="7171" width="2.375" style="83" customWidth="1"/>
    <col min="7172" max="7172" width="10.625" style="83" customWidth="1"/>
    <col min="7173" max="7173" width="4.75" style="83" customWidth="1"/>
    <col min="7174" max="7174" width="9" style="83"/>
    <col min="7175" max="7175" width="32.75" style="83" customWidth="1"/>
    <col min="7176" max="7176" width="9.5" style="83" bestFit="1" customWidth="1"/>
    <col min="7177" max="7423" width="9" style="83"/>
    <col min="7424" max="7424" width="4.625" style="83" customWidth="1"/>
    <col min="7425" max="7425" width="35.625" style="83" customWidth="1"/>
    <col min="7426" max="7426" width="30.625" style="83" customWidth="1"/>
    <col min="7427" max="7427" width="2.375" style="83" customWidth="1"/>
    <col min="7428" max="7428" width="10.625" style="83" customWidth="1"/>
    <col min="7429" max="7429" width="4.75" style="83" customWidth="1"/>
    <col min="7430" max="7430" width="9" style="83"/>
    <col min="7431" max="7431" width="32.75" style="83" customWidth="1"/>
    <col min="7432" max="7432" width="9.5" style="83" bestFit="1" customWidth="1"/>
    <col min="7433" max="7679" width="9" style="83"/>
    <col min="7680" max="7680" width="4.625" style="83" customWidth="1"/>
    <col min="7681" max="7681" width="35.625" style="83" customWidth="1"/>
    <col min="7682" max="7682" width="30.625" style="83" customWidth="1"/>
    <col min="7683" max="7683" width="2.375" style="83" customWidth="1"/>
    <col min="7684" max="7684" width="10.625" style="83" customWidth="1"/>
    <col min="7685" max="7685" width="4.75" style="83" customWidth="1"/>
    <col min="7686" max="7686" width="9" style="83"/>
    <col min="7687" max="7687" width="32.75" style="83" customWidth="1"/>
    <col min="7688" max="7688" width="9.5" style="83" bestFit="1" customWidth="1"/>
    <col min="7689" max="7935" width="9" style="83"/>
    <col min="7936" max="7936" width="4.625" style="83" customWidth="1"/>
    <col min="7937" max="7937" width="35.625" style="83" customWidth="1"/>
    <col min="7938" max="7938" width="30.625" style="83" customWidth="1"/>
    <col min="7939" max="7939" width="2.375" style="83" customWidth="1"/>
    <col min="7940" max="7940" width="10.625" style="83" customWidth="1"/>
    <col min="7941" max="7941" width="4.75" style="83" customWidth="1"/>
    <col min="7942" max="7942" width="9" style="83"/>
    <col min="7943" max="7943" width="32.75" style="83" customWidth="1"/>
    <col min="7944" max="7944" width="9.5" style="83" bestFit="1" customWidth="1"/>
    <col min="7945" max="8191" width="9" style="83"/>
    <col min="8192" max="8192" width="4.625" style="83" customWidth="1"/>
    <col min="8193" max="8193" width="35.625" style="83" customWidth="1"/>
    <col min="8194" max="8194" width="30.625" style="83" customWidth="1"/>
    <col min="8195" max="8195" width="2.375" style="83" customWidth="1"/>
    <col min="8196" max="8196" width="10.625" style="83" customWidth="1"/>
    <col min="8197" max="8197" width="4.75" style="83" customWidth="1"/>
    <col min="8198" max="8198" width="9" style="83"/>
    <col min="8199" max="8199" width="32.75" style="83" customWidth="1"/>
    <col min="8200" max="8200" width="9.5" style="83" bestFit="1" customWidth="1"/>
    <col min="8201" max="8447" width="9" style="83"/>
    <col min="8448" max="8448" width="4.625" style="83" customWidth="1"/>
    <col min="8449" max="8449" width="35.625" style="83" customWidth="1"/>
    <col min="8450" max="8450" width="30.625" style="83" customWidth="1"/>
    <col min="8451" max="8451" width="2.375" style="83" customWidth="1"/>
    <col min="8452" max="8452" width="10.625" style="83" customWidth="1"/>
    <col min="8453" max="8453" width="4.75" style="83" customWidth="1"/>
    <col min="8454" max="8454" width="9" style="83"/>
    <col min="8455" max="8455" width="32.75" style="83" customWidth="1"/>
    <col min="8456" max="8456" width="9.5" style="83" bestFit="1" customWidth="1"/>
    <col min="8457" max="8703" width="9" style="83"/>
    <col min="8704" max="8704" width="4.625" style="83" customWidth="1"/>
    <col min="8705" max="8705" width="35.625" style="83" customWidth="1"/>
    <col min="8706" max="8706" width="30.625" style="83" customWidth="1"/>
    <col min="8707" max="8707" width="2.375" style="83" customWidth="1"/>
    <col min="8708" max="8708" width="10.625" style="83" customWidth="1"/>
    <col min="8709" max="8709" width="4.75" style="83" customWidth="1"/>
    <col min="8710" max="8710" width="9" style="83"/>
    <col min="8711" max="8711" width="32.75" style="83" customWidth="1"/>
    <col min="8712" max="8712" width="9.5" style="83" bestFit="1" customWidth="1"/>
    <col min="8713" max="8959" width="9" style="83"/>
    <col min="8960" max="8960" width="4.625" style="83" customWidth="1"/>
    <col min="8961" max="8961" width="35.625" style="83" customWidth="1"/>
    <col min="8962" max="8962" width="30.625" style="83" customWidth="1"/>
    <col min="8963" max="8963" width="2.375" style="83" customWidth="1"/>
    <col min="8964" max="8964" width="10.625" style="83" customWidth="1"/>
    <col min="8965" max="8965" width="4.75" style="83" customWidth="1"/>
    <col min="8966" max="8966" width="9" style="83"/>
    <col min="8967" max="8967" width="32.75" style="83" customWidth="1"/>
    <col min="8968" max="8968" width="9.5" style="83" bestFit="1" customWidth="1"/>
    <col min="8969" max="9215" width="9" style="83"/>
    <col min="9216" max="9216" width="4.625" style="83" customWidth="1"/>
    <col min="9217" max="9217" width="35.625" style="83" customWidth="1"/>
    <col min="9218" max="9218" width="30.625" style="83" customWidth="1"/>
    <col min="9219" max="9219" width="2.375" style="83" customWidth="1"/>
    <col min="9220" max="9220" width="10.625" style="83" customWidth="1"/>
    <col min="9221" max="9221" width="4.75" style="83" customWidth="1"/>
    <col min="9222" max="9222" width="9" style="83"/>
    <col min="9223" max="9223" width="32.75" style="83" customWidth="1"/>
    <col min="9224" max="9224" width="9.5" style="83" bestFit="1" customWidth="1"/>
    <col min="9225" max="9471" width="9" style="83"/>
    <col min="9472" max="9472" width="4.625" style="83" customWidth="1"/>
    <col min="9473" max="9473" width="35.625" style="83" customWidth="1"/>
    <col min="9474" max="9474" width="30.625" style="83" customWidth="1"/>
    <col min="9475" max="9475" width="2.375" style="83" customWidth="1"/>
    <col min="9476" max="9476" width="10.625" style="83" customWidth="1"/>
    <col min="9477" max="9477" width="4.75" style="83" customWidth="1"/>
    <col min="9478" max="9478" width="9" style="83"/>
    <col min="9479" max="9479" width="32.75" style="83" customWidth="1"/>
    <col min="9480" max="9480" width="9.5" style="83" bestFit="1" customWidth="1"/>
    <col min="9481" max="9727" width="9" style="83"/>
    <col min="9728" max="9728" width="4.625" style="83" customWidth="1"/>
    <col min="9729" max="9729" width="35.625" style="83" customWidth="1"/>
    <col min="9730" max="9730" width="30.625" style="83" customWidth="1"/>
    <col min="9731" max="9731" width="2.375" style="83" customWidth="1"/>
    <col min="9732" max="9732" width="10.625" style="83" customWidth="1"/>
    <col min="9733" max="9733" width="4.75" style="83" customWidth="1"/>
    <col min="9734" max="9734" width="9" style="83"/>
    <col min="9735" max="9735" width="32.75" style="83" customWidth="1"/>
    <col min="9736" max="9736" width="9.5" style="83" bestFit="1" customWidth="1"/>
    <col min="9737" max="9983" width="9" style="83"/>
    <col min="9984" max="9984" width="4.625" style="83" customWidth="1"/>
    <col min="9985" max="9985" width="35.625" style="83" customWidth="1"/>
    <col min="9986" max="9986" width="30.625" style="83" customWidth="1"/>
    <col min="9987" max="9987" width="2.375" style="83" customWidth="1"/>
    <col min="9988" max="9988" width="10.625" style="83" customWidth="1"/>
    <col min="9989" max="9989" width="4.75" style="83" customWidth="1"/>
    <col min="9990" max="9990" width="9" style="83"/>
    <col min="9991" max="9991" width="32.75" style="83" customWidth="1"/>
    <col min="9992" max="9992" width="9.5" style="83" bestFit="1" customWidth="1"/>
    <col min="9993" max="10239" width="9" style="83"/>
    <col min="10240" max="10240" width="4.625" style="83" customWidth="1"/>
    <col min="10241" max="10241" width="35.625" style="83" customWidth="1"/>
    <col min="10242" max="10242" width="30.625" style="83" customWidth="1"/>
    <col min="10243" max="10243" width="2.375" style="83" customWidth="1"/>
    <col min="10244" max="10244" width="10.625" style="83" customWidth="1"/>
    <col min="10245" max="10245" width="4.75" style="83" customWidth="1"/>
    <col min="10246" max="10246" width="9" style="83"/>
    <col min="10247" max="10247" width="32.75" style="83" customWidth="1"/>
    <col min="10248" max="10248" width="9.5" style="83" bestFit="1" customWidth="1"/>
    <col min="10249" max="10495" width="9" style="83"/>
    <col min="10496" max="10496" width="4.625" style="83" customWidth="1"/>
    <col min="10497" max="10497" width="35.625" style="83" customWidth="1"/>
    <col min="10498" max="10498" width="30.625" style="83" customWidth="1"/>
    <col min="10499" max="10499" width="2.375" style="83" customWidth="1"/>
    <col min="10500" max="10500" width="10.625" style="83" customWidth="1"/>
    <col min="10501" max="10501" width="4.75" style="83" customWidth="1"/>
    <col min="10502" max="10502" width="9" style="83"/>
    <col min="10503" max="10503" width="32.75" style="83" customWidth="1"/>
    <col min="10504" max="10504" width="9.5" style="83" bestFit="1" customWidth="1"/>
    <col min="10505" max="10751" width="9" style="83"/>
    <col min="10752" max="10752" width="4.625" style="83" customWidth="1"/>
    <col min="10753" max="10753" width="35.625" style="83" customWidth="1"/>
    <col min="10754" max="10754" width="30.625" style="83" customWidth="1"/>
    <col min="10755" max="10755" width="2.375" style="83" customWidth="1"/>
    <col min="10756" max="10756" width="10.625" style="83" customWidth="1"/>
    <col min="10757" max="10757" width="4.75" style="83" customWidth="1"/>
    <col min="10758" max="10758" width="9" style="83"/>
    <col min="10759" max="10759" width="32.75" style="83" customWidth="1"/>
    <col min="10760" max="10760" width="9.5" style="83" bestFit="1" customWidth="1"/>
    <col min="10761" max="11007" width="9" style="83"/>
    <col min="11008" max="11008" width="4.625" style="83" customWidth="1"/>
    <col min="11009" max="11009" width="35.625" style="83" customWidth="1"/>
    <col min="11010" max="11010" width="30.625" style="83" customWidth="1"/>
    <col min="11011" max="11011" width="2.375" style="83" customWidth="1"/>
    <col min="11012" max="11012" width="10.625" style="83" customWidth="1"/>
    <col min="11013" max="11013" width="4.75" style="83" customWidth="1"/>
    <col min="11014" max="11014" width="9" style="83"/>
    <col min="11015" max="11015" width="32.75" style="83" customWidth="1"/>
    <col min="11016" max="11016" width="9.5" style="83" bestFit="1" customWidth="1"/>
    <col min="11017" max="11263" width="9" style="83"/>
    <col min="11264" max="11264" width="4.625" style="83" customWidth="1"/>
    <col min="11265" max="11265" width="35.625" style="83" customWidth="1"/>
    <col min="11266" max="11266" width="30.625" style="83" customWidth="1"/>
    <col min="11267" max="11267" width="2.375" style="83" customWidth="1"/>
    <col min="11268" max="11268" width="10.625" style="83" customWidth="1"/>
    <col min="11269" max="11269" width="4.75" style="83" customWidth="1"/>
    <col min="11270" max="11270" width="9" style="83"/>
    <col min="11271" max="11271" width="32.75" style="83" customWidth="1"/>
    <col min="11272" max="11272" width="9.5" style="83" bestFit="1" customWidth="1"/>
    <col min="11273" max="11519" width="9" style="83"/>
    <col min="11520" max="11520" width="4.625" style="83" customWidth="1"/>
    <col min="11521" max="11521" width="35.625" style="83" customWidth="1"/>
    <col min="11522" max="11522" width="30.625" style="83" customWidth="1"/>
    <col min="11523" max="11523" width="2.375" style="83" customWidth="1"/>
    <col min="11524" max="11524" width="10.625" style="83" customWidth="1"/>
    <col min="11525" max="11525" width="4.75" style="83" customWidth="1"/>
    <col min="11526" max="11526" width="9" style="83"/>
    <col min="11527" max="11527" width="32.75" style="83" customWidth="1"/>
    <col min="11528" max="11528" width="9.5" style="83" bestFit="1" customWidth="1"/>
    <col min="11529" max="11775" width="9" style="83"/>
    <col min="11776" max="11776" width="4.625" style="83" customWidth="1"/>
    <col min="11777" max="11777" width="35.625" style="83" customWidth="1"/>
    <col min="11778" max="11778" width="30.625" style="83" customWidth="1"/>
    <col min="11779" max="11779" width="2.375" style="83" customWidth="1"/>
    <col min="11780" max="11780" width="10.625" style="83" customWidth="1"/>
    <col min="11781" max="11781" width="4.75" style="83" customWidth="1"/>
    <col min="11782" max="11782" width="9" style="83"/>
    <col min="11783" max="11783" width="32.75" style="83" customWidth="1"/>
    <col min="11784" max="11784" width="9.5" style="83" bestFit="1" customWidth="1"/>
    <col min="11785" max="12031" width="9" style="83"/>
    <col min="12032" max="12032" width="4.625" style="83" customWidth="1"/>
    <col min="12033" max="12033" width="35.625" style="83" customWidth="1"/>
    <col min="12034" max="12034" width="30.625" style="83" customWidth="1"/>
    <col min="12035" max="12035" width="2.375" style="83" customWidth="1"/>
    <col min="12036" max="12036" width="10.625" style="83" customWidth="1"/>
    <col min="12037" max="12037" width="4.75" style="83" customWidth="1"/>
    <col min="12038" max="12038" width="9" style="83"/>
    <col min="12039" max="12039" width="32.75" style="83" customWidth="1"/>
    <col min="12040" max="12040" width="9.5" style="83" bestFit="1" customWidth="1"/>
    <col min="12041" max="12287" width="9" style="83"/>
    <col min="12288" max="12288" width="4.625" style="83" customWidth="1"/>
    <col min="12289" max="12289" width="35.625" style="83" customWidth="1"/>
    <col min="12290" max="12290" width="30.625" style="83" customWidth="1"/>
    <col min="12291" max="12291" width="2.375" style="83" customWidth="1"/>
    <col min="12292" max="12292" width="10.625" style="83" customWidth="1"/>
    <col min="12293" max="12293" width="4.75" style="83" customWidth="1"/>
    <col min="12294" max="12294" width="9" style="83"/>
    <col min="12295" max="12295" width="32.75" style="83" customWidth="1"/>
    <col min="12296" max="12296" width="9.5" style="83" bestFit="1" customWidth="1"/>
    <col min="12297" max="12543" width="9" style="83"/>
    <col min="12544" max="12544" width="4.625" style="83" customWidth="1"/>
    <col min="12545" max="12545" width="35.625" style="83" customWidth="1"/>
    <col min="12546" max="12546" width="30.625" style="83" customWidth="1"/>
    <col min="12547" max="12547" width="2.375" style="83" customWidth="1"/>
    <col min="12548" max="12548" width="10.625" style="83" customWidth="1"/>
    <col min="12549" max="12549" width="4.75" style="83" customWidth="1"/>
    <col min="12550" max="12550" width="9" style="83"/>
    <col min="12551" max="12551" width="32.75" style="83" customWidth="1"/>
    <col min="12552" max="12552" width="9.5" style="83" bestFit="1" customWidth="1"/>
    <col min="12553" max="12799" width="9" style="83"/>
    <col min="12800" max="12800" width="4.625" style="83" customWidth="1"/>
    <col min="12801" max="12801" width="35.625" style="83" customWidth="1"/>
    <col min="12802" max="12802" width="30.625" style="83" customWidth="1"/>
    <col min="12803" max="12803" width="2.375" style="83" customWidth="1"/>
    <col min="12804" max="12804" width="10.625" style="83" customWidth="1"/>
    <col min="12805" max="12805" width="4.75" style="83" customWidth="1"/>
    <col min="12806" max="12806" width="9" style="83"/>
    <col min="12807" max="12807" width="32.75" style="83" customWidth="1"/>
    <col min="12808" max="12808" width="9.5" style="83" bestFit="1" customWidth="1"/>
    <col min="12809" max="13055" width="9" style="83"/>
    <col min="13056" max="13056" width="4.625" style="83" customWidth="1"/>
    <col min="13057" max="13057" width="35.625" style="83" customWidth="1"/>
    <col min="13058" max="13058" width="30.625" style="83" customWidth="1"/>
    <col min="13059" max="13059" width="2.375" style="83" customWidth="1"/>
    <col min="13060" max="13060" width="10.625" style="83" customWidth="1"/>
    <col min="13061" max="13061" width="4.75" style="83" customWidth="1"/>
    <col min="13062" max="13062" width="9" style="83"/>
    <col min="13063" max="13063" width="32.75" style="83" customWidth="1"/>
    <col min="13064" max="13064" width="9.5" style="83" bestFit="1" customWidth="1"/>
    <col min="13065" max="13311" width="9" style="83"/>
    <col min="13312" max="13312" width="4.625" style="83" customWidth="1"/>
    <col min="13313" max="13313" width="35.625" style="83" customWidth="1"/>
    <col min="13314" max="13314" width="30.625" style="83" customWidth="1"/>
    <col min="13315" max="13315" width="2.375" style="83" customWidth="1"/>
    <col min="13316" max="13316" width="10.625" style="83" customWidth="1"/>
    <col min="13317" max="13317" width="4.75" style="83" customWidth="1"/>
    <col min="13318" max="13318" width="9" style="83"/>
    <col min="13319" max="13319" width="32.75" style="83" customWidth="1"/>
    <col min="13320" max="13320" width="9.5" style="83" bestFit="1" customWidth="1"/>
    <col min="13321" max="13567" width="9" style="83"/>
    <col min="13568" max="13568" width="4.625" style="83" customWidth="1"/>
    <col min="13569" max="13569" width="35.625" style="83" customWidth="1"/>
    <col min="13570" max="13570" width="30.625" style="83" customWidth="1"/>
    <col min="13571" max="13571" width="2.375" style="83" customWidth="1"/>
    <col min="13572" max="13572" width="10.625" style="83" customWidth="1"/>
    <col min="13573" max="13573" width="4.75" style="83" customWidth="1"/>
    <col min="13574" max="13574" width="9" style="83"/>
    <col min="13575" max="13575" width="32.75" style="83" customWidth="1"/>
    <col min="13576" max="13576" width="9.5" style="83" bestFit="1" customWidth="1"/>
    <col min="13577" max="13823" width="9" style="83"/>
    <col min="13824" max="13824" width="4.625" style="83" customWidth="1"/>
    <col min="13825" max="13825" width="35.625" style="83" customWidth="1"/>
    <col min="13826" max="13826" width="30.625" style="83" customWidth="1"/>
    <col min="13827" max="13827" width="2.375" style="83" customWidth="1"/>
    <col min="13828" max="13828" width="10.625" style="83" customWidth="1"/>
    <col min="13829" max="13829" width="4.75" style="83" customWidth="1"/>
    <col min="13830" max="13830" width="9" style="83"/>
    <col min="13831" max="13831" width="32.75" style="83" customWidth="1"/>
    <col min="13832" max="13832" width="9.5" style="83" bestFit="1" customWidth="1"/>
    <col min="13833" max="14079" width="9" style="83"/>
    <col min="14080" max="14080" width="4.625" style="83" customWidth="1"/>
    <col min="14081" max="14081" width="35.625" style="83" customWidth="1"/>
    <col min="14082" max="14082" width="30.625" style="83" customWidth="1"/>
    <col min="14083" max="14083" width="2.375" style="83" customWidth="1"/>
    <col min="14084" max="14084" width="10.625" style="83" customWidth="1"/>
    <col min="14085" max="14085" width="4.75" style="83" customWidth="1"/>
    <col min="14086" max="14086" width="9" style="83"/>
    <col min="14087" max="14087" width="32.75" style="83" customWidth="1"/>
    <col min="14088" max="14088" width="9.5" style="83" bestFit="1" customWidth="1"/>
    <col min="14089" max="14335" width="9" style="83"/>
    <col min="14336" max="14336" width="4.625" style="83" customWidth="1"/>
    <col min="14337" max="14337" width="35.625" style="83" customWidth="1"/>
    <col min="14338" max="14338" width="30.625" style="83" customWidth="1"/>
    <col min="14339" max="14339" width="2.375" style="83" customWidth="1"/>
    <col min="14340" max="14340" width="10.625" style="83" customWidth="1"/>
    <col min="14341" max="14341" width="4.75" style="83" customWidth="1"/>
    <col min="14342" max="14342" width="9" style="83"/>
    <col min="14343" max="14343" width="32.75" style="83" customWidth="1"/>
    <col min="14344" max="14344" width="9.5" style="83" bestFit="1" customWidth="1"/>
    <col min="14345" max="14591" width="9" style="83"/>
    <col min="14592" max="14592" width="4.625" style="83" customWidth="1"/>
    <col min="14593" max="14593" width="35.625" style="83" customWidth="1"/>
    <col min="14594" max="14594" width="30.625" style="83" customWidth="1"/>
    <col min="14595" max="14595" width="2.375" style="83" customWidth="1"/>
    <col min="14596" max="14596" width="10.625" style="83" customWidth="1"/>
    <col min="14597" max="14597" width="4.75" style="83" customWidth="1"/>
    <col min="14598" max="14598" width="9" style="83"/>
    <col min="14599" max="14599" width="32.75" style="83" customWidth="1"/>
    <col min="14600" max="14600" width="9.5" style="83" bestFit="1" customWidth="1"/>
    <col min="14601" max="14847" width="9" style="83"/>
    <col min="14848" max="14848" width="4.625" style="83" customWidth="1"/>
    <col min="14849" max="14849" width="35.625" style="83" customWidth="1"/>
    <col min="14850" max="14850" width="30.625" style="83" customWidth="1"/>
    <col min="14851" max="14851" width="2.375" style="83" customWidth="1"/>
    <col min="14852" max="14852" width="10.625" style="83" customWidth="1"/>
    <col min="14853" max="14853" width="4.75" style="83" customWidth="1"/>
    <col min="14854" max="14854" width="9" style="83"/>
    <col min="14855" max="14855" width="32.75" style="83" customWidth="1"/>
    <col min="14856" max="14856" width="9.5" style="83" bestFit="1" customWidth="1"/>
    <col min="14857" max="15103" width="9" style="83"/>
    <col min="15104" max="15104" width="4.625" style="83" customWidth="1"/>
    <col min="15105" max="15105" width="35.625" style="83" customWidth="1"/>
    <col min="15106" max="15106" width="30.625" style="83" customWidth="1"/>
    <col min="15107" max="15107" width="2.375" style="83" customWidth="1"/>
    <col min="15108" max="15108" width="10.625" style="83" customWidth="1"/>
    <col min="15109" max="15109" width="4.75" style="83" customWidth="1"/>
    <col min="15110" max="15110" width="9" style="83"/>
    <col min="15111" max="15111" width="32.75" style="83" customWidth="1"/>
    <col min="15112" max="15112" width="9.5" style="83" bestFit="1" customWidth="1"/>
    <col min="15113" max="15359" width="9" style="83"/>
    <col min="15360" max="15360" width="4.625" style="83" customWidth="1"/>
    <col min="15361" max="15361" width="35.625" style="83" customWidth="1"/>
    <col min="15362" max="15362" width="30.625" style="83" customWidth="1"/>
    <col min="15363" max="15363" width="2.375" style="83" customWidth="1"/>
    <col min="15364" max="15364" width="10.625" style="83" customWidth="1"/>
    <col min="15365" max="15365" width="4.75" style="83" customWidth="1"/>
    <col min="15366" max="15366" width="9" style="83"/>
    <col min="15367" max="15367" width="32.75" style="83" customWidth="1"/>
    <col min="15368" max="15368" width="9.5" style="83" bestFit="1" customWidth="1"/>
    <col min="15369" max="15615" width="9" style="83"/>
    <col min="15616" max="15616" width="4.625" style="83" customWidth="1"/>
    <col min="15617" max="15617" width="35.625" style="83" customWidth="1"/>
    <col min="15618" max="15618" width="30.625" style="83" customWidth="1"/>
    <col min="15619" max="15619" width="2.375" style="83" customWidth="1"/>
    <col min="15620" max="15620" width="10.625" style="83" customWidth="1"/>
    <col min="15621" max="15621" width="4.75" style="83" customWidth="1"/>
    <col min="15622" max="15622" width="9" style="83"/>
    <col min="15623" max="15623" width="32.75" style="83" customWidth="1"/>
    <col min="15624" max="15624" width="9.5" style="83" bestFit="1" customWidth="1"/>
    <col min="15625" max="15871" width="9" style="83"/>
    <col min="15872" max="15872" width="4.625" style="83" customWidth="1"/>
    <col min="15873" max="15873" width="35.625" style="83" customWidth="1"/>
    <col min="15874" max="15874" width="30.625" style="83" customWidth="1"/>
    <col min="15875" max="15875" width="2.375" style="83" customWidth="1"/>
    <col min="15876" max="15876" width="10.625" style="83" customWidth="1"/>
    <col min="15877" max="15877" width="4.75" style="83" customWidth="1"/>
    <col min="15878" max="15878" width="9" style="83"/>
    <col min="15879" max="15879" width="32.75" style="83" customWidth="1"/>
    <col min="15880" max="15880" width="9.5" style="83" bestFit="1" customWidth="1"/>
    <col min="15881" max="16127" width="9" style="83"/>
    <col min="16128" max="16128" width="4.625" style="83" customWidth="1"/>
    <col min="16129" max="16129" width="35.625" style="83" customWidth="1"/>
    <col min="16130" max="16130" width="30.625" style="83" customWidth="1"/>
    <col min="16131" max="16131" width="2.375" style="83" customWidth="1"/>
    <col min="16132" max="16132" width="10.625" style="83" customWidth="1"/>
    <col min="16133" max="16133" width="4.75" style="83" customWidth="1"/>
    <col min="16134" max="16134" width="9" style="83"/>
    <col min="16135" max="16135" width="32.75" style="83" customWidth="1"/>
    <col min="16136" max="16136" width="9.5" style="83" bestFit="1" customWidth="1"/>
    <col min="16137" max="16384" width="9" style="83"/>
  </cols>
  <sheetData>
    <row r="1" spans="1:7" ht="16.5" customHeight="1">
      <c r="A1" s="253" t="str">
        <f>數量計算總表!A1</f>
        <v>OOO單位</v>
      </c>
      <c r="B1" s="253"/>
      <c r="C1" s="253"/>
      <c r="D1" s="253"/>
      <c r="E1" s="253"/>
      <c r="F1" s="253"/>
    </row>
    <row r="2" spans="1:7">
      <c r="A2" s="253"/>
      <c r="B2" s="253"/>
      <c r="C2" s="253"/>
      <c r="D2" s="253"/>
      <c r="E2" s="253"/>
      <c r="F2" s="253"/>
    </row>
    <row r="3" spans="1:7" ht="24.95" customHeight="1">
      <c r="A3" s="254" t="s">
        <v>173</v>
      </c>
      <c r="B3" s="254"/>
      <c r="C3" s="254"/>
      <c r="D3" s="254"/>
      <c r="E3" s="254"/>
      <c r="F3" s="254"/>
    </row>
    <row r="4" spans="1:7" s="84" customFormat="1" ht="24.95" customHeight="1">
      <c r="A4" s="255" t="str">
        <f>數量計算總表!A4</f>
        <v>工程名稱：OOOO工程</v>
      </c>
      <c r="B4" s="255"/>
      <c r="C4" s="255"/>
      <c r="D4" s="255"/>
      <c r="E4" s="255"/>
      <c r="F4" s="256"/>
    </row>
    <row r="5" spans="1:7" ht="19.5" customHeight="1">
      <c r="A5" s="85" t="s">
        <v>174</v>
      </c>
      <c r="B5" s="85" t="s">
        <v>175</v>
      </c>
      <c r="C5" s="86" t="s">
        <v>176</v>
      </c>
      <c r="D5" s="85"/>
      <c r="E5" s="87" t="s">
        <v>177</v>
      </c>
      <c r="F5" s="85" t="s">
        <v>178</v>
      </c>
      <c r="G5" s="239" t="s">
        <v>547</v>
      </c>
    </row>
    <row r="6" spans="1:7" ht="19.5" customHeight="1">
      <c r="A6" s="177" t="s">
        <v>242</v>
      </c>
      <c r="B6" s="139" t="s">
        <v>218</v>
      </c>
      <c r="C6" s="86"/>
      <c r="D6" s="85"/>
      <c r="E6" s="87"/>
      <c r="F6" s="138"/>
    </row>
    <row r="7" spans="1:7" ht="24.75" customHeight="1">
      <c r="A7" s="88">
        <v>1</v>
      </c>
      <c r="B7" s="89" t="s">
        <v>314</v>
      </c>
      <c r="C7" s="90" t="s">
        <v>186</v>
      </c>
      <c r="D7" s="91"/>
      <c r="E7" s="92" t="str" cm="1">
        <f t="array" ref="E7">IF(ISBLANK(C7),"",IFERROR(eValue(C7),IF(ISBLANK(G7),"",G7)))</f>
        <v/>
      </c>
      <c r="F7" s="226" t="s">
        <v>142</v>
      </c>
    </row>
    <row r="8" spans="1:7" ht="19.5" customHeight="1">
      <c r="A8" s="94" t="s">
        <v>9</v>
      </c>
      <c r="B8" s="100" t="s">
        <v>230</v>
      </c>
      <c r="C8" s="96">
        <v>178</v>
      </c>
      <c r="D8" s="97" t="s">
        <v>180</v>
      </c>
      <c r="E8" s="98" cm="1">
        <f t="array" ref="E8">IF(ISBLANK(C8),"",IFERROR(eValue(C8),IF(ISBLANK(G8),"",G8)))</f>
        <v>178</v>
      </c>
      <c r="F8" s="97" t="s">
        <v>14</v>
      </c>
    </row>
    <row r="9" spans="1:7" ht="19.5" customHeight="1">
      <c r="A9" s="94" t="s">
        <v>10</v>
      </c>
      <c r="B9" s="100" t="s">
        <v>229</v>
      </c>
      <c r="C9" s="96">
        <v>144</v>
      </c>
      <c r="D9" s="97" t="s">
        <v>180</v>
      </c>
      <c r="E9" s="98" cm="1">
        <f t="array" ref="E9">IF(ISBLANK(C9),"",IFERROR(eValue(C9),IF(ISBLANK(G9),"",G9)))</f>
        <v>144</v>
      </c>
      <c r="F9" s="97" t="s">
        <v>14</v>
      </c>
    </row>
    <row r="10" spans="1:7" ht="19.5" customHeight="1">
      <c r="A10" s="94" t="s">
        <v>7</v>
      </c>
      <c r="B10" s="206" t="s">
        <v>343</v>
      </c>
      <c r="C10" s="96">
        <v>228.46</v>
      </c>
      <c r="D10" s="97" t="s">
        <v>180</v>
      </c>
      <c r="E10" s="98" cm="1">
        <f t="array" ref="E10">IF(ISBLANK(C10),"",IFERROR(eValue(C10),IF(ISBLANK(G10),"",G10)))</f>
        <v>228.46</v>
      </c>
      <c r="F10" s="97" t="s">
        <v>13</v>
      </c>
    </row>
    <row r="11" spans="1:7" ht="19.5" customHeight="1">
      <c r="A11" s="94" t="s">
        <v>8</v>
      </c>
      <c r="B11" s="100" t="s">
        <v>498</v>
      </c>
      <c r="C11" s="99">
        <v>3822</v>
      </c>
      <c r="D11" s="97" t="s">
        <v>180</v>
      </c>
      <c r="E11" s="98" cm="1">
        <f t="array" ref="E11">IF(ISBLANK(C11),"",IFERROR(eValue(C11),IF(ISBLANK(G11),"",G11)))</f>
        <v>3822</v>
      </c>
      <c r="F11" s="97" t="s">
        <v>12</v>
      </c>
    </row>
    <row r="12" spans="1:7" ht="19.5" customHeight="1">
      <c r="A12" s="94" t="s">
        <v>31</v>
      </c>
      <c r="B12" s="100" t="s">
        <v>502</v>
      </c>
      <c r="C12" s="99">
        <v>14262.2</v>
      </c>
      <c r="D12" s="97" t="s">
        <v>180</v>
      </c>
      <c r="E12" s="98" cm="1">
        <f t="array" ref="E12">IF(ISBLANK(C12),"",IFERROR(eValue(C12),IF(ISBLANK(G12),"",G12)))</f>
        <v>14262.2</v>
      </c>
      <c r="F12" s="97" t="s">
        <v>12</v>
      </c>
    </row>
    <row r="13" spans="1:7" ht="19.5" customHeight="1">
      <c r="A13" s="94" t="s">
        <v>69</v>
      </c>
      <c r="B13" s="95" t="s">
        <v>187</v>
      </c>
      <c r="C13" s="96">
        <v>254.52</v>
      </c>
      <c r="D13" s="97" t="s">
        <v>180</v>
      </c>
      <c r="E13" s="98" cm="1">
        <f t="array" ref="E13">IF(ISBLANK(C13),"",IFERROR(eValue(C13),IF(ISBLANK(G13),"",G13)))</f>
        <v>254.52</v>
      </c>
      <c r="F13" s="97" t="s">
        <v>14</v>
      </c>
    </row>
    <row r="14" spans="1:7" ht="19.5" customHeight="1">
      <c r="A14" s="94" t="s">
        <v>70</v>
      </c>
      <c r="B14" s="95" t="s">
        <v>181</v>
      </c>
      <c r="C14" s="96">
        <v>7.38</v>
      </c>
      <c r="D14" s="97" t="s">
        <v>180</v>
      </c>
      <c r="E14" s="98" cm="1">
        <f t="array" ref="E14">IF(ISBLANK(C14),"",IFERROR(eValue(C14),IF(ISBLANK(G14),"",G14)))</f>
        <v>7.38</v>
      </c>
      <c r="F14" s="97" t="s">
        <v>14</v>
      </c>
    </row>
    <row r="15" spans="1:7" ht="19.5" customHeight="1">
      <c r="A15" s="94" t="s">
        <v>71</v>
      </c>
      <c r="B15" s="178" t="s">
        <v>256</v>
      </c>
      <c r="C15" s="101">
        <v>4</v>
      </c>
      <c r="D15" s="97" t="s">
        <v>180</v>
      </c>
      <c r="E15" s="98" cm="1">
        <f t="array" ref="E15">IF(ISBLANK(C15),"",IFERROR(eValue(C15),IF(ISBLANK(G15),"",G15)))</f>
        <v>4</v>
      </c>
      <c r="F15" s="103" t="s">
        <v>183</v>
      </c>
    </row>
    <row r="16" spans="1:7" ht="19.5" customHeight="1">
      <c r="A16" s="94" t="s">
        <v>315</v>
      </c>
      <c r="B16" s="113" t="s">
        <v>345</v>
      </c>
      <c r="C16" s="101">
        <v>4</v>
      </c>
      <c r="D16" s="97" t="s">
        <v>180</v>
      </c>
      <c r="E16" s="98" cm="1">
        <f t="array" ref="E16">IF(ISBLANK(C16),"",IFERROR(eValue(C16),IF(ISBLANK(G16),"",G16)))</f>
        <v>4</v>
      </c>
      <c r="F16" s="103" t="s">
        <v>183</v>
      </c>
    </row>
    <row r="17" spans="1:6" ht="19.5" customHeight="1">
      <c r="A17" s="94"/>
      <c r="B17" s="100"/>
      <c r="C17" s="96"/>
      <c r="D17" s="97"/>
      <c r="E17" s="98" t="str" cm="1">
        <f t="array" ref="E17">IF(ISBLANK(C17),"",IFERROR(eValue(C17),IF(ISBLANK(G17),"",G17)))</f>
        <v/>
      </c>
      <c r="F17" s="121"/>
    </row>
    <row r="18" spans="1:6" ht="24.75" customHeight="1">
      <c r="A18" s="88">
        <v>2</v>
      </c>
      <c r="B18" s="89" t="s">
        <v>188</v>
      </c>
      <c r="C18" s="90" t="s">
        <v>189</v>
      </c>
      <c r="D18" s="91"/>
      <c r="E18" s="92" t="str" cm="1">
        <f t="array" ref="E18">IF(ISBLANK(C18),"",IFERROR(eValue(C18),IF(ISBLANK(G18),"",G18)))</f>
        <v/>
      </c>
      <c r="F18" s="226" t="s">
        <v>142</v>
      </c>
    </row>
    <row r="19" spans="1:6" ht="19.5" customHeight="1">
      <c r="A19" s="94" t="s">
        <v>9</v>
      </c>
      <c r="B19" s="100" t="s">
        <v>230</v>
      </c>
      <c r="C19" s="96">
        <v>232.04</v>
      </c>
      <c r="D19" s="97" t="s">
        <v>180</v>
      </c>
      <c r="E19" s="98" cm="1">
        <f t="array" ref="E19">IF(ISBLANK(C19),"",IFERROR(eValue(C19),IF(ISBLANK(G19),"",G19)))</f>
        <v>232.04</v>
      </c>
      <c r="F19" s="97" t="s">
        <v>14</v>
      </c>
    </row>
    <row r="20" spans="1:6" ht="19.5" customHeight="1">
      <c r="A20" s="94" t="s">
        <v>10</v>
      </c>
      <c r="B20" s="100" t="s">
        <v>229</v>
      </c>
      <c r="C20" s="96">
        <v>66.540000000000006</v>
      </c>
      <c r="D20" s="97" t="s">
        <v>180</v>
      </c>
      <c r="E20" s="98" cm="1">
        <f t="array" ref="E20">IF(ISBLANK(C20),"",IFERROR(eValue(C20),IF(ISBLANK(G20),"",G20)))</f>
        <v>66.540000000000006</v>
      </c>
      <c r="F20" s="97" t="s">
        <v>14</v>
      </c>
    </row>
    <row r="21" spans="1:6" ht="19.5" customHeight="1">
      <c r="A21" s="94" t="s">
        <v>7</v>
      </c>
      <c r="B21" s="206" t="s">
        <v>344</v>
      </c>
      <c r="C21" s="96">
        <v>126.48</v>
      </c>
      <c r="D21" s="97" t="s">
        <v>180</v>
      </c>
      <c r="E21" s="98" cm="1">
        <f t="array" ref="E21">IF(ISBLANK(C21),"",IFERROR(eValue(C21),IF(ISBLANK(G21),"",G21)))</f>
        <v>126.48</v>
      </c>
      <c r="F21" s="97" t="s">
        <v>13</v>
      </c>
    </row>
    <row r="22" spans="1:6" ht="19.5" customHeight="1">
      <c r="A22" s="94" t="s">
        <v>8</v>
      </c>
      <c r="B22" s="113" t="s">
        <v>191</v>
      </c>
      <c r="C22" s="96">
        <v>82.14</v>
      </c>
      <c r="D22" s="97" t="s">
        <v>180</v>
      </c>
      <c r="E22" s="98" cm="1">
        <f t="array" ref="E22">IF(ISBLANK(C22),"",IFERROR(eValue(C22),IF(ISBLANK(G22),"",G22)))</f>
        <v>82.14</v>
      </c>
      <c r="F22" s="97" t="s">
        <v>13</v>
      </c>
    </row>
    <row r="23" spans="1:6" ht="19.5" customHeight="1">
      <c r="A23" s="94" t="s">
        <v>31</v>
      </c>
      <c r="B23" s="120" t="s">
        <v>499</v>
      </c>
      <c r="C23" s="99">
        <v>3469.29</v>
      </c>
      <c r="D23" s="97" t="s">
        <v>180</v>
      </c>
      <c r="E23" s="98" cm="1">
        <f t="array" ref="E23">IF(ISBLANK(C23),"",IFERROR(eValue(C23),IF(ISBLANK(G23),"",G23)))</f>
        <v>3469.29</v>
      </c>
      <c r="F23" s="97" t="s">
        <v>12</v>
      </c>
    </row>
    <row r="24" spans="1:6" ht="19.5" customHeight="1">
      <c r="A24" s="94" t="s">
        <v>69</v>
      </c>
      <c r="B24" s="100" t="s">
        <v>503</v>
      </c>
      <c r="C24" s="99">
        <v>32381.59</v>
      </c>
      <c r="D24" s="97" t="s">
        <v>180</v>
      </c>
      <c r="E24" s="98" cm="1">
        <f t="array" ref="E24">IF(ISBLANK(C24),"",IFERROR(eValue(C24),IF(ISBLANK(G24),"",G24)))</f>
        <v>32381.59</v>
      </c>
      <c r="F24" s="97" t="s">
        <v>12</v>
      </c>
    </row>
    <row r="25" spans="1:6" ht="19.5" customHeight="1">
      <c r="A25" s="94" t="s">
        <v>70</v>
      </c>
      <c r="B25" s="95" t="s">
        <v>415</v>
      </c>
      <c r="C25" s="96">
        <v>251.22</v>
      </c>
      <c r="D25" s="97" t="s">
        <v>180</v>
      </c>
      <c r="E25" s="98" cm="1">
        <f t="array" ref="E25">IF(ISBLANK(C25),"",IFERROR(eValue(C25),IF(ISBLANK(G25),"",G25)))</f>
        <v>251.22</v>
      </c>
      <c r="F25" s="97" t="s">
        <v>14</v>
      </c>
    </row>
    <row r="26" spans="1:6" ht="19.5" customHeight="1">
      <c r="A26" s="94" t="s">
        <v>71</v>
      </c>
      <c r="B26" s="95" t="s">
        <v>181</v>
      </c>
      <c r="C26" s="96">
        <v>8.4600000000000009</v>
      </c>
      <c r="D26" s="97" t="s">
        <v>180</v>
      </c>
      <c r="E26" s="98" cm="1">
        <f t="array" ref="E26">IF(ISBLANK(C26),"",IFERROR(eValue(C26),IF(ISBLANK(G26),"",G26)))</f>
        <v>8.4600000000000009</v>
      </c>
      <c r="F26" s="97" t="s">
        <v>14</v>
      </c>
    </row>
    <row r="27" spans="1:6" ht="19.5" customHeight="1">
      <c r="A27" s="94" t="s">
        <v>315</v>
      </c>
      <c r="B27" s="178" t="s">
        <v>256</v>
      </c>
      <c r="C27" s="101">
        <v>4</v>
      </c>
      <c r="D27" s="97" t="s">
        <v>180</v>
      </c>
      <c r="E27" s="98" cm="1">
        <f t="array" ref="E27">IF(ISBLANK(C27),"",IFERROR(eValue(C27),IF(ISBLANK(G27),"",G27)))</f>
        <v>4</v>
      </c>
      <c r="F27" s="103" t="s">
        <v>183</v>
      </c>
    </row>
    <row r="28" spans="1:6" ht="19.5" customHeight="1">
      <c r="A28" s="94" t="s">
        <v>337</v>
      </c>
      <c r="B28" s="113" t="s">
        <v>346</v>
      </c>
      <c r="C28" s="101">
        <v>8</v>
      </c>
      <c r="D28" s="97" t="s">
        <v>180</v>
      </c>
      <c r="E28" s="98" cm="1">
        <f t="array" ref="E28">IF(ISBLANK(C28),"",IFERROR(eValue(C28),IF(ISBLANK(G28),"",G28)))</f>
        <v>8</v>
      </c>
      <c r="F28" s="103" t="s">
        <v>183</v>
      </c>
    </row>
    <row r="29" spans="1:6" ht="19.5" customHeight="1">
      <c r="A29" s="94"/>
      <c r="B29" s="100"/>
      <c r="C29" s="96"/>
      <c r="D29" s="97"/>
      <c r="E29" s="98" t="str" cm="1">
        <f t="array" ref="E29">IF(ISBLANK(C29),"",IFERROR(eValue(C29),IF(ISBLANK(G29),"",G29)))</f>
        <v/>
      </c>
      <c r="F29" s="97"/>
    </row>
    <row r="30" spans="1:6" ht="19.5" customHeight="1">
      <c r="A30" s="88">
        <v>3</v>
      </c>
      <c r="B30" s="89" t="s">
        <v>192</v>
      </c>
      <c r="C30" s="114" t="s">
        <v>186</v>
      </c>
      <c r="D30" s="91"/>
      <c r="E30" s="92" t="str" cm="1">
        <f t="array" ref="E30">IF(ISBLANK(C30),"",IFERROR(eValue(C30),IF(ISBLANK(G30),"",G30)))</f>
        <v/>
      </c>
      <c r="F30" s="235" t="s">
        <v>142</v>
      </c>
    </row>
    <row r="31" spans="1:6" ht="19.5" customHeight="1">
      <c r="A31" s="94" t="s">
        <v>9</v>
      </c>
      <c r="B31" s="95" t="s">
        <v>184</v>
      </c>
      <c r="C31" s="96">
        <v>2414.39</v>
      </c>
      <c r="D31" s="97" t="s">
        <v>180</v>
      </c>
      <c r="E31" s="98" cm="1">
        <f t="array" ref="E31">IF(ISBLANK(C31),"",IFERROR(eValue(C31),IF(ISBLANK(G31),"",G31)))</f>
        <v>2414.39</v>
      </c>
      <c r="F31" s="97" t="s">
        <v>13</v>
      </c>
    </row>
    <row r="32" spans="1:6" ht="19.5" customHeight="1">
      <c r="A32" s="94" t="s">
        <v>10</v>
      </c>
      <c r="B32" s="120" t="s">
        <v>499</v>
      </c>
      <c r="C32" s="106">
        <v>40615.19</v>
      </c>
      <c r="D32" s="97" t="s">
        <v>180</v>
      </c>
      <c r="E32" s="98" cm="1">
        <f t="array" ref="E32">IF(ISBLANK(C32),"",IFERROR(eValue(C32),IF(ISBLANK(G32),"",G32)))</f>
        <v>40615.19</v>
      </c>
      <c r="F32" s="97" t="s">
        <v>12</v>
      </c>
    </row>
    <row r="33" spans="1:6" ht="19.5" customHeight="1">
      <c r="A33" s="94" t="s">
        <v>7</v>
      </c>
      <c r="B33" s="95" t="s">
        <v>187</v>
      </c>
      <c r="C33" s="96">
        <v>415.61</v>
      </c>
      <c r="D33" s="97" t="s">
        <v>180</v>
      </c>
      <c r="E33" s="98" cm="1">
        <f t="array" ref="E33">IF(ISBLANK(C33),"",IFERROR(eValue(C33),IF(ISBLANK(G33),"",G33)))</f>
        <v>415.61</v>
      </c>
      <c r="F33" s="97" t="s">
        <v>14</v>
      </c>
    </row>
    <row r="34" spans="1:6" ht="19.5" customHeight="1">
      <c r="A34" s="94" t="s">
        <v>8</v>
      </c>
      <c r="B34" s="179" t="s">
        <v>393</v>
      </c>
      <c r="C34" s="96" t="s">
        <v>327</v>
      </c>
      <c r="D34" s="97" t="s">
        <v>180</v>
      </c>
      <c r="E34" s="98" cm="1">
        <f t="array" ref="E34">IF(ISBLANK(C34),"",IFERROR(eValue(C34),IF(ISBLANK(G34),"",G34)))</f>
        <v>50</v>
      </c>
      <c r="F34" s="209" t="s">
        <v>392</v>
      </c>
    </row>
    <row r="35" spans="1:6" ht="20.100000000000001" customHeight="1">
      <c r="A35" s="94" t="s">
        <v>31</v>
      </c>
      <c r="B35" s="178" t="s">
        <v>250</v>
      </c>
      <c r="C35" s="104" t="s">
        <v>328</v>
      </c>
      <c r="D35" s="97" t="s">
        <v>180</v>
      </c>
      <c r="E35" s="98" cm="1">
        <f t="array" ref="E35">IF(ISBLANK(C35),"",IFERROR(eValue(C35),IF(ISBLANK(G35),"",G35)))</f>
        <v>18</v>
      </c>
      <c r="F35" s="103" t="s">
        <v>57</v>
      </c>
    </row>
    <row r="36" spans="1:6" ht="19.5" customHeight="1">
      <c r="A36" s="94" t="s">
        <v>69</v>
      </c>
      <c r="B36" s="115" t="s">
        <v>252</v>
      </c>
      <c r="C36" s="104">
        <v>2</v>
      </c>
      <c r="D36" s="97" t="s">
        <v>180</v>
      </c>
      <c r="E36" s="98" cm="1">
        <f t="array" ref="E36">IF(ISBLANK(C36),"",IFERROR(eValue(C36),IF(ISBLANK(G36),"",G36)))</f>
        <v>2</v>
      </c>
      <c r="F36" s="116" t="s">
        <v>79</v>
      </c>
    </row>
    <row r="37" spans="1:6" ht="19.5" customHeight="1">
      <c r="A37" s="94" t="s">
        <v>70</v>
      </c>
      <c r="B37" s="115" t="s">
        <v>253</v>
      </c>
      <c r="C37" s="104" t="s">
        <v>329</v>
      </c>
      <c r="D37" s="97" t="s">
        <v>180</v>
      </c>
      <c r="E37" s="98" cm="1">
        <f t="array" ref="E37">IF(ISBLANK(C37),"",IFERROR(eValue(C37),IF(ISBLANK(G37),"",G37)))</f>
        <v>250</v>
      </c>
      <c r="F37" s="103" t="s">
        <v>57</v>
      </c>
    </row>
    <row r="38" spans="1:6" ht="19.5" customHeight="1">
      <c r="A38" s="94"/>
      <c r="B38" s="95"/>
      <c r="C38" s="106"/>
      <c r="D38" s="97"/>
      <c r="E38" s="98" t="str" cm="1">
        <f t="array" ref="E38">IF(ISBLANK(C38),"",IFERROR(eValue(C38),IF(ISBLANK(G38),"",G38)))</f>
        <v/>
      </c>
      <c r="F38" s="97"/>
    </row>
    <row r="39" spans="1:6" ht="52.5" customHeight="1">
      <c r="A39" s="88">
        <v>4</v>
      </c>
      <c r="B39" s="107" t="s">
        <v>317</v>
      </c>
      <c r="C39" s="90" t="s">
        <v>193</v>
      </c>
      <c r="D39" s="91"/>
      <c r="E39" s="92" t="str" cm="1">
        <f t="array" ref="E39">IF(ISBLANK(C39),"",IFERROR(eValue(C39),IF(ISBLANK(G39),"",G39)))</f>
        <v/>
      </c>
      <c r="F39" s="235" t="s">
        <v>544</v>
      </c>
    </row>
    <row r="40" spans="1:6" ht="19.5" customHeight="1">
      <c r="A40" s="94" t="s">
        <v>9</v>
      </c>
      <c r="B40" s="178" t="s">
        <v>237</v>
      </c>
      <c r="C40" s="96">
        <v>0.96</v>
      </c>
      <c r="D40" s="97" t="s">
        <v>180</v>
      </c>
      <c r="E40" s="98" cm="1">
        <f t="array" ref="E40">IF(ISBLANK(C40),"",IFERROR(eValue(C40),IF(ISBLANK(G40),"",G40)))</f>
        <v>0.96</v>
      </c>
      <c r="F40" s="97" t="s">
        <v>13</v>
      </c>
    </row>
    <row r="41" spans="1:6" ht="19.5" customHeight="1">
      <c r="A41" s="94" t="s">
        <v>10</v>
      </c>
      <c r="B41" s="100" t="s">
        <v>500</v>
      </c>
      <c r="C41" s="99">
        <v>28.19</v>
      </c>
      <c r="D41" s="97" t="s">
        <v>180</v>
      </c>
      <c r="E41" s="98" cm="1">
        <f t="array" ref="E41">IF(ISBLANK(C41),"",IFERROR(eValue(C41),IF(ISBLANK(G41),"",G41)))</f>
        <v>28.19</v>
      </c>
      <c r="F41" s="97" t="s">
        <v>12</v>
      </c>
    </row>
    <row r="42" spans="1:6" ht="19.5" customHeight="1">
      <c r="A42" s="94" t="s">
        <v>7</v>
      </c>
      <c r="B42" s="95" t="s">
        <v>190</v>
      </c>
      <c r="C42" s="96">
        <v>0.14000000000000001</v>
      </c>
      <c r="D42" s="97" t="s">
        <v>180</v>
      </c>
      <c r="E42" s="98" cm="1">
        <f t="array" ref="E42">IF(ISBLANK(C42),"",IFERROR(eValue(C42),IF(ISBLANK(G42),"",G42)))</f>
        <v>0.14000000000000001</v>
      </c>
      <c r="F42" s="97" t="s">
        <v>14</v>
      </c>
    </row>
    <row r="43" spans="1:6" ht="19.5" customHeight="1">
      <c r="A43" s="94"/>
      <c r="B43" s="95"/>
      <c r="C43" s="106"/>
      <c r="D43" s="97"/>
      <c r="E43" s="98" t="str" cm="1">
        <f t="array" ref="E43">IF(ISBLANK(C43),"",IFERROR(eValue(C43),IF(ISBLANK(G43),"",G43)))</f>
        <v/>
      </c>
      <c r="F43" s="97"/>
    </row>
    <row r="44" spans="1:6" ht="52.5" customHeight="1">
      <c r="A44" s="88">
        <v>5</v>
      </c>
      <c r="B44" s="107" t="s">
        <v>318</v>
      </c>
      <c r="C44" s="90" t="s">
        <v>194</v>
      </c>
      <c r="D44" s="91"/>
      <c r="E44" s="92" t="str" cm="1">
        <f t="array" ref="E44">IF(ISBLANK(C44),"",IFERROR(eValue(C44),IF(ISBLANK(G44),"",G44)))</f>
        <v/>
      </c>
      <c r="F44" s="235" t="s">
        <v>544</v>
      </c>
    </row>
    <row r="45" spans="1:6" ht="19.5" customHeight="1">
      <c r="A45" s="94" t="s">
        <v>9</v>
      </c>
      <c r="B45" s="95" t="s">
        <v>179</v>
      </c>
      <c r="C45" s="96">
        <v>1.2</v>
      </c>
      <c r="D45" s="97" t="s">
        <v>180</v>
      </c>
      <c r="E45" s="98" cm="1">
        <f t="array" ref="E45">IF(ISBLANK(C45),"",IFERROR(eValue(C45),IF(ISBLANK(G45),"",G45)))</f>
        <v>1.2</v>
      </c>
      <c r="F45" s="97" t="s">
        <v>13</v>
      </c>
    </row>
    <row r="46" spans="1:6" ht="19.5" customHeight="1">
      <c r="A46" s="94" t="s">
        <v>10</v>
      </c>
      <c r="B46" s="100" t="s">
        <v>500</v>
      </c>
      <c r="C46" s="99">
        <v>54.21</v>
      </c>
      <c r="D46" s="97" t="s">
        <v>180</v>
      </c>
      <c r="E46" s="98" cm="1">
        <f t="array" ref="E46">IF(ISBLANK(C46),"",IFERROR(eValue(C46),IF(ISBLANK(G46),"",G46)))</f>
        <v>54.21</v>
      </c>
      <c r="F46" s="97" t="s">
        <v>12</v>
      </c>
    </row>
    <row r="47" spans="1:6" ht="19.5" customHeight="1">
      <c r="A47" s="94" t="s">
        <v>7</v>
      </c>
      <c r="B47" s="95" t="s">
        <v>190</v>
      </c>
      <c r="C47" s="96">
        <v>0.25</v>
      </c>
      <c r="D47" s="97" t="s">
        <v>180</v>
      </c>
      <c r="E47" s="98" cm="1">
        <f t="array" ref="E47">IF(ISBLANK(C47),"",IFERROR(eValue(C47),IF(ISBLANK(G47),"",G47)))</f>
        <v>0.25</v>
      </c>
      <c r="F47" s="97" t="s">
        <v>14</v>
      </c>
    </row>
    <row r="48" spans="1:6" ht="19.5" customHeight="1">
      <c r="A48" s="94"/>
      <c r="B48" s="95"/>
      <c r="C48" s="106"/>
      <c r="D48" s="97"/>
      <c r="E48" s="98" t="str" cm="1">
        <f t="array" ref="E48">IF(ISBLANK(C48),"",IFERROR(eValue(C48),IF(ISBLANK(G48),"",G48)))</f>
        <v/>
      </c>
      <c r="F48" s="97"/>
    </row>
    <row r="49" spans="1:6" ht="53.25" customHeight="1">
      <c r="A49" s="88">
        <v>6</v>
      </c>
      <c r="B49" s="107" t="s">
        <v>319</v>
      </c>
      <c r="C49" s="90" t="s">
        <v>195</v>
      </c>
      <c r="D49" s="91"/>
      <c r="E49" s="92" t="str" cm="1">
        <f t="array" ref="E49">IF(ISBLANK(C49),"",IFERROR(eValue(C49),IF(ISBLANK(G49),"",G49)))</f>
        <v/>
      </c>
      <c r="F49" s="235" t="s">
        <v>544</v>
      </c>
    </row>
    <row r="50" spans="1:6" ht="19.5" customHeight="1">
      <c r="A50" s="94" t="s">
        <v>9</v>
      </c>
      <c r="B50" s="95" t="s">
        <v>179</v>
      </c>
      <c r="C50" s="96">
        <v>0.49</v>
      </c>
      <c r="D50" s="97" t="s">
        <v>180</v>
      </c>
      <c r="E50" s="98" cm="1">
        <f t="array" ref="E50">IF(ISBLANK(C50),"",IFERROR(eValue(C50),IF(ISBLANK(G50),"",G50)))</f>
        <v>0.49</v>
      </c>
      <c r="F50" s="97" t="s">
        <v>13</v>
      </c>
    </row>
    <row r="51" spans="1:6" ht="19.5" customHeight="1">
      <c r="A51" s="94" t="s">
        <v>10</v>
      </c>
      <c r="B51" s="100" t="s">
        <v>500</v>
      </c>
      <c r="C51" s="99">
        <v>31.26</v>
      </c>
      <c r="D51" s="97" t="s">
        <v>180</v>
      </c>
      <c r="E51" s="98" cm="1">
        <f t="array" ref="E51">IF(ISBLANK(C51),"",IFERROR(eValue(C51),IF(ISBLANK(G51),"",G51)))</f>
        <v>31.26</v>
      </c>
      <c r="F51" s="97" t="s">
        <v>12</v>
      </c>
    </row>
    <row r="52" spans="1:6" ht="19.5" customHeight="1">
      <c r="A52" s="94" t="s">
        <v>7</v>
      </c>
      <c r="B52" s="95" t="s">
        <v>190</v>
      </c>
      <c r="C52" s="96">
        <v>0.1</v>
      </c>
      <c r="D52" s="97" t="s">
        <v>180</v>
      </c>
      <c r="E52" s="98" cm="1">
        <f t="array" ref="E52">IF(ISBLANK(C52),"",IFERROR(eValue(C52),IF(ISBLANK(G52),"",G52)))</f>
        <v>0.1</v>
      </c>
      <c r="F52" s="97" t="s">
        <v>14</v>
      </c>
    </row>
    <row r="53" spans="1:6" ht="19.5" customHeight="1">
      <c r="A53" s="94" t="s">
        <v>8</v>
      </c>
      <c r="B53" s="115" t="s">
        <v>196</v>
      </c>
      <c r="C53" s="96">
        <v>0.27</v>
      </c>
      <c r="D53" s="97" t="s">
        <v>180</v>
      </c>
      <c r="E53" s="98" cm="1">
        <f t="array" ref="E53">IF(ISBLANK(C53),"",IFERROR(eValue(C53),IF(ISBLANK(G53),"",G53)))</f>
        <v>0.27</v>
      </c>
      <c r="F53" s="97" t="s">
        <v>13</v>
      </c>
    </row>
    <row r="54" spans="1:6" ht="19.5" customHeight="1">
      <c r="A54" s="94"/>
      <c r="B54" s="95"/>
      <c r="C54" s="106"/>
      <c r="D54" s="97"/>
      <c r="E54" s="98" t="str" cm="1">
        <f t="array" ref="E54">IF(ISBLANK(C54),"",IFERROR(eValue(C54),IF(ISBLANK(G54),"",G54)))</f>
        <v/>
      </c>
      <c r="F54" s="97"/>
    </row>
    <row r="55" spans="1:6" ht="31.5" customHeight="1">
      <c r="A55" s="88">
        <v>7</v>
      </c>
      <c r="B55" s="117" t="s">
        <v>201</v>
      </c>
      <c r="C55" s="90" t="s">
        <v>321</v>
      </c>
      <c r="D55" s="91"/>
      <c r="E55" s="92" t="str" cm="1">
        <f t="array" ref="E55">IF(ISBLANK(C55),"",IFERROR(eValue(C55),IF(ISBLANK(G55),"",G55)))</f>
        <v/>
      </c>
      <c r="F55" s="235" t="s">
        <v>545</v>
      </c>
    </row>
    <row r="56" spans="1:6" ht="19.5" customHeight="1">
      <c r="A56" s="94" t="s">
        <v>9</v>
      </c>
      <c r="B56" s="100" t="s">
        <v>197</v>
      </c>
      <c r="C56" s="96">
        <v>246.91</v>
      </c>
      <c r="D56" s="97" t="s">
        <v>180</v>
      </c>
      <c r="E56" s="98" cm="1">
        <f t="array" ref="E56">IF(ISBLANK(C56),"",IFERROR(eValue(C56),IF(ISBLANK(G56),"",G56)))</f>
        <v>246.91</v>
      </c>
      <c r="F56" s="97" t="s">
        <v>13</v>
      </c>
    </row>
    <row r="57" spans="1:6" ht="19.5" customHeight="1">
      <c r="A57" s="94" t="s">
        <v>10</v>
      </c>
      <c r="B57" s="100" t="s">
        <v>500</v>
      </c>
      <c r="C57" s="99">
        <v>4818.18</v>
      </c>
      <c r="D57" s="97" t="s">
        <v>180</v>
      </c>
      <c r="E57" s="98" cm="1">
        <f t="array" ref="E57">IF(ISBLANK(C57),"",IFERROR(eValue(C57),IF(ISBLANK(G57),"",G57)))</f>
        <v>4818.18</v>
      </c>
      <c r="F57" s="97" t="s">
        <v>12</v>
      </c>
    </row>
    <row r="58" spans="1:6" ht="19.5" customHeight="1">
      <c r="A58" s="94" t="s">
        <v>7</v>
      </c>
      <c r="B58" s="100" t="s">
        <v>503</v>
      </c>
      <c r="C58" s="99">
        <v>969.15</v>
      </c>
      <c r="D58" s="97" t="s">
        <v>180</v>
      </c>
      <c r="E58" s="98" cm="1">
        <f t="array" ref="E58">IF(ISBLANK(C58),"",IFERROR(eValue(C58),IF(ISBLANK(G58),"",G58)))</f>
        <v>969.15</v>
      </c>
      <c r="F58" s="97" t="s">
        <v>12</v>
      </c>
    </row>
    <row r="59" spans="1:6" ht="19.5" customHeight="1">
      <c r="A59" s="94" t="s">
        <v>8</v>
      </c>
      <c r="B59" s="95" t="s">
        <v>322</v>
      </c>
      <c r="C59" s="96">
        <v>47.2</v>
      </c>
      <c r="D59" s="97" t="s">
        <v>180</v>
      </c>
      <c r="E59" s="98" cm="1">
        <f t="array" ref="E59">IF(ISBLANK(C59),"",IFERROR(eValue(C59),IF(ISBLANK(G59),"",G59)))</f>
        <v>47.2</v>
      </c>
      <c r="F59" s="97" t="s">
        <v>14</v>
      </c>
    </row>
    <row r="60" spans="1:6" ht="19.5" customHeight="1">
      <c r="A60" s="94" t="s">
        <v>31</v>
      </c>
      <c r="B60" s="115" t="s">
        <v>323</v>
      </c>
      <c r="C60" s="96">
        <v>3025.84</v>
      </c>
      <c r="D60" s="97" t="s">
        <v>180</v>
      </c>
      <c r="E60" s="98" cm="1">
        <f t="array" ref="E60">IF(ISBLANK(C60),"",IFERROR(eValue(C60),IF(ISBLANK(G60),"",G60)))</f>
        <v>3025.84</v>
      </c>
      <c r="F60" s="97" t="s">
        <v>12</v>
      </c>
    </row>
    <row r="61" spans="1:6" ht="19.5" customHeight="1">
      <c r="A61" s="94" t="s">
        <v>69</v>
      </c>
      <c r="B61" s="115" t="s">
        <v>198</v>
      </c>
      <c r="C61" s="96">
        <v>279.72000000000003</v>
      </c>
      <c r="D61" s="97" t="s">
        <v>180</v>
      </c>
      <c r="E61" s="98" cm="1">
        <f t="array" ref="E61">IF(ISBLANK(C61),"",IFERROR(eValue(C61),IF(ISBLANK(G61),"",G61)))</f>
        <v>279.72000000000003</v>
      </c>
      <c r="F61" s="97" t="s">
        <v>57</v>
      </c>
    </row>
    <row r="62" spans="1:6" ht="19.5" customHeight="1">
      <c r="A62" s="94" t="s">
        <v>70</v>
      </c>
      <c r="B62" s="115" t="s">
        <v>199</v>
      </c>
      <c r="C62" s="96">
        <v>283.22000000000003</v>
      </c>
      <c r="D62" s="97" t="s">
        <v>180</v>
      </c>
      <c r="E62" s="98" cm="1">
        <f t="array" ref="E62">IF(ISBLANK(C62),"",IFERROR(eValue(C62),IF(ISBLANK(G62),"",G62)))</f>
        <v>283.22000000000003</v>
      </c>
      <c r="F62" s="97" t="s">
        <v>57</v>
      </c>
    </row>
    <row r="63" spans="1:6" ht="19.5" customHeight="1">
      <c r="A63" s="94" t="s">
        <v>71</v>
      </c>
      <c r="B63" s="115" t="s">
        <v>324</v>
      </c>
      <c r="C63" s="96">
        <v>14</v>
      </c>
      <c r="D63" s="97" t="s">
        <v>180</v>
      </c>
      <c r="E63" s="98" cm="1">
        <f t="array" ref="E63">IF(ISBLANK(C63),"",IFERROR(eValue(C63),IF(ISBLANK(G63),"",G63)))</f>
        <v>14</v>
      </c>
      <c r="F63" s="118" t="s">
        <v>200</v>
      </c>
    </row>
    <row r="64" spans="1:6" ht="19.5" customHeight="1">
      <c r="A64" s="94" t="s">
        <v>315</v>
      </c>
      <c r="B64" s="115" t="s">
        <v>254</v>
      </c>
      <c r="C64" s="96">
        <v>1</v>
      </c>
      <c r="D64" s="97" t="s">
        <v>180</v>
      </c>
      <c r="E64" s="98" cm="1">
        <f t="array" ref="E64">IF(ISBLANK(C64),"",IFERROR(eValue(C64),IF(ISBLANK(G64),"",G64)))</f>
        <v>1</v>
      </c>
      <c r="F64" s="118" t="s">
        <v>255</v>
      </c>
    </row>
    <row r="65" spans="1:6" ht="19.5" customHeight="1">
      <c r="A65" s="94"/>
      <c r="B65" s="95"/>
      <c r="C65" s="106"/>
      <c r="D65" s="97"/>
      <c r="E65" s="98" t="str" cm="1">
        <f t="array" ref="E65">IF(ISBLANK(C65),"",IFERROR(eValue(C65),IF(ISBLANK(G65),"",G65)))</f>
        <v/>
      </c>
      <c r="F65" s="97"/>
    </row>
    <row r="66" spans="1:6" ht="31.5" customHeight="1">
      <c r="A66" s="88">
        <v>8</v>
      </c>
      <c r="B66" s="117" t="s">
        <v>320</v>
      </c>
      <c r="C66" s="90" t="s">
        <v>202</v>
      </c>
      <c r="D66" s="91"/>
      <c r="E66" s="92" t="str" cm="1">
        <f t="array" ref="E66">IF(ISBLANK(C66),"",IFERROR(eValue(C66),IF(ISBLANK(G66),"",G66)))</f>
        <v/>
      </c>
      <c r="F66" s="235" t="s">
        <v>44</v>
      </c>
    </row>
    <row r="67" spans="1:6" ht="19.5" customHeight="1">
      <c r="A67" s="94" t="s">
        <v>9</v>
      </c>
      <c r="B67" s="100" t="s">
        <v>197</v>
      </c>
      <c r="C67" s="96">
        <v>277.31</v>
      </c>
      <c r="D67" s="97" t="s">
        <v>180</v>
      </c>
      <c r="E67" s="98" cm="1">
        <f t="array" ref="E67">IF(ISBLANK(C67),"",IFERROR(eValue(C67),IF(ISBLANK(G67),"",G67)))</f>
        <v>277.31</v>
      </c>
      <c r="F67" s="97" t="s">
        <v>13</v>
      </c>
    </row>
    <row r="68" spans="1:6" ht="19.5" customHeight="1">
      <c r="A68" s="94" t="s">
        <v>10</v>
      </c>
      <c r="B68" s="100" t="s">
        <v>500</v>
      </c>
      <c r="C68" s="99">
        <v>5231.46</v>
      </c>
      <c r="D68" s="97" t="s">
        <v>180</v>
      </c>
      <c r="E68" s="98" cm="1">
        <f t="array" ref="E68">IF(ISBLANK(C68),"",IFERROR(eValue(C68),IF(ISBLANK(G68),"",G68)))</f>
        <v>5231.46</v>
      </c>
      <c r="F68" s="97" t="s">
        <v>12</v>
      </c>
    </row>
    <row r="69" spans="1:6" ht="19.5" customHeight="1">
      <c r="A69" s="94" t="s">
        <v>7</v>
      </c>
      <c r="B69" s="100" t="s">
        <v>503</v>
      </c>
      <c r="C69" s="99">
        <v>1090.75</v>
      </c>
      <c r="D69" s="97" t="s">
        <v>180</v>
      </c>
      <c r="E69" s="98" cm="1">
        <f t="array" ref="E69">IF(ISBLANK(C69),"",IFERROR(eValue(C69),IF(ISBLANK(G69),"",G69)))</f>
        <v>1090.75</v>
      </c>
      <c r="F69" s="97" t="s">
        <v>12</v>
      </c>
    </row>
    <row r="70" spans="1:6" ht="19.5" customHeight="1">
      <c r="A70" s="94" t="s">
        <v>8</v>
      </c>
      <c r="B70" s="95" t="s">
        <v>322</v>
      </c>
      <c r="C70" s="96">
        <v>53.1</v>
      </c>
      <c r="D70" s="97" t="s">
        <v>180</v>
      </c>
      <c r="E70" s="98" cm="1">
        <f t="array" ref="E70">IF(ISBLANK(C70),"",IFERROR(eValue(C70),IF(ISBLANK(G70),"",G70)))</f>
        <v>53.1</v>
      </c>
      <c r="F70" s="97" t="s">
        <v>14</v>
      </c>
    </row>
    <row r="71" spans="1:6" ht="19.5" customHeight="1">
      <c r="A71" s="94" t="s">
        <v>31</v>
      </c>
      <c r="B71" s="115" t="s">
        <v>325</v>
      </c>
      <c r="C71" s="96">
        <v>4416.88</v>
      </c>
      <c r="D71" s="97" t="s">
        <v>180</v>
      </c>
      <c r="E71" s="98" cm="1">
        <f t="array" ref="E71">IF(ISBLANK(C71),"",IFERROR(eValue(C71),IF(ISBLANK(G71),"",G71)))</f>
        <v>4416.88</v>
      </c>
      <c r="F71" s="97" t="s">
        <v>12</v>
      </c>
    </row>
    <row r="72" spans="1:6" ht="19.5" customHeight="1">
      <c r="A72" s="94" t="s">
        <v>69</v>
      </c>
      <c r="B72" s="115" t="s">
        <v>198</v>
      </c>
      <c r="C72" s="96">
        <v>314.68</v>
      </c>
      <c r="D72" s="97" t="s">
        <v>180</v>
      </c>
      <c r="E72" s="98" cm="1">
        <f t="array" ref="E72">IF(ISBLANK(C72),"",IFERROR(eValue(C72),IF(ISBLANK(G72),"",G72)))</f>
        <v>314.68</v>
      </c>
      <c r="F72" s="97" t="s">
        <v>57</v>
      </c>
    </row>
    <row r="73" spans="1:6" ht="19.5" customHeight="1">
      <c r="A73" s="94" t="s">
        <v>70</v>
      </c>
      <c r="B73" s="115" t="s">
        <v>199</v>
      </c>
      <c r="C73" s="96">
        <v>318.18</v>
      </c>
      <c r="D73" s="97" t="s">
        <v>180</v>
      </c>
      <c r="E73" s="98" cm="1">
        <f t="array" ref="E73">IF(ISBLANK(C73),"",IFERROR(eValue(C73),IF(ISBLANK(G73),"",G73)))</f>
        <v>318.18</v>
      </c>
      <c r="F73" s="97" t="s">
        <v>57</v>
      </c>
    </row>
    <row r="74" spans="1:6" ht="19.5" customHeight="1">
      <c r="A74" s="94" t="s">
        <v>71</v>
      </c>
      <c r="B74" s="115" t="s">
        <v>326</v>
      </c>
      <c r="C74" s="96">
        <v>14</v>
      </c>
      <c r="D74" s="97" t="s">
        <v>180</v>
      </c>
      <c r="E74" s="98" cm="1">
        <f t="array" ref="E74">IF(ISBLANK(C74),"",IFERROR(eValue(C74),IF(ISBLANK(G74),"",G74)))</f>
        <v>14</v>
      </c>
      <c r="F74" s="118" t="s">
        <v>200</v>
      </c>
    </row>
    <row r="75" spans="1:6" ht="19.5" customHeight="1">
      <c r="A75" s="94" t="s">
        <v>315</v>
      </c>
      <c r="B75" s="115" t="s">
        <v>254</v>
      </c>
      <c r="C75" s="96">
        <v>1</v>
      </c>
      <c r="D75" s="97" t="s">
        <v>180</v>
      </c>
      <c r="E75" s="98" cm="1">
        <f t="array" ref="E75">IF(ISBLANK(C75),"",IFERROR(eValue(C75),IF(ISBLANK(G75),"",G75)))</f>
        <v>1</v>
      </c>
      <c r="F75" s="118" t="s">
        <v>255</v>
      </c>
    </row>
    <row r="76" spans="1:6" ht="19.5" customHeight="1">
      <c r="A76" s="94"/>
      <c r="B76" s="95"/>
      <c r="C76" s="106"/>
      <c r="D76" s="97"/>
      <c r="E76" s="98" t="str" cm="1">
        <f t="array" ref="E76">IF(ISBLANK(C76),"",IFERROR(eValue(C76),IF(ISBLANK(G76),"",G76)))</f>
        <v/>
      </c>
      <c r="F76" s="97"/>
    </row>
    <row r="77" spans="1:6" ht="31.5" customHeight="1">
      <c r="A77" s="88">
        <v>9</v>
      </c>
      <c r="B77" s="204" t="s">
        <v>466</v>
      </c>
      <c r="C77" s="90" t="s">
        <v>335</v>
      </c>
      <c r="D77" s="91"/>
      <c r="E77" s="92" t="str" cm="1">
        <f t="array" ref="E77">IF(ISBLANK(C77),"",IFERROR(eValue(C77),IF(ISBLANK(G77),"",G77)))</f>
        <v/>
      </c>
      <c r="F77" s="235" t="s">
        <v>79</v>
      </c>
    </row>
    <row r="78" spans="1:6" ht="19.5" customHeight="1">
      <c r="A78" s="94" t="s">
        <v>9</v>
      </c>
      <c r="B78" s="100" t="s">
        <v>237</v>
      </c>
      <c r="C78" s="96">
        <v>13.44</v>
      </c>
      <c r="D78" s="97" t="s">
        <v>180</v>
      </c>
      <c r="E78" s="98" cm="1">
        <f t="array" ref="E78">IF(ISBLANK(C78),"",IFERROR(eValue(C78),IF(ISBLANK(G78),"",G78)))</f>
        <v>13.44</v>
      </c>
      <c r="F78" s="97" t="s">
        <v>13</v>
      </c>
    </row>
    <row r="79" spans="1:6" ht="19.5" customHeight="1">
      <c r="A79" s="94" t="s">
        <v>10</v>
      </c>
      <c r="B79" s="100" t="s">
        <v>500</v>
      </c>
      <c r="C79" s="99">
        <v>93.44</v>
      </c>
      <c r="D79" s="97" t="s">
        <v>180</v>
      </c>
      <c r="E79" s="98" cm="1">
        <f t="array" ref="E79">IF(ISBLANK(C79),"",IFERROR(eValue(C79),IF(ISBLANK(G79),"",G79)))</f>
        <v>93.44</v>
      </c>
      <c r="F79" s="97" t="s">
        <v>12</v>
      </c>
    </row>
    <row r="80" spans="1:6" ht="19.5" customHeight="1">
      <c r="A80" s="94" t="s">
        <v>7</v>
      </c>
      <c r="B80" s="100" t="s">
        <v>503</v>
      </c>
      <c r="C80" s="99">
        <v>741.05</v>
      </c>
      <c r="D80" s="97" t="s">
        <v>180</v>
      </c>
      <c r="E80" s="98" cm="1">
        <f t="array" ref="E80">IF(ISBLANK(C80),"",IFERROR(eValue(C80),IF(ISBLANK(G80),"",G80)))</f>
        <v>741.05</v>
      </c>
      <c r="F80" s="97" t="s">
        <v>12</v>
      </c>
    </row>
    <row r="81" spans="1:6" ht="19.5" customHeight="1">
      <c r="A81" s="94" t="s">
        <v>8</v>
      </c>
      <c r="B81" s="95" t="s">
        <v>181</v>
      </c>
      <c r="C81" s="96">
        <v>0.51</v>
      </c>
      <c r="D81" s="97" t="s">
        <v>180</v>
      </c>
      <c r="E81" s="98" cm="1">
        <f t="array" ref="E81">IF(ISBLANK(C81),"",IFERROR(eValue(C81),IF(ISBLANK(G81),"",G81)))</f>
        <v>0.51</v>
      </c>
      <c r="F81" s="97" t="s">
        <v>14</v>
      </c>
    </row>
    <row r="82" spans="1:6" ht="19.5" customHeight="1">
      <c r="A82" s="94" t="s">
        <v>31</v>
      </c>
      <c r="B82" s="95" t="s">
        <v>185</v>
      </c>
      <c r="C82" s="96">
        <v>8.77</v>
      </c>
      <c r="D82" s="97" t="s">
        <v>180</v>
      </c>
      <c r="E82" s="98" cm="1">
        <f t="array" ref="E82">IF(ISBLANK(C82),"",IFERROR(eValue(C82),IF(ISBLANK(G82),"",G82)))</f>
        <v>8.77</v>
      </c>
      <c r="F82" s="97" t="s">
        <v>14</v>
      </c>
    </row>
    <row r="83" spans="1:6" ht="19.5" customHeight="1">
      <c r="A83" s="94"/>
      <c r="B83" s="95"/>
      <c r="C83" s="106"/>
      <c r="D83" s="97"/>
      <c r="E83" s="98" t="str" cm="1">
        <f t="array" ref="E83">IF(ISBLANK(C83),"",IFERROR(eValue(C83),IF(ISBLANK(G83),"",G83)))</f>
        <v/>
      </c>
      <c r="F83" s="97"/>
    </row>
    <row r="84" spans="1:6" ht="31.5" customHeight="1">
      <c r="A84" s="88">
        <v>10</v>
      </c>
      <c r="B84" s="204" t="s">
        <v>336</v>
      </c>
      <c r="C84" s="90" t="s">
        <v>211</v>
      </c>
      <c r="D84" s="91"/>
      <c r="E84" s="92" t="str" cm="1">
        <f t="array" ref="E84">IF(ISBLANK(C84),"",IFERROR(eValue(C84),IF(ISBLANK(G84),"",G84)))</f>
        <v/>
      </c>
      <c r="F84" s="235" t="s">
        <v>79</v>
      </c>
    </row>
    <row r="85" spans="1:6" ht="19.5" customHeight="1">
      <c r="A85" s="94" t="s">
        <v>9</v>
      </c>
      <c r="B85" s="100" t="s">
        <v>237</v>
      </c>
      <c r="C85" s="96">
        <v>48.57</v>
      </c>
      <c r="D85" s="97" t="s">
        <v>180</v>
      </c>
      <c r="E85" s="98" cm="1">
        <f t="array" ref="E85">IF(ISBLANK(C85),"",IFERROR(eValue(C85),IF(ISBLANK(G85),"",G85)))</f>
        <v>48.57</v>
      </c>
      <c r="F85" s="97" t="s">
        <v>13</v>
      </c>
    </row>
    <row r="86" spans="1:6" ht="19.5" customHeight="1">
      <c r="A86" s="94" t="s">
        <v>10</v>
      </c>
      <c r="B86" s="100" t="s">
        <v>503</v>
      </c>
      <c r="C86" s="99">
        <v>1116.5</v>
      </c>
      <c r="D86" s="97" t="s">
        <v>180</v>
      </c>
      <c r="E86" s="98" cm="1">
        <f t="array" ref="E86">IF(ISBLANK(C86),"",IFERROR(eValue(C86),IF(ISBLANK(G86),"",G86)))</f>
        <v>1116.5</v>
      </c>
      <c r="F86" s="97" t="s">
        <v>12</v>
      </c>
    </row>
    <row r="87" spans="1:6" ht="19.5" customHeight="1">
      <c r="A87" s="94" t="s">
        <v>7</v>
      </c>
      <c r="B87" s="95" t="s">
        <v>185</v>
      </c>
      <c r="C87" s="96">
        <v>11.36</v>
      </c>
      <c r="D87" s="97" t="s">
        <v>180</v>
      </c>
      <c r="E87" s="98" cm="1">
        <f t="array" ref="E87">IF(ISBLANK(C87),"",IFERROR(eValue(C87),IF(ISBLANK(G87),"",G87)))</f>
        <v>11.36</v>
      </c>
      <c r="F87" s="97" t="s">
        <v>14</v>
      </c>
    </row>
    <row r="88" spans="1:6" ht="19.5" customHeight="1">
      <c r="A88" s="94"/>
      <c r="B88" s="115"/>
      <c r="C88" s="96"/>
      <c r="D88" s="97"/>
      <c r="E88" s="98" t="str" cm="1">
        <f t="array" ref="E88">IF(ISBLANK(C88),"",IFERROR(eValue(C88),IF(ISBLANK(G88),"",G88)))</f>
        <v/>
      </c>
      <c r="F88" s="97"/>
    </row>
    <row r="89" spans="1:6" ht="31.5" customHeight="1">
      <c r="A89" s="88">
        <v>11</v>
      </c>
      <c r="B89" s="119" t="s">
        <v>204</v>
      </c>
      <c r="C89" s="90" t="s">
        <v>467</v>
      </c>
      <c r="D89" s="91"/>
      <c r="E89" s="92" t="str" cm="1">
        <f t="array" ref="E89">IF(ISBLANK(C89),"",IFERROR(eValue(C89),IF(ISBLANK(G89),"",G89)))</f>
        <v/>
      </c>
      <c r="F89" s="91" t="s">
        <v>268</v>
      </c>
    </row>
    <row r="90" spans="1:6" ht="19.5" customHeight="1">
      <c r="A90" s="94" t="s">
        <v>9</v>
      </c>
      <c r="B90" s="100" t="s">
        <v>500</v>
      </c>
      <c r="C90" s="99">
        <v>61.15</v>
      </c>
      <c r="D90" s="97" t="s">
        <v>180</v>
      </c>
      <c r="E90" s="98" cm="1">
        <f t="array" ref="E90">IF(ISBLANK(C90),"",IFERROR(eValue(C90),IF(ISBLANK(G90),"",G90)))</f>
        <v>61.15</v>
      </c>
      <c r="F90" s="97" t="s">
        <v>12</v>
      </c>
    </row>
    <row r="91" spans="1:6" ht="19.5" customHeight="1">
      <c r="A91" s="94" t="s">
        <v>10</v>
      </c>
      <c r="B91" s="100" t="s">
        <v>503</v>
      </c>
      <c r="C91" s="99">
        <v>2837.8</v>
      </c>
      <c r="D91" s="97" t="s">
        <v>180</v>
      </c>
      <c r="E91" s="98" cm="1">
        <f t="array" ref="E91">IF(ISBLANK(C91),"",IFERROR(eValue(C91),IF(ISBLANK(G91),"",G91)))</f>
        <v>2837.8</v>
      </c>
      <c r="F91" s="97" t="s">
        <v>12</v>
      </c>
    </row>
    <row r="92" spans="1:6" ht="19.5" customHeight="1">
      <c r="A92" s="94" t="s">
        <v>7</v>
      </c>
      <c r="B92" s="120" t="s">
        <v>203</v>
      </c>
      <c r="C92" s="96">
        <v>17.66</v>
      </c>
      <c r="D92" s="97" t="s">
        <v>180</v>
      </c>
      <c r="E92" s="98" cm="1">
        <f t="array" ref="E92">IF(ISBLANK(C92),"",IFERROR(eValue(C92),IF(ISBLANK(G92),"",G92)))</f>
        <v>17.66</v>
      </c>
      <c r="F92" s="97" t="s">
        <v>14</v>
      </c>
    </row>
    <row r="93" spans="1:6" ht="19.5" customHeight="1">
      <c r="A93" s="94"/>
      <c r="B93" s="115"/>
      <c r="C93" s="96"/>
      <c r="D93" s="97"/>
      <c r="E93" s="98" t="str" cm="1">
        <f t="array" ref="E93">IF(ISBLANK(C93),"",IFERROR(eValue(C93),IF(ISBLANK(G93),"",G93)))</f>
        <v/>
      </c>
      <c r="F93" s="97"/>
    </row>
    <row r="94" spans="1:6" ht="19.5" customHeight="1">
      <c r="A94" s="102" t="s">
        <v>241</v>
      </c>
      <c r="B94" s="115" t="s">
        <v>219</v>
      </c>
      <c r="C94" s="96"/>
      <c r="D94" s="97"/>
      <c r="E94" s="98" t="str" cm="1">
        <f t="array" ref="E94">IF(ISBLANK(C94),"",IFERROR(eValue(C94),IF(ISBLANK(G94),"",G94)))</f>
        <v/>
      </c>
      <c r="F94" s="121"/>
    </row>
    <row r="95" spans="1:6" ht="28.5" customHeight="1">
      <c r="A95" s="88">
        <v>1</v>
      </c>
      <c r="B95" s="89" t="s">
        <v>505</v>
      </c>
      <c r="C95" s="90" t="s">
        <v>297</v>
      </c>
      <c r="D95" s="91"/>
      <c r="E95" s="92" t="str" cm="1">
        <f t="array" ref="E95">IF(ISBLANK(C95),"",IFERROR(eValue(C95),IF(ISBLANK(G95),"",G95)))</f>
        <v/>
      </c>
      <c r="F95" s="93" t="s">
        <v>511</v>
      </c>
    </row>
    <row r="96" spans="1:6" ht="19.5" customHeight="1">
      <c r="A96" s="94" t="s">
        <v>9</v>
      </c>
      <c r="B96" s="178" t="s">
        <v>343</v>
      </c>
      <c r="C96" s="96">
        <v>6</v>
      </c>
      <c r="D96" s="97" t="s">
        <v>180</v>
      </c>
      <c r="E96" s="98" cm="1">
        <f t="array" ref="E96">IF(ISBLANK(C96),"",IFERROR(eValue(C96),IF(ISBLANK(G96),"",G96)))</f>
        <v>6</v>
      </c>
      <c r="F96" s="97" t="s">
        <v>13</v>
      </c>
    </row>
    <row r="97" spans="1:7" ht="19.5" customHeight="1">
      <c r="A97" s="94" t="s">
        <v>10</v>
      </c>
      <c r="B97" s="100" t="s">
        <v>500</v>
      </c>
      <c r="C97" s="99">
        <v>45.24</v>
      </c>
      <c r="D97" s="97" t="s">
        <v>180</v>
      </c>
      <c r="E97" s="98" cm="1">
        <f t="array" ref="E97">IF(ISBLANK(C97),"",IFERROR(eValue(C97),IF(ISBLANK(G97),"",G97)))</f>
        <v>45.24</v>
      </c>
      <c r="F97" s="97" t="s">
        <v>12</v>
      </c>
    </row>
    <row r="98" spans="1:7" ht="19.5" customHeight="1">
      <c r="A98" s="94" t="s">
        <v>7</v>
      </c>
      <c r="B98" s="100" t="s">
        <v>503</v>
      </c>
      <c r="C98" s="99">
        <v>64.13</v>
      </c>
      <c r="D98" s="97" t="s">
        <v>180</v>
      </c>
      <c r="E98" s="98" cm="1">
        <f t="array" ref="E98">IF(ISBLANK(C98),"",IFERROR(eValue(C98),IF(ISBLANK(G98),"",G98)))</f>
        <v>64.13</v>
      </c>
      <c r="F98" s="97" t="s">
        <v>12</v>
      </c>
    </row>
    <row r="99" spans="1:7" ht="19.5" customHeight="1">
      <c r="A99" s="94" t="s">
        <v>8</v>
      </c>
      <c r="B99" s="95" t="s">
        <v>185</v>
      </c>
      <c r="C99" s="96">
        <v>0.92</v>
      </c>
      <c r="D99" s="97" t="s">
        <v>180</v>
      </c>
      <c r="E99" s="98" cm="1">
        <f t="array" ref="E99">IF(ISBLANK(C99),"",IFERROR(eValue(C99),IF(ISBLANK(G99),"",G99)))</f>
        <v>0.92</v>
      </c>
      <c r="F99" s="97" t="s">
        <v>14</v>
      </c>
    </row>
    <row r="100" spans="1:7" ht="19.5" customHeight="1">
      <c r="A100" s="94" t="s">
        <v>31</v>
      </c>
      <c r="B100" s="95" t="s">
        <v>181</v>
      </c>
      <c r="C100" s="96">
        <v>0.14000000000000001</v>
      </c>
      <c r="D100" s="97" t="s">
        <v>180</v>
      </c>
      <c r="E100" s="98" cm="1">
        <f t="array" ref="E100">IF(ISBLANK(C100),"",IFERROR(eValue(C100),IF(ISBLANK(G100),"",G100)))</f>
        <v>0.14000000000000001</v>
      </c>
      <c r="F100" s="97" t="s">
        <v>14</v>
      </c>
    </row>
    <row r="101" spans="1:7" ht="24.95" customHeight="1">
      <c r="A101" s="94" t="s">
        <v>69</v>
      </c>
      <c r="B101" s="95" t="s">
        <v>205</v>
      </c>
      <c r="C101" s="101">
        <v>0.5</v>
      </c>
      <c r="D101" s="97" t="s">
        <v>180</v>
      </c>
      <c r="E101" s="98" cm="1">
        <f t="array" ref="E101">IF(ISBLANK(C101),"",IFERROR(eValue(C101),IF(ISBLANK(G101),"",G101)))</f>
        <v>0.5</v>
      </c>
      <c r="F101" s="103" t="s">
        <v>182</v>
      </c>
    </row>
    <row r="102" spans="1:7" ht="19.5" customHeight="1">
      <c r="A102" s="94" t="s">
        <v>70</v>
      </c>
      <c r="B102" s="115" t="s">
        <v>220</v>
      </c>
      <c r="C102" s="101" t="s">
        <v>347</v>
      </c>
      <c r="D102" s="97" t="s">
        <v>180</v>
      </c>
      <c r="E102" s="98" cm="1">
        <f t="array" ref="E102">IF(ISBLANK(C102),"",IFERROR(eValue(C102),IF(ISBLANK(G102),"",G102)))</f>
        <v>10</v>
      </c>
      <c r="F102" s="141" t="s">
        <v>381</v>
      </c>
      <c r="G102" s="83">
        <v>10</v>
      </c>
    </row>
    <row r="103" spans="1:7" ht="19.5" customHeight="1">
      <c r="A103" s="94" t="s">
        <v>71</v>
      </c>
      <c r="B103" s="115" t="s">
        <v>245</v>
      </c>
      <c r="C103" s="101" t="s">
        <v>348</v>
      </c>
      <c r="D103" s="97" t="s">
        <v>180</v>
      </c>
      <c r="E103" s="98" cm="1">
        <f t="array" ref="E103">IF(ISBLANK(C103),"",IFERROR(eValue(C103),IF(ISBLANK(G103),"",G103)))</f>
        <v>10</v>
      </c>
      <c r="F103" s="97" t="s">
        <v>13</v>
      </c>
      <c r="G103" s="83">
        <v>10</v>
      </c>
    </row>
    <row r="104" spans="1:7" ht="19.5" customHeight="1">
      <c r="A104" s="94" t="s">
        <v>315</v>
      </c>
      <c r="B104" s="115" t="s">
        <v>244</v>
      </c>
      <c r="C104" s="101" t="s">
        <v>349</v>
      </c>
      <c r="D104" s="97" t="s">
        <v>180</v>
      </c>
      <c r="E104" s="98" cm="1">
        <f t="array" ref="E104">IF(ISBLANK(C104),"",IFERROR(eValue(C104),IF(ISBLANK(G104),"",G104)))</f>
        <v>10</v>
      </c>
      <c r="F104" s="97" t="s">
        <v>57</v>
      </c>
      <c r="G104" s="83">
        <v>10</v>
      </c>
    </row>
    <row r="105" spans="1:7" ht="19.5" customHeight="1">
      <c r="A105" s="94"/>
      <c r="B105" s="115"/>
      <c r="C105" s="101"/>
      <c r="D105" s="97"/>
      <c r="E105" s="98" t="str" cm="1">
        <f t="array" ref="E105">IF(ISBLANK(C105),"",IFERROR(eValue(C105),IF(ISBLANK(G105),"",G105)))</f>
        <v/>
      </c>
      <c r="F105" s="121"/>
    </row>
    <row r="106" spans="1:7" ht="28.5" customHeight="1">
      <c r="A106" s="88">
        <v>2</v>
      </c>
      <c r="B106" s="89" t="s">
        <v>506</v>
      </c>
      <c r="C106" s="90" t="s">
        <v>334</v>
      </c>
      <c r="D106" s="91"/>
      <c r="E106" s="92" t="str" cm="1">
        <f t="array" ref="E106">IF(ISBLANK(C106),"",IFERROR(eValue(C106),IF(ISBLANK(G106),"",G106)))</f>
        <v/>
      </c>
      <c r="F106" s="93" t="s">
        <v>511</v>
      </c>
    </row>
    <row r="107" spans="1:7" ht="19.5" customHeight="1">
      <c r="A107" s="94" t="s">
        <v>9</v>
      </c>
      <c r="B107" s="206" t="s">
        <v>351</v>
      </c>
      <c r="C107" s="99" t="s">
        <v>353</v>
      </c>
      <c r="D107" s="97" t="s">
        <v>180</v>
      </c>
      <c r="E107" s="98" cm="1">
        <f t="array" ref="E107">IF(ISBLANK(C107),"",IFERROR(eValue(C107),IF(ISBLANK(G107),"",G107)))</f>
        <v>27.019999999999996</v>
      </c>
      <c r="F107" s="97" t="s">
        <v>13</v>
      </c>
    </row>
    <row r="108" spans="1:7" ht="19.5" customHeight="1">
      <c r="A108" s="94" t="s">
        <v>10</v>
      </c>
      <c r="B108" s="100" t="s">
        <v>500</v>
      </c>
      <c r="C108" s="99" t="s">
        <v>355</v>
      </c>
      <c r="D108" s="97" t="s">
        <v>180</v>
      </c>
      <c r="E108" s="98" cm="1">
        <f t="array" ref="E108">IF(ISBLANK(C108),"",IFERROR(eValue(C108),IF(ISBLANK(G108),"",G108)))</f>
        <v>449.49</v>
      </c>
      <c r="F108" s="97" t="s">
        <v>12</v>
      </c>
    </row>
    <row r="109" spans="1:7" ht="19.5" customHeight="1">
      <c r="A109" s="94" t="s">
        <v>7</v>
      </c>
      <c r="B109" s="100" t="s">
        <v>502</v>
      </c>
      <c r="C109" s="99" t="s">
        <v>410</v>
      </c>
      <c r="D109" s="97" t="s">
        <v>180</v>
      </c>
      <c r="E109" s="98" cm="1">
        <f t="array" ref="E109">IF(ISBLANK(C109),"",IFERROR(eValue(C109),IF(ISBLANK(G109),"",G109)))</f>
        <v>2352.9899999999998</v>
      </c>
      <c r="F109" s="97" t="s">
        <v>12</v>
      </c>
    </row>
    <row r="110" spans="1:7" ht="19.5" customHeight="1">
      <c r="A110" s="94" t="s">
        <v>8</v>
      </c>
      <c r="B110" s="95" t="s">
        <v>187</v>
      </c>
      <c r="C110" s="99" t="s">
        <v>356</v>
      </c>
      <c r="D110" s="97" t="s">
        <v>180</v>
      </c>
      <c r="E110" s="98" cm="1">
        <f t="array" ref="E110">IF(ISBLANK(C110),"",IFERROR(eValue(C110),IF(ISBLANK(G110),"",G110)))</f>
        <v>13.615</v>
      </c>
      <c r="F110" s="97" t="s">
        <v>14</v>
      </c>
    </row>
    <row r="111" spans="1:7" ht="19.5" customHeight="1">
      <c r="A111" s="94" t="s">
        <v>31</v>
      </c>
      <c r="B111" s="95" t="s">
        <v>181</v>
      </c>
      <c r="C111" s="99">
        <v>0.9</v>
      </c>
      <c r="D111" s="97" t="s">
        <v>180</v>
      </c>
      <c r="E111" s="98" cm="1">
        <f t="array" ref="E111">IF(ISBLANK(C111),"",IFERROR(eValue(C111),IF(ISBLANK(G111),"",G111)))</f>
        <v>0.9</v>
      </c>
      <c r="F111" s="97" t="s">
        <v>14</v>
      </c>
    </row>
    <row r="112" spans="1:7" ht="19.5" customHeight="1">
      <c r="A112" s="94" t="s">
        <v>69</v>
      </c>
      <c r="B112" s="115" t="s">
        <v>206</v>
      </c>
      <c r="C112" s="99" t="s">
        <v>357</v>
      </c>
      <c r="D112" s="97" t="s">
        <v>180</v>
      </c>
      <c r="E112" s="98" cm="1">
        <f t="array" ref="E112">IF(ISBLANK(C112),"",IFERROR(eValue(C112),IF(ISBLANK(G112),"",G112)))</f>
        <v>15.620000000000001</v>
      </c>
      <c r="F112" s="97" t="s">
        <v>14</v>
      </c>
    </row>
    <row r="113" spans="1:7" ht="19.5" customHeight="1">
      <c r="A113" s="94" t="s">
        <v>70</v>
      </c>
      <c r="B113" s="115" t="s">
        <v>245</v>
      </c>
      <c r="C113" s="101" t="s">
        <v>350</v>
      </c>
      <c r="D113" s="97" t="s">
        <v>180</v>
      </c>
      <c r="E113" s="98" cm="1">
        <f t="array" ref="E113">IF(ISBLANK(C113),"",IFERROR(eValue(C113),IF(ISBLANK(G113),"",G113)))</f>
        <v>4</v>
      </c>
      <c r="F113" s="97" t="s">
        <v>13</v>
      </c>
      <c r="G113" s="83">
        <v>4</v>
      </c>
    </row>
    <row r="114" spans="1:7" ht="19.5" customHeight="1">
      <c r="A114" s="94" t="s">
        <v>71</v>
      </c>
      <c r="B114" s="115" t="s">
        <v>244</v>
      </c>
      <c r="C114" s="101" t="s">
        <v>354</v>
      </c>
      <c r="D114" s="97" t="s">
        <v>180</v>
      </c>
      <c r="E114" s="98" cm="1">
        <f t="array" ref="E114">IF(ISBLANK(C114),"",IFERROR(eValue(C114),IF(ISBLANK(G114),"",G114)))</f>
        <v>4</v>
      </c>
      <c r="F114" s="97" t="s">
        <v>57</v>
      </c>
      <c r="G114" s="83">
        <v>4</v>
      </c>
    </row>
    <row r="115" spans="1:7" ht="19.5" customHeight="1">
      <c r="A115" s="94" t="s">
        <v>315</v>
      </c>
      <c r="B115" s="115" t="s">
        <v>246</v>
      </c>
      <c r="C115" s="101" t="s">
        <v>350</v>
      </c>
      <c r="D115" s="97" t="s">
        <v>180</v>
      </c>
      <c r="E115" s="98" cm="1">
        <f t="array" ref="E115">IF(ISBLANK(C115),"",IFERROR(eValue(C115),IF(ISBLANK(G115),"",G115)))</f>
        <v>4</v>
      </c>
      <c r="F115" s="102" t="s">
        <v>247</v>
      </c>
      <c r="G115" s="83">
        <v>4</v>
      </c>
    </row>
    <row r="116" spans="1:7" ht="19.5" customHeight="1">
      <c r="A116" s="94"/>
      <c r="B116" s="95"/>
      <c r="C116" s="101"/>
      <c r="D116" s="97"/>
      <c r="E116" s="98" t="str" cm="1">
        <f t="array" ref="E116">IF(ISBLANK(C116),"",IFERROR(eValue(C116),IF(ISBLANK(G116),"",G116)))</f>
        <v/>
      </c>
      <c r="F116" s="103"/>
    </row>
    <row r="117" spans="1:7" ht="28.5" customHeight="1">
      <c r="A117" s="88">
        <v>3</v>
      </c>
      <c r="B117" s="89" t="s">
        <v>330</v>
      </c>
      <c r="C117" s="90" t="s">
        <v>300</v>
      </c>
      <c r="D117" s="91"/>
      <c r="E117" s="92" t="str" cm="1">
        <f t="array" ref="E117">IF(ISBLANK(C117),"",IFERROR(eValue(C117),IF(ISBLANK(G117),"",G117)))</f>
        <v/>
      </c>
      <c r="F117" s="93" t="s">
        <v>511</v>
      </c>
    </row>
    <row r="118" spans="1:7" ht="19.5" customHeight="1">
      <c r="A118" s="94" t="s">
        <v>9</v>
      </c>
      <c r="B118" s="206" t="s">
        <v>351</v>
      </c>
      <c r="C118" s="96">
        <v>36.409999999999997</v>
      </c>
      <c r="D118" s="97" t="s">
        <v>180</v>
      </c>
      <c r="E118" s="98" cm="1">
        <f t="array" ref="E118">IF(ISBLANK(C118),"",IFERROR(eValue(C118),IF(ISBLANK(G118),"",G118)))</f>
        <v>36.409999999999997</v>
      </c>
      <c r="F118" s="97" t="s">
        <v>13</v>
      </c>
    </row>
    <row r="119" spans="1:7" ht="19.5" customHeight="1">
      <c r="A119" s="94" t="s">
        <v>10</v>
      </c>
      <c r="B119" s="100" t="s">
        <v>500</v>
      </c>
      <c r="C119" s="99">
        <v>508.77</v>
      </c>
      <c r="D119" s="97" t="s">
        <v>180</v>
      </c>
      <c r="E119" s="98" cm="1">
        <f t="array" ref="E119">IF(ISBLANK(C119),"",IFERROR(eValue(C119),IF(ISBLANK(G119),"",G119)))</f>
        <v>508.77</v>
      </c>
      <c r="F119" s="97" t="s">
        <v>12</v>
      </c>
    </row>
    <row r="120" spans="1:7" ht="19.5" customHeight="1">
      <c r="A120" s="94" t="s">
        <v>7</v>
      </c>
      <c r="B120" s="100" t="s">
        <v>503</v>
      </c>
      <c r="C120" s="99">
        <v>2727.11</v>
      </c>
      <c r="D120" s="97" t="s">
        <v>180</v>
      </c>
      <c r="E120" s="98" cm="1">
        <f t="array" ref="E120">IF(ISBLANK(C120),"",IFERROR(eValue(C120),IF(ISBLANK(G120),"",G120)))</f>
        <v>2727.11</v>
      </c>
      <c r="F120" s="97" t="s">
        <v>12</v>
      </c>
    </row>
    <row r="121" spans="1:7" ht="19.5" customHeight="1">
      <c r="A121" s="94" t="s">
        <v>8</v>
      </c>
      <c r="B121" s="95" t="s">
        <v>187</v>
      </c>
      <c r="C121" s="96">
        <v>15.96</v>
      </c>
      <c r="D121" s="97" t="s">
        <v>180</v>
      </c>
      <c r="E121" s="98" cm="1">
        <f t="array" ref="E121">IF(ISBLANK(C121),"",IFERROR(eValue(C121),IF(ISBLANK(G121),"",G121)))</f>
        <v>15.96</v>
      </c>
      <c r="F121" s="97" t="s">
        <v>14</v>
      </c>
    </row>
    <row r="122" spans="1:7" ht="19.5" customHeight="1">
      <c r="A122" s="94" t="s">
        <v>31</v>
      </c>
      <c r="B122" s="95" t="s">
        <v>181</v>
      </c>
      <c r="C122" s="96">
        <v>0.9</v>
      </c>
      <c r="D122" s="97" t="s">
        <v>180</v>
      </c>
      <c r="E122" s="98" cm="1">
        <f t="array" ref="E122">IF(ISBLANK(C122),"",IFERROR(eValue(C122),IF(ISBLANK(G122),"",G122)))</f>
        <v>0.9</v>
      </c>
      <c r="F122" s="97" t="s">
        <v>14</v>
      </c>
    </row>
    <row r="123" spans="1:7" ht="19.5" customHeight="1">
      <c r="A123" s="94" t="s">
        <v>69</v>
      </c>
      <c r="B123" s="115" t="s">
        <v>206</v>
      </c>
      <c r="C123" s="101">
        <v>25.96</v>
      </c>
      <c r="D123" s="97" t="s">
        <v>180</v>
      </c>
      <c r="E123" s="98" cm="1">
        <f t="array" ref="E123">IF(ISBLANK(C123),"",IFERROR(eValue(C123),IF(ISBLANK(G123),"",G123)))</f>
        <v>25.96</v>
      </c>
      <c r="F123" s="97" t="s">
        <v>14</v>
      </c>
    </row>
    <row r="124" spans="1:7" ht="18" customHeight="1">
      <c r="A124" s="94"/>
      <c r="B124" s="115"/>
      <c r="C124" s="101"/>
      <c r="D124" s="97"/>
      <c r="E124" s="98" t="str" cm="1">
        <f t="array" ref="E124">IF(ISBLANK(C124),"",IFERROR(eValue(C124),IF(ISBLANK(G124),"",G124)))</f>
        <v/>
      </c>
      <c r="F124" s="121"/>
    </row>
    <row r="125" spans="1:7" ht="28.5" customHeight="1">
      <c r="A125" s="88">
        <v>4</v>
      </c>
      <c r="B125" s="89" t="s">
        <v>298</v>
      </c>
      <c r="C125" s="90" t="s">
        <v>331</v>
      </c>
      <c r="D125" s="91"/>
      <c r="E125" s="92" t="str" cm="1">
        <f t="array" ref="E125">IF(ISBLANK(C125),"",IFERROR(eValue(C125),IF(ISBLANK(G125),"",G125)))</f>
        <v/>
      </c>
      <c r="F125" s="226" t="s">
        <v>79</v>
      </c>
    </row>
    <row r="126" spans="1:7" ht="19.5" customHeight="1">
      <c r="A126" s="94" t="s">
        <v>9</v>
      </c>
      <c r="B126" s="206" t="s">
        <v>352</v>
      </c>
      <c r="C126" s="96">
        <v>60</v>
      </c>
      <c r="D126" s="97" t="s">
        <v>180</v>
      </c>
      <c r="E126" s="98" cm="1">
        <f t="array" ref="E126">IF(ISBLANK(C126),"",IFERROR(eValue(C126),IF(ISBLANK(G126),"",G126)))</f>
        <v>60</v>
      </c>
      <c r="F126" s="97" t="s">
        <v>13</v>
      </c>
    </row>
    <row r="127" spans="1:7" ht="19.5" customHeight="1">
      <c r="A127" s="94" t="s">
        <v>10</v>
      </c>
      <c r="B127" s="100" t="s">
        <v>503</v>
      </c>
      <c r="C127" s="99">
        <v>3086.14</v>
      </c>
      <c r="D127" s="97" t="s">
        <v>180</v>
      </c>
      <c r="E127" s="98" cm="1">
        <f t="array" ref="E127">IF(ISBLANK(C127),"",IFERROR(eValue(C127),IF(ISBLANK(G127),"",G127)))</f>
        <v>3086.14</v>
      </c>
      <c r="F127" s="97" t="s">
        <v>12</v>
      </c>
    </row>
    <row r="128" spans="1:7" ht="19.5" customHeight="1">
      <c r="A128" s="94" t="s">
        <v>7</v>
      </c>
      <c r="B128" s="95" t="s">
        <v>187</v>
      </c>
      <c r="C128" s="96">
        <v>15</v>
      </c>
      <c r="D128" s="97" t="s">
        <v>180</v>
      </c>
      <c r="E128" s="98" cm="1">
        <f t="array" ref="E128">IF(ISBLANK(C128),"",IFERROR(eValue(C128),IF(ISBLANK(G128),"",G128)))</f>
        <v>15</v>
      </c>
      <c r="F128" s="97" t="s">
        <v>14</v>
      </c>
    </row>
    <row r="129" spans="1:6" ht="24.95" customHeight="1">
      <c r="A129" s="94"/>
      <c r="B129" s="115"/>
      <c r="C129" s="101"/>
      <c r="D129" s="97"/>
      <c r="E129" s="98" t="str" cm="1">
        <f t="array" ref="E129">IF(ISBLANK(C129),"",IFERROR(eValue(C129),IF(ISBLANK(G129),"",G129)))</f>
        <v/>
      </c>
      <c r="F129" s="97"/>
    </row>
    <row r="130" spans="1:6" ht="28.5" customHeight="1">
      <c r="A130" s="88">
        <v>5</v>
      </c>
      <c r="B130" s="89" t="s">
        <v>299</v>
      </c>
      <c r="C130" s="90" t="s">
        <v>211</v>
      </c>
      <c r="D130" s="91"/>
      <c r="E130" s="92" t="str" cm="1">
        <f t="array" ref="E130">IF(ISBLANK(C130),"",IFERROR(eValue(C130),IF(ISBLANK(G130),"",G130)))</f>
        <v/>
      </c>
      <c r="F130" s="226" t="s">
        <v>512</v>
      </c>
    </row>
    <row r="131" spans="1:6" ht="19.5" customHeight="1">
      <c r="A131" s="94" t="s">
        <v>9</v>
      </c>
      <c r="B131" s="206" t="s">
        <v>237</v>
      </c>
      <c r="C131" s="96">
        <v>19</v>
      </c>
      <c r="D131" s="97" t="s">
        <v>180</v>
      </c>
      <c r="E131" s="98" cm="1">
        <f t="array" ref="E131">IF(ISBLANK(C131),"",IFERROR(eValue(C131),IF(ISBLANK(G131),"",G131)))</f>
        <v>19</v>
      </c>
      <c r="F131" s="97" t="s">
        <v>13</v>
      </c>
    </row>
    <row r="132" spans="1:6" ht="19.5" customHeight="1">
      <c r="A132" s="94" t="s">
        <v>7</v>
      </c>
      <c r="B132" s="100" t="s">
        <v>503</v>
      </c>
      <c r="C132" s="99">
        <v>971.97</v>
      </c>
      <c r="D132" s="97" t="s">
        <v>180</v>
      </c>
      <c r="E132" s="98" cm="1">
        <f t="array" ref="E132">IF(ISBLANK(C132),"",IFERROR(eValue(C132),IF(ISBLANK(G132),"",G132)))</f>
        <v>971.97</v>
      </c>
      <c r="F132" s="97" t="s">
        <v>12</v>
      </c>
    </row>
    <row r="133" spans="1:6" ht="19.5" customHeight="1">
      <c r="A133" s="94" t="s">
        <v>8</v>
      </c>
      <c r="B133" s="95" t="s">
        <v>187</v>
      </c>
      <c r="C133" s="96">
        <v>4.75</v>
      </c>
      <c r="D133" s="97" t="s">
        <v>180</v>
      </c>
      <c r="E133" s="98" cm="1">
        <f t="array" ref="E133">IF(ISBLANK(C133),"",IFERROR(eValue(C133),IF(ISBLANK(G133),"",G133)))</f>
        <v>4.75</v>
      </c>
      <c r="F133" s="97" t="s">
        <v>14</v>
      </c>
    </row>
    <row r="134" spans="1:6" ht="18" customHeight="1">
      <c r="A134" s="94"/>
      <c r="B134" s="115"/>
      <c r="C134" s="101"/>
      <c r="D134" s="97"/>
      <c r="E134" s="98" t="str" cm="1">
        <f t="array" ref="E134">IF(ISBLANK(C134),"",IFERROR(eValue(C134),IF(ISBLANK(G134),"",G134)))</f>
        <v/>
      </c>
      <c r="F134" s="121"/>
    </row>
    <row r="135" spans="1:6" ht="25.5" customHeight="1">
      <c r="A135" s="88">
        <v>6</v>
      </c>
      <c r="B135" s="89" t="s">
        <v>444</v>
      </c>
      <c r="C135" s="90" t="s">
        <v>207</v>
      </c>
      <c r="D135" s="91"/>
      <c r="E135" s="92" t="str" cm="1">
        <f t="array" ref="E135">IF(ISBLANK(C135),"",IFERROR(eValue(C135),IF(ISBLANK(G135),"",G135)))</f>
        <v/>
      </c>
      <c r="F135" s="226" t="s">
        <v>513</v>
      </c>
    </row>
    <row r="136" spans="1:6" ht="19.5" customHeight="1">
      <c r="A136" s="94" t="s">
        <v>9</v>
      </c>
      <c r="B136" s="95" t="s">
        <v>179</v>
      </c>
      <c r="C136" s="96">
        <v>13.44</v>
      </c>
      <c r="D136" s="97" t="s">
        <v>180</v>
      </c>
      <c r="E136" s="98" cm="1">
        <f t="array" ref="E136">IF(ISBLANK(C136),"",IFERROR(eValue(C136),IF(ISBLANK(G136),"",G136)))</f>
        <v>13.44</v>
      </c>
      <c r="F136" s="97" t="s">
        <v>13</v>
      </c>
    </row>
    <row r="137" spans="1:6" ht="19.5" customHeight="1">
      <c r="A137" s="94" t="s">
        <v>10</v>
      </c>
      <c r="B137" s="100" t="s">
        <v>500</v>
      </c>
      <c r="C137" s="99">
        <v>160.82</v>
      </c>
      <c r="D137" s="97" t="s">
        <v>180</v>
      </c>
      <c r="E137" s="98" cm="1">
        <f t="array" ref="E137">IF(ISBLANK(C137),"",IFERROR(eValue(C137),IF(ISBLANK(G137),"",G137)))</f>
        <v>160.82</v>
      </c>
      <c r="F137" s="97" t="s">
        <v>12</v>
      </c>
    </row>
    <row r="138" spans="1:6" ht="19.5" customHeight="1">
      <c r="A138" s="94" t="s">
        <v>7</v>
      </c>
      <c r="B138" s="95" t="s">
        <v>185</v>
      </c>
      <c r="C138" s="96">
        <v>1.84</v>
      </c>
      <c r="D138" s="97" t="s">
        <v>180</v>
      </c>
      <c r="E138" s="98" cm="1">
        <f t="array" ref="E138">IF(ISBLANK(C138),"",IFERROR(eValue(C138),IF(ISBLANK(G138),"",G138)))</f>
        <v>1.84</v>
      </c>
      <c r="F138" s="97" t="s">
        <v>14</v>
      </c>
    </row>
    <row r="139" spans="1:6" ht="19.5" customHeight="1">
      <c r="A139" s="94" t="s">
        <v>8</v>
      </c>
      <c r="B139" s="95" t="s">
        <v>181</v>
      </c>
      <c r="C139" s="96">
        <v>0.32</v>
      </c>
      <c r="D139" s="97" t="s">
        <v>180</v>
      </c>
      <c r="E139" s="98" cm="1">
        <f t="array" ref="E139">IF(ISBLANK(C139),"",IFERROR(eValue(C139),IF(ISBLANK(G139),"",G139)))</f>
        <v>0.32</v>
      </c>
      <c r="F139" s="97" t="s">
        <v>14</v>
      </c>
    </row>
    <row r="140" spans="1:6" ht="24.95" customHeight="1">
      <c r="A140" s="94" t="s">
        <v>31</v>
      </c>
      <c r="B140" s="95" t="s">
        <v>208</v>
      </c>
      <c r="C140" s="101">
        <v>2</v>
      </c>
      <c r="D140" s="97" t="s">
        <v>180</v>
      </c>
      <c r="E140" s="98" cm="1">
        <f t="array" ref="E140">IF(ISBLANK(C140),"",IFERROR(eValue(C140),IF(ISBLANK(G140),"",G140)))</f>
        <v>2</v>
      </c>
      <c r="F140" s="116" t="s">
        <v>381</v>
      </c>
    </row>
    <row r="141" spans="1:6" ht="24.95" customHeight="1">
      <c r="A141" s="94"/>
      <c r="B141" s="95"/>
      <c r="C141" s="101"/>
      <c r="D141" s="97"/>
      <c r="E141" s="98" t="str" cm="1">
        <f t="array" ref="E141">IF(ISBLANK(C141),"",IFERROR(eValue(C141),IF(ISBLANK(G141),"",G141)))</f>
        <v/>
      </c>
      <c r="F141" s="122"/>
    </row>
    <row r="142" spans="1:6" ht="28.5" customHeight="1">
      <c r="A142" s="88">
        <v>7</v>
      </c>
      <c r="B142" s="89" t="s">
        <v>209</v>
      </c>
      <c r="C142" s="90" t="s">
        <v>332</v>
      </c>
      <c r="D142" s="91"/>
      <c r="E142" s="92" t="str" cm="1">
        <f t="array" ref="E142">IF(ISBLANK(C142),"",IFERROR(eValue(C142),IF(ISBLANK(G142),"",G142)))</f>
        <v/>
      </c>
      <c r="F142" s="93" t="s">
        <v>514</v>
      </c>
    </row>
    <row r="143" spans="1:6" ht="19.5" customHeight="1">
      <c r="A143" s="94" t="s">
        <v>9</v>
      </c>
      <c r="B143" s="95" t="s">
        <v>179</v>
      </c>
      <c r="C143" s="96">
        <v>4.8</v>
      </c>
      <c r="D143" s="97" t="s">
        <v>180</v>
      </c>
      <c r="E143" s="98" cm="1">
        <f t="array" ref="E143">IF(ISBLANK(C143),"",IFERROR(eValue(C143),IF(ISBLANK(G143),"",G143)))</f>
        <v>4.8</v>
      </c>
      <c r="F143" s="97" t="s">
        <v>13</v>
      </c>
    </row>
    <row r="144" spans="1:6" ht="19.5" customHeight="1">
      <c r="A144" s="94" t="s">
        <v>10</v>
      </c>
      <c r="B144" s="100" t="s">
        <v>500</v>
      </c>
      <c r="C144" s="99">
        <v>32.76</v>
      </c>
      <c r="D144" s="97" t="s">
        <v>180</v>
      </c>
      <c r="E144" s="98" cm="1">
        <f t="array" ref="E144">IF(ISBLANK(C144),"",IFERROR(eValue(C144),IF(ISBLANK(G144),"",G144)))</f>
        <v>32.76</v>
      </c>
      <c r="F144" s="97" t="s">
        <v>12</v>
      </c>
    </row>
    <row r="145" spans="1:6" ht="19.5" customHeight="1">
      <c r="A145" s="94" t="s">
        <v>7</v>
      </c>
      <c r="B145" s="100" t="s">
        <v>503</v>
      </c>
      <c r="C145" s="99">
        <v>47.25</v>
      </c>
      <c r="D145" s="97" t="s">
        <v>180</v>
      </c>
      <c r="E145" s="98" cm="1">
        <f t="array" ref="E145">IF(ISBLANK(C145),"",IFERROR(eValue(C145),IF(ISBLANK(G145),"",G145)))</f>
        <v>47.25</v>
      </c>
      <c r="F145" s="97" t="s">
        <v>12</v>
      </c>
    </row>
    <row r="146" spans="1:6" ht="19.5" customHeight="1">
      <c r="A146" s="94" t="s">
        <v>8</v>
      </c>
      <c r="B146" s="95" t="s">
        <v>185</v>
      </c>
      <c r="C146" s="96">
        <v>0.8</v>
      </c>
      <c r="D146" s="97" t="s">
        <v>180</v>
      </c>
      <c r="E146" s="98" cm="1">
        <f t="array" ref="E146">IF(ISBLANK(C146),"",IFERROR(eValue(C146),IF(ISBLANK(G146),"",G146)))</f>
        <v>0.8</v>
      </c>
      <c r="F146" s="97" t="s">
        <v>14</v>
      </c>
    </row>
    <row r="147" spans="1:6" ht="19.5" customHeight="1">
      <c r="A147" s="94" t="s">
        <v>31</v>
      </c>
      <c r="B147" s="95" t="s">
        <v>181</v>
      </c>
      <c r="C147" s="96">
        <v>0.14000000000000001</v>
      </c>
      <c r="D147" s="97" t="s">
        <v>180</v>
      </c>
      <c r="E147" s="98" cm="1">
        <f t="array" ref="E147">IF(ISBLANK(C147),"",IFERROR(eValue(C147),IF(ISBLANK(G147),"",G147)))</f>
        <v>0.14000000000000001</v>
      </c>
      <c r="F147" s="97" t="s">
        <v>14</v>
      </c>
    </row>
    <row r="148" spans="1:6" ht="24.95" customHeight="1">
      <c r="A148" s="94"/>
      <c r="B148" s="115"/>
      <c r="C148" s="101"/>
      <c r="D148" s="97"/>
      <c r="E148" s="98" t="str" cm="1">
        <f t="array" ref="E148">IF(ISBLANK(C148),"",IFERROR(eValue(C148),IF(ISBLANK(G148),"",G148)))</f>
        <v/>
      </c>
      <c r="F148" s="97"/>
    </row>
    <row r="149" spans="1:6" ht="28.5" customHeight="1">
      <c r="A149" s="88">
        <v>8</v>
      </c>
      <c r="B149" s="89" t="s">
        <v>445</v>
      </c>
      <c r="C149" s="90" t="s">
        <v>341</v>
      </c>
      <c r="D149" s="91"/>
      <c r="E149" s="92" t="str" cm="1">
        <f t="array" ref="E149">IF(ISBLANK(C149),"",IFERROR(eValue(C149),IF(ISBLANK(G149),"",G149)))</f>
        <v/>
      </c>
      <c r="F149" s="93" t="s">
        <v>514</v>
      </c>
    </row>
    <row r="150" spans="1:6" ht="19.5" customHeight="1">
      <c r="A150" s="94" t="s">
        <v>9</v>
      </c>
      <c r="B150" s="113" t="s">
        <v>191</v>
      </c>
      <c r="C150" s="96">
        <v>1.98</v>
      </c>
      <c r="D150" s="97" t="s">
        <v>180</v>
      </c>
      <c r="E150" s="98" cm="1">
        <f t="array" ref="E150">IF(ISBLANK(C150),"",IFERROR(eValue(C150),IF(ISBLANK(G150),"",G150)))</f>
        <v>1.98</v>
      </c>
      <c r="F150" s="97" t="s">
        <v>13</v>
      </c>
    </row>
    <row r="151" spans="1:6" ht="19.5" customHeight="1">
      <c r="A151" s="94" t="s">
        <v>10</v>
      </c>
      <c r="B151" s="100" t="s">
        <v>500</v>
      </c>
      <c r="C151" s="99">
        <v>9.24</v>
      </c>
      <c r="D151" s="97" t="s">
        <v>180</v>
      </c>
      <c r="E151" s="98" cm="1">
        <f t="array" ref="E151">IF(ISBLANK(C151),"",IFERROR(eValue(C151),IF(ISBLANK(G151),"",G151)))</f>
        <v>9.24</v>
      </c>
      <c r="F151" s="97" t="s">
        <v>12</v>
      </c>
    </row>
    <row r="152" spans="1:6" ht="19.5" customHeight="1">
      <c r="A152" s="94" t="s">
        <v>7</v>
      </c>
      <c r="B152" s="95" t="s">
        <v>185</v>
      </c>
      <c r="C152" s="96">
        <v>0.22</v>
      </c>
      <c r="D152" s="97" t="s">
        <v>180</v>
      </c>
      <c r="E152" s="98" cm="1">
        <f t="array" ref="E152">IF(ISBLANK(C152),"",IFERROR(eValue(C152),IF(ISBLANK(G152),"",G152)))</f>
        <v>0.22</v>
      </c>
      <c r="F152" s="97" t="s">
        <v>14</v>
      </c>
    </row>
    <row r="153" spans="1:6" ht="19.5" customHeight="1">
      <c r="A153" s="94" t="s">
        <v>8</v>
      </c>
      <c r="B153" s="120" t="s">
        <v>222</v>
      </c>
      <c r="C153" s="96">
        <v>0.2</v>
      </c>
      <c r="D153" s="97" t="s">
        <v>180</v>
      </c>
      <c r="E153" s="98" cm="1">
        <f t="array" ref="E153">IF(ISBLANK(C153),"",IFERROR(eValue(C153),IF(ISBLANK(G153),"",G153)))</f>
        <v>0.2</v>
      </c>
      <c r="F153" s="118" t="s">
        <v>79</v>
      </c>
    </row>
    <row r="154" spans="1:6" ht="19.5" customHeight="1">
      <c r="A154" s="94" t="s">
        <v>31</v>
      </c>
      <c r="B154" s="115" t="s">
        <v>245</v>
      </c>
      <c r="C154" s="101" t="s">
        <v>358</v>
      </c>
      <c r="D154" s="97" t="s">
        <v>180</v>
      </c>
      <c r="E154" s="98" t="str" cm="1">
        <f t="array" ref="E154">IF(ISBLANK(C154),"",IFERROR(eValue(C154),IF(ISBLANK(G154),"",G154)))</f>
        <v/>
      </c>
      <c r="F154" s="97" t="s">
        <v>13</v>
      </c>
    </row>
    <row r="155" spans="1:6" ht="24.95" customHeight="1">
      <c r="A155" s="94"/>
      <c r="B155" s="115"/>
      <c r="C155" s="101"/>
      <c r="D155" s="97"/>
      <c r="E155" s="98" t="str" cm="1">
        <f t="array" ref="E155">IF(ISBLANK(C155),"",IFERROR(eValue(C155),IF(ISBLANK(G155),"",G155)))</f>
        <v/>
      </c>
      <c r="F155" s="97"/>
    </row>
    <row r="156" spans="1:6" ht="28.5" customHeight="1">
      <c r="A156" s="88">
        <v>9</v>
      </c>
      <c r="B156" s="89" t="s">
        <v>228</v>
      </c>
      <c r="C156" s="90" t="s">
        <v>342</v>
      </c>
      <c r="D156" s="91"/>
      <c r="E156" s="92" t="str" cm="1">
        <f t="array" ref="E156">IF(ISBLANK(C156),"",IFERROR(eValue(C156),IF(ISBLANK(G156),"",G156)))</f>
        <v/>
      </c>
      <c r="F156" s="226" t="s">
        <v>79</v>
      </c>
    </row>
    <row r="157" spans="1:6" ht="19.5" customHeight="1">
      <c r="A157" s="94" t="s">
        <v>9</v>
      </c>
      <c r="B157" s="95" t="s">
        <v>179</v>
      </c>
      <c r="C157" s="96">
        <v>1.25</v>
      </c>
      <c r="D157" s="97" t="s">
        <v>180</v>
      </c>
      <c r="E157" s="98" cm="1">
        <f t="array" ref="E157">IF(ISBLANK(C157),"",IFERROR(eValue(C157),IF(ISBLANK(G157),"",G157)))</f>
        <v>1.25</v>
      </c>
      <c r="F157" s="97" t="s">
        <v>13</v>
      </c>
    </row>
    <row r="158" spans="1:6" ht="19.5" customHeight="1">
      <c r="A158" s="94" t="s">
        <v>10</v>
      </c>
      <c r="B158" s="100" t="s">
        <v>500</v>
      </c>
      <c r="C158" s="99">
        <v>9.24</v>
      </c>
      <c r="D158" s="97" t="s">
        <v>180</v>
      </c>
      <c r="E158" s="98" cm="1">
        <f t="array" ref="E158">IF(ISBLANK(C158),"",IFERROR(eValue(C158),IF(ISBLANK(G158),"",G158)))</f>
        <v>9.24</v>
      </c>
      <c r="F158" s="97" t="s">
        <v>12</v>
      </c>
    </row>
    <row r="159" spans="1:6" ht="19.5" customHeight="1">
      <c r="A159" s="94" t="s">
        <v>7</v>
      </c>
      <c r="B159" s="95" t="s">
        <v>185</v>
      </c>
      <c r="C159" s="96">
        <v>0.13</v>
      </c>
      <c r="D159" s="97" t="s">
        <v>180</v>
      </c>
      <c r="E159" s="98" cm="1">
        <f t="array" ref="E159">IF(ISBLANK(C159),"",IFERROR(eValue(C159),IF(ISBLANK(G159),"",G159)))</f>
        <v>0.13</v>
      </c>
      <c r="F159" s="97" t="s">
        <v>14</v>
      </c>
    </row>
    <row r="160" spans="1:6" ht="19.5" customHeight="1">
      <c r="A160" s="94" t="s">
        <v>8</v>
      </c>
      <c r="B160" s="100" t="s">
        <v>243</v>
      </c>
      <c r="C160" s="96">
        <v>1</v>
      </c>
      <c r="D160" s="97" t="s">
        <v>180</v>
      </c>
      <c r="E160" s="98" cm="1">
        <f t="array" ref="E160">IF(ISBLANK(C160),"",IFERROR(eValue(C160),IF(ISBLANK(G160),"",G160)))</f>
        <v>1</v>
      </c>
      <c r="F160" s="102" t="s">
        <v>240</v>
      </c>
    </row>
    <row r="161" spans="1:6" ht="19.5" customHeight="1">
      <c r="A161" s="94"/>
      <c r="B161" s="120"/>
      <c r="C161" s="96"/>
      <c r="D161" s="97"/>
      <c r="E161" s="98" t="str" cm="1">
        <f t="array" ref="E161">IF(ISBLANK(C161),"",IFERROR(eValue(C161),IF(ISBLANK(G161),"",G161)))</f>
        <v/>
      </c>
      <c r="F161" s="118"/>
    </row>
    <row r="162" spans="1:6" ht="28.5" customHeight="1">
      <c r="A162" s="88">
        <v>10</v>
      </c>
      <c r="B162" s="89" t="s">
        <v>212</v>
      </c>
      <c r="C162" s="90" t="s">
        <v>333</v>
      </c>
      <c r="D162" s="91"/>
      <c r="E162" s="92" t="str" cm="1">
        <f t="array" ref="E162">IF(ISBLANK(C162),"",IFERROR(eValue(C162),IF(ISBLANK(G162),"",G162)))</f>
        <v/>
      </c>
      <c r="F162" s="226" t="s">
        <v>79</v>
      </c>
    </row>
    <row r="163" spans="1:6" ht="19.5" customHeight="1">
      <c r="A163" s="94" t="s">
        <v>9</v>
      </c>
      <c r="B163" s="95" t="s">
        <v>179</v>
      </c>
      <c r="C163" s="96">
        <v>18</v>
      </c>
      <c r="D163" s="97" t="s">
        <v>180</v>
      </c>
      <c r="E163" s="98" cm="1">
        <f t="array" ref="E163">IF(ISBLANK(C163),"",IFERROR(eValue(C163),IF(ISBLANK(G163),"",G163)))</f>
        <v>18</v>
      </c>
      <c r="F163" s="97" t="s">
        <v>13</v>
      </c>
    </row>
    <row r="164" spans="1:6" ht="19.5" customHeight="1">
      <c r="A164" s="94" t="s">
        <v>10</v>
      </c>
      <c r="B164" s="100" t="s">
        <v>500</v>
      </c>
      <c r="C164" s="99">
        <v>12.4</v>
      </c>
      <c r="D164" s="97" t="s">
        <v>180</v>
      </c>
      <c r="E164" s="98" cm="1">
        <f t="array" ref="E164">IF(ISBLANK(C164),"",IFERROR(eValue(C164),IF(ISBLANK(G164),"",G164)))</f>
        <v>12.4</v>
      </c>
      <c r="F164" s="97" t="s">
        <v>12</v>
      </c>
    </row>
    <row r="165" spans="1:6" ht="19.5" customHeight="1">
      <c r="A165" s="94" t="s">
        <v>7</v>
      </c>
      <c r="B165" s="95" t="s">
        <v>185</v>
      </c>
      <c r="C165" s="96">
        <v>4.68</v>
      </c>
      <c r="D165" s="97" t="s">
        <v>180</v>
      </c>
      <c r="E165" s="98" cm="1">
        <f t="array" ref="E165">IF(ISBLANK(C165),"",IFERROR(eValue(C165),IF(ISBLANK(G165),"",G165)))</f>
        <v>4.68</v>
      </c>
      <c r="F165" s="97" t="s">
        <v>14</v>
      </c>
    </row>
    <row r="166" spans="1:6" ht="19.5" customHeight="1">
      <c r="A166" s="94" t="s">
        <v>8</v>
      </c>
      <c r="B166" s="115" t="s">
        <v>213</v>
      </c>
      <c r="C166" s="96">
        <v>7</v>
      </c>
      <c r="D166" s="97" t="s">
        <v>180</v>
      </c>
      <c r="E166" s="98" cm="1">
        <f t="array" ref="E166">IF(ISBLANK(C166),"",IFERROR(eValue(C166),IF(ISBLANK(G166),"",G166)))</f>
        <v>7</v>
      </c>
      <c r="F166" s="97" t="s">
        <v>57</v>
      </c>
    </row>
    <row r="167" spans="1:6" ht="24.95" customHeight="1">
      <c r="A167" s="94"/>
      <c r="B167" s="115"/>
      <c r="C167" s="101"/>
      <c r="D167" s="97"/>
      <c r="E167" s="98" t="str" cm="1">
        <f t="array" ref="E167">IF(ISBLANK(C167),"",IFERROR(eValue(C167),IF(ISBLANK(G167),"",G167)))</f>
        <v/>
      </c>
      <c r="F167" s="97"/>
    </row>
    <row r="168" spans="1:6" ht="28.5" customHeight="1">
      <c r="A168" s="88">
        <v>11</v>
      </c>
      <c r="B168" s="205" t="s">
        <v>507</v>
      </c>
      <c r="C168" s="90" t="s">
        <v>301</v>
      </c>
      <c r="D168" s="91"/>
      <c r="E168" s="92" t="str" cm="1">
        <f t="array" ref="E168">IF(ISBLANK(C168),"",IFERROR(eValue(C168),IF(ISBLANK(G168),"",G168)))</f>
        <v/>
      </c>
      <c r="F168" s="226" t="s">
        <v>79</v>
      </c>
    </row>
    <row r="169" spans="1:6" ht="19.5" customHeight="1">
      <c r="A169" s="94" t="s">
        <v>9</v>
      </c>
      <c r="B169" s="95" t="s">
        <v>179</v>
      </c>
      <c r="C169" s="96" t="s">
        <v>458</v>
      </c>
      <c r="D169" s="97" t="s">
        <v>180</v>
      </c>
      <c r="E169" s="98" cm="1">
        <f t="array" ref="E169">IF(ISBLANK(C169),"",IFERROR(eValue(C169),IF(ISBLANK(G169),"",G169)))</f>
        <v>230.38000000000002</v>
      </c>
      <c r="F169" s="97" t="s">
        <v>13</v>
      </c>
    </row>
    <row r="170" spans="1:6" ht="19.5" customHeight="1">
      <c r="A170" s="94" t="s">
        <v>10</v>
      </c>
      <c r="B170" s="100" t="s">
        <v>500</v>
      </c>
      <c r="C170" s="99" t="s">
        <v>459</v>
      </c>
      <c r="D170" s="97" t="s">
        <v>180</v>
      </c>
      <c r="E170" s="98" cm="1">
        <f t="array" ref="E170">IF(ISBLANK(C170),"",IFERROR(eValue(C170),IF(ISBLANK(G170),"",G170)))</f>
        <v>340.04999999999995</v>
      </c>
      <c r="F170" s="97" t="s">
        <v>12</v>
      </c>
    </row>
    <row r="171" spans="1:6" ht="19.5" customHeight="1">
      <c r="A171" s="94" t="s">
        <v>7</v>
      </c>
      <c r="B171" s="95" t="s">
        <v>185</v>
      </c>
      <c r="C171" s="96" t="s">
        <v>460</v>
      </c>
      <c r="D171" s="97" t="s">
        <v>180</v>
      </c>
      <c r="E171" s="98" cm="1">
        <f t="array" ref="E171">IF(ISBLANK(C171),"",IFERROR(eValue(C171),IF(ISBLANK(G171),"",G171)))</f>
        <v>44.349999999999994</v>
      </c>
      <c r="F171" s="97" t="s">
        <v>14</v>
      </c>
    </row>
    <row r="172" spans="1:6" ht="19.5" customHeight="1">
      <c r="A172" s="94" t="s">
        <v>8</v>
      </c>
      <c r="B172" s="115" t="s">
        <v>214</v>
      </c>
      <c r="C172" s="96" t="s">
        <v>461</v>
      </c>
      <c r="D172" s="97" t="s">
        <v>180</v>
      </c>
      <c r="E172" s="98" cm="1">
        <f t="array" ref="E172">IF(ISBLANK(C172),"",IFERROR(eValue(C172),IF(ISBLANK(G172),"",G172)))</f>
        <v>131.35</v>
      </c>
      <c r="F172" s="97" t="s">
        <v>57</v>
      </c>
    </row>
    <row r="173" spans="1:6" ht="24.95" customHeight="1">
      <c r="A173" s="94"/>
      <c r="B173" s="115"/>
      <c r="C173" s="101"/>
      <c r="D173" s="97"/>
      <c r="E173" s="98" t="str" cm="1">
        <f t="array" ref="E173">IF(ISBLANK(C173),"",IFERROR(eValue(C173),IF(ISBLANK(G173),"",G173)))</f>
        <v/>
      </c>
      <c r="F173" s="97"/>
    </row>
    <row r="174" spans="1:6" ht="28.5" customHeight="1">
      <c r="A174" s="88">
        <v>12</v>
      </c>
      <c r="B174" s="205" t="s">
        <v>508</v>
      </c>
      <c r="C174" s="90" t="s">
        <v>210</v>
      </c>
      <c r="D174" s="91"/>
      <c r="E174" s="92" t="str" cm="1">
        <f t="array" ref="E174">IF(ISBLANK(C174),"",IFERROR(eValue(C174),IF(ISBLANK(G174),"",G174)))</f>
        <v/>
      </c>
      <c r="F174" s="226" t="s">
        <v>79</v>
      </c>
    </row>
    <row r="175" spans="1:6" ht="19.5" customHeight="1">
      <c r="A175" s="94" t="s">
        <v>9</v>
      </c>
      <c r="B175" s="95" t="s">
        <v>179</v>
      </c>
      <c r="C175" s="96" t="s">
        <v>446</v>
      </c>
      <c r="D175" s="97" t="s">
        <v>180</v>
      </c>
      <c r="E175" s="98" cm="1">
        <f t="array" ref="E175">IF(ISBLANK(C175),"",IFERROR(eValue(C175),IF(ISBLANK(G175),"",G175)))</f>
        <v>497.42500000000001</v>
      </c>
      <c r="F175" s="97" t="s">
        <v>13</v>
      </c>
    </row>
    <row r="176" spans="1:6" ht="19.5" customHeight="1">
      <c r="A176" s="94" t="s">
        <v>10</v>
      </c>
      <c r="B176" s="100" t="s">
        <v>500</v>
      </c>
      <c r="C176" s="99" t="s">
        <v>447</v>
      </c>
      <c r="D176" s="97" t="s">
        <v>180</v>
      </c>
      <c r="E176" s="98" cm="1">
        <f t="array" ref="E176">IF(ISBLANK(C176),"",IFERROR(eValue(C176),IF(ISBLANK(G176),"",G176)))</f>
        <v>4553.53</v>
      </c>
      <c r="F176" s="97" t="s">
        <v>12</v>
      </c>
    </row>
    <row r="177" spans="1:6" ht="19.5" customHeight="1">
      <c r="A177" s="94" t="s">
        <v>7</v>
      </c>
      <c r="B177" s="100" t="s">
        <v>503</v>
      </c>
      <c r="C177" s="99" t="s">
        <v>448</v>
      </c>
      <c r="D177" s="97" t="s">
        <v>180</v>
      </c>
      <c r="E177" s="98" cm="1">
        <f t="array" ref="E177">IF(ISBLANK(C177),"",IFERROR(eValue(C177),IF(ISBLANK(G177),"",G177)))</f>
        <v>11910.014999999999</v>
      </c>
      <c r="F177" s="97" t="s">
        <v>12</v>
      </c>
    </row>
    <row r="178" spans="1:6" ht="19.5" customHeight="1">
      <c r="A178" s="94" t="s">
        <v>338</v>
      </c>
      <c r="B178" s="95" t="s">
        <v>185</v>
      </c>
      <c r="C178" s="96" t="s">
        <v>449</v>
      </c>
      <c r="D178" s="97" t="s">
        <v>180</v>
      </c>
      <c r="E178" s="98" cm="1">
        <f t="array" ref="E178">IF(ISBLANK(C178),"",IFERROR(eValue(C178),IF(ISBLANK(G178),"",G178)))</f>
        <v>274.54499999999996</v>
      </c>
      <c r="F178" s="97" t="s">
        <v>14</v>
      </c>
    </row>
    <row r="179" spans="1:6" ht="19.5" customHeight="1">
      <c r="A179" s="94" t="s">
        <v>339</v>
      </c>
      <c r="B179" s="95" t="s">
        <v>181</v>
      </c>
      <c r="C179" s="96" t="s">
        <v>450</v>
      </c>
      <c r="D179" s="97" t="s">
        <v>180</v>
      </c>
      <c r="E179" s="98" cm="1">
        <f t="array" ref="E179">IF(ISBLANK(C179),"",IFERROR(eValue(C179),IF(ISBLANK(G179),"",G179)))</f>
        <v>15.86</v>
      </c>
      <c r="F179" s="97" t="s">
        <v>14</v>
      </c>
    </row>
    <row r="180" spans="1:6" ht="19.5" customHeight="1">
      <c r="A180" s="94" t="s">
        <v>340</v>
      </c>
      <c r="B180" s="115" t="s">
        <v>214</v>
      </c>
      <c r="C180" s="96" t="s">
        <v>451</v>
      </c>
      <c r="D180" s="97" t="s">
        <v>180</v>
      </c>
      <c r="E180" s="98" cm="1">
        <f t="array" ref="E180">IF(ISBLANK(C180),"",IFERROR(eValue(C180),IF(ISBLANK(G180),"",G180)))</f>
        <v>471.86500000000001</v>
      </c>
      <c r="F180" s="97" t="s">
        <v>57</v>
      </c>
    </row>
    <row r="181" spans="1:6" ht="24.95" customHeight="1">
      <c r="A181" s="94"/>
      <c r="B181" s="115"/>
      <c r="C181" s="101"/>
      <c r="D181" s="97"/>
      <c r="E181" s="98" t="str" cm="1">
        <f t="array" ref="E181">IF(ISBLANK(C181),"",IFERROR(eValue(C181),IF(ISBLANK(G181),"",G181)))</f>
        <v/>
      </c>
      <c r="F181" s="97"/>
    </row>
    <row r="182" spans="1:6" ht="28.5" customHeight="1">
      <c r="A182" s="88">
        <v>13</v>
      </c>
      <c r="B182" s="205" t="s">
        <v>509</v>
      </c>
      <c r="C182" s="90" t="s">
        <v>302</v>
      </c>
      <c r="D182" s="91"/>
      <c r="E182" s="92" t="str" cm="1">
        <f t="array" ref="E182">IF(ISBLANK(C182),"",IFERROR(eValue(C182),IF(ISBLANK(G182),"",G182)))</f>
        <v/>
      </c>
      <c r="F182" s="226" t="s">
        <v>79</v>
      </c>
    </row>
    <row r="183" spans="1:6" ht="19.5" customHeight="1">
      <c r="A183" s="94" t="s">
        <v>9</v>
      </c>
      <c r="B183" s="95" t="s">
        <v>179</v>
      </c>
      <c r="C183" s="96" t="s">
        <v>452</v>
      </c>
      <c r="D183" s="97" t="s">
        <v>180</v>
      </c>
      <c r="E183" s="98" cm="1">
        <f t="array" ref="E183">IF(ISBLANK(C183),"",IFERROR(eValue(C183),IF(ISBLANK(G183),"",G183)))</f>
        <v>387.59999999999997</v>
      </c>
      <c r="F183" s="97" t="s">
        <v>13</v>
      </c>
    </row>
    <row r="184" spans="1:6" ht="19.5" customHeight="1">
      <c r="A184" s="94" t="s">
        <v>10</v>
      </c>
      <c r="B184" s="100" t="s">
        <v>500</v>
      </c>
      <c r="C184" s="99" t="s">
        <v>453</v>
      </c>
      <c r="D184" s="97" t="s">
        <v>180</v>
      </c>
      <c r="E184" s="98" cm="1">
        <f t="array" ref="E184">IF(ISBLANK(C184),"",IFERROR(eValue(C184),IF(ISBLANK(G184),"",G184)))</f>
        <v>3089.9250000000002</v>
      </c>
      <c r="F184" s="97" t="s">
        <v>12</v>
      </c>
    </row>
    <row r="185" spans="1:6" ht="19.5" customHeight="1">
      <c r="A185" s="94" t="s">
        <v>7</v>
      </c>
      <c r="B185" s="100" t="s">
        <v>503</v>
      </c>
      <c r="C185" s="99" t="s">
        <v>454</v>
      </c>
      <c r="D185" s="97" t="s">
        <v>180</v>
      </c>
      <c r="E185" s="98" cm="1">
        <f t="array" ref="E185">IF(ISBLANK(C185),"",IFERROR(eValue(C185),IF(ISBLANK(G185),"",G185)))</f>
        <v>8515.68</v>
      </c>
      <c r="F185" s="97" t="s">
        <v>12</v>
      </c>
    </row>
    <row r="186" spans="1:6" ht="19.5" customHeight="1">
      <c r="A186" s="94" t="s">
        <v>338</v>
      </c>
      <c r="B186" s="95" t="s">
        <v>185</v>
      </c>
      <c r="C186" s="96" t="s">
        <v>455</v>
      </c>
      <c r="D186" s="97" t="s">
        <v>180</v>
      </c>
      <c r="E186" s="98" cm="1">
        <f t="array" ref="E186">IF(ISBLANK(C186),"",IFERROR(eValue(C186),IF(ISBLANK(G186),"",G186)))</f>
        <v>173.64499999999998</v>
      </c>
      <c r="F186" s="97" t="s">
        <v>14</v>
      </c>
    </row>
    <row r="187" spans="1:6" ht="19.5" customHeight="1">
      <c r="A187" s="94" t="s">
        <v>339</v>
      </c>
      <c r="B187" s="95" t="s">
        <v>181</v>
      </c>
      <c r="C187" s="96" t="s">
        <v>456</v>
      </c>
      <c r="D187" s="97" t="s">
        <v>180</v>
      </c>
      <c r="E187" s="98" cm="1">
        <f t="array" ref="E187">IF(ISBLANK(C187),"",IFERROR(eValue(C187),IF(ISBLANK(G187),"",G187)))</f>
        <v>13.78</v>
      </c>
      <c r="F187" s="97" t="s">
        <v>14</v>
      </c>
    </row>
    <row r="188" spans="1:6" ht="19.5" customHeight="1">
      <c r="A188" s="94" t="s">
        <v>340</v>
      </c>
      <c r="B188" s="115" t="s">
        <v>214</v>
      </c>
      <c r="C188" s="96" t="s">
        <v>457</v>
      </c>
      <c r="D188" s="97" t="s">
        <v>180</v>
      </c>
      <c r="E188" s="98" cm="1">
        <f t="array" ref="E188">IF(ISBLANK(C188),"",IFERROR(eValue(C188),IF(ISBLANK(G188),"",G188)))</f>
        <v>297.04000000000002</v>
      </c>
      <c r="F188" s="97" t="s">
        <v>57</v>
      </c>
    </row>
    <row r="189" spans="1:6" ht="25.5" customHeight="1">
      <c r="A189" s="94"/>
      <c r="B189" s="95"/>
      <c r="C189" s="104"/>
      <c r="D189" s="97"/>
      <c r="E189" s="98" t="str" cm="1">
        <f t="array" ref="E189">IF(ISBLANK(C189),"",IFERROR(eValue(C189),IF(ISBLANK(G189),"",G189)))</f>
        <v/>
      </c>
      <c r="F189" s="103"/>
    </row>
    <row r="190" spans="1:6" ht="28.5" customHeight="1">
      <c r="A190" s="88">
        <v>14</v>
      </c>
      <c r="B190" s="205" t="s">
        <v>510</v>
      </c>
      <c r="C190" s="90" t="s">
        <v>210</v>
      </c>
      <c r="D190" s="91"/>
      <c r="E190" s="92" t="str" cm="1">
        <f t="array" ref="E190">IF(ISBLANK(C190),"",IFERROR(eValue(C190),IF(ISBLANK(G190),"",G190)))</f>
        <v/>
      </c>
      <c r="F190" s="226" t="s">
        <v>79</v>
      </c>
    </row>
    <row r="191" spans="1:6" ht="19.5" customHeight="1">
      <c r="A191" s="94" t="s">
        <v>9</v>
      </c>
      <c r="B191" s="95" t="s">
        <v>179</v>
      </c>
      <c r="C191" s="96" t="s">
        <v>463</v>
      </c>
      <c r="D191" s="97" t="s">
        <v>180</v>
      </c>
      <c r="E191" s="98" cm="1">
        <f t="array" ref="E191">IF(ISBLANK(C191),"",IFERROR(eValue(C191),IF(ISBLANK(G191),"",G191)))</f>
        <v>40.86</v>
      </c>
      <c r="F191" s="97" t="s">
        <v>13</v>
      </c>
    </row>
    <row r="192" spans="1:6" ht="19.5" customHeight="1">
      <c r="A192" s="94" t="s">
        <v>10</v>
      </c>
      <c r="B192" s="100" t="s">
        <v>500</v>
      </c>
      <c r="C192" s="99" t="s">
        <v>464</v>
      </c>
      <c r="D192" s="97" t="s">
        <v>180</v>
      </c>
      <c r="E192" s="98" cm="1">
        <f t="array" ref="E192">IF(ISBLANK(C192),"",IFERROR(eValue(C192),IF(ISBLANK(G192),"",G192)))</f>
        <v>84.094999999999999</v>
      </c>
      <c r="F192" s="97" t="s">
        <v>12</v>
      </c>
    </row>
    <row r="193" spans="1:6" ht="19.5" customHeight="1">
      <c r="A193" s="94" t="s">
        <v>7</v>
      </c>
      <c r="B193" s="95" t="s">
        <v>185</v>
      </c>
      <c r="C193" s="96" t="s">
        <v>465</v>
      </c>
      <c r="D193" s="97" t="s">
        <v>180</v>
      </c>
      <c r="E193" s="98" cm="1">
        <f t="array" ref="E193">IF(ISBLANK(C193),"",IFERROR(eValue(C193),IF(ISBLANK(G193),"",G193)))</f>
        <v>6.24</v>
      </c>
      <c r="F193" s="97" t="s">
        <v>14</v>
      </c>
    </row>
    <row r="194" spans="1:6" ht="19.5" customHeight="1">
      <c r="A194" s="94" t="s">
        <v>8</v>
      </c>
      <c r="B194" s="115" t="s">
        <v>214</v>
      </c>
      <c r="C194" s="96" t="s">
        <v>462</v>
      </c>
      <c r="D194" s="97" t="s">
        <v>180</v>
      </c>
      <c r="E194" s="98" cm="1">
        <f t="array" ref="E194">IF(ISBLANK(C194),"",IFERROR(eValue(C194),IF(ISBLANK(G194),"",G194)))</f>
        <v>15.99</v>
      </c>
      <c r="F194" s="97" t="s">
        <v>57</v>
      </c>
    </row>
    <row r="195" spans="1:6" ht="24.95" customHeight="1">
      <c r="A195" s="94"/>
      <c r="B195" s="115"/>
      <c r="C195" s="101"/>
      <c r="D195" s="97"/>
      <c r="E195" s="98" t="str" cm="1">
        <f t="array" ref="E195">IF(ISBLANK(C195),"",IFERROR(eValue(C195),IF(ISBLANK(G195),"",G195)))</f>
        <v/>
      </c>
      <c r="F195" s="97"/>
    </row>
    <row r="196" spans="1:6" ht="28.5" customHeight="1">
      <c r="A196" s="88">
        <v>15</v>
      </c>
      <c r="B196" s="205" t="s">
        <v>412</v>
      </c>
      <c r="C196" s="90" t="s">
        <v>414</v>
      </c>
      <c r="D196" s="91"/>
      <c r="E196" s="92" t="str" cm="1">
        <f t="array" ref="E196">IF(ISBLANK(C196),"",IFERROR(eValue(C196),IF(ISBLANK(G196),"",G196)))</f>
        <v/>
      </c>
      <c r="F196" s="226" t="s">
        <v>504</v>
      </c>
    </row>
    <row r="197" spans="1:6" ht="19.5" customHeight="1">
      <c r="A197" s="94" t="s">
        <v>9</v>
      </c>
      <c r="B197" s="95" t="s">
        <v>179</v>
      </c>
      <c r="C197" s="96">
        <v>2</v>
      </c>
      <c r="D197" s="97" t="s">
        <v>180</v>
      </c>
      <c r="E197" s="98" cm="1">
        <f t="array" ref="E197">IF(ISBLANK(C197),"",IFERROR(eValue(C197),IF(ISBLANK(G197),"",G197)))</f>
        <v>2</v>
      </c>
      <c r="F197" s="97" t="s">
        <v>13</v>
      </c>
    </row>
    <row r="198" spans="1:6" ht="19.5" customHeight="1">
      <c r="A198" s="94" t="s">
        <v>10</v>
      </c>
      <c r="B198" s="100" t="s">
        <v>500</v>
      </c>
      <c r="C198" s="99">
        <v>12.77</v>
      </c>
      <c r="D198" s="97" t="s">
        <v>180</v>
      </c>
      <c r="E198" s="98" cm="1">
        <f t="array" ref="E198">IF(ISBLANK(C198),"",IFERROR(eValue(C198),IF(ISBLANK(G198),"",G198)))</f>
        <v>12.77</v>
      </c>
      <c r="F198" s="97" t="s">
        <v>12</v>
      </c>
    </row>
    <row r="199" spans="1:6" ht="19.5" customHeight="1">
      <c r="A199" s="94" t="s">
        <v>7</v>
      </c>
      <c r="B199" s="95" t="s">
        <v>185</v>
      </c>
      <c r="C199" s="96">
        <v>0.3</v>
      </c>
      <c r="D199" s="97" t="s">
        <v>180</v>
      </c>
      <c r="E199" s="98" cm="1">
        <f t="array" ref="E199">IF(ISBLANK(C199),"",IFERROR(eValue(C199),IF(ISBLANK(G199),"",G199)))</f>
        <v>0.3</v>
      </c>
      <c r="F199" s="97" t="s">
        <v>14</v>
      </c>
    </row>
    <row r="200" spans="1:6" ht="24.95" customHeight="1">
      <c r="A200" s="94"/>
      <c r="B200" s="115"/>
      <c r="C200" s="101"/>
      <c r="D200" s="97"/>
      <c r="E200" s="98" t="str" cm="1">
        <f t="array" ref="E200">IF(ISBLANK(C200),"",IFERROR(eValue(C200),IF(ISBLANK(G200),"",G200)))</f>
        <v/>
      </c>
      <c r="F200" s="97"/>
    </row>
    <row r="201" spans="1:6" ht="28.5" customHeight="1">
      <c r="A201" s="88">
        <v>16</v>
      </c>
      <c r="B201" s="205" t="s">
        <v>411</v>
      </c>
      <c r="C201" s="90" t="s">
        <v>413</v>
      </c>
      <c r="D201" s="91"/>
      <c r="E201" s="92" t="str" cm="1">
        <f t="array" ref="E201">IF(ISBLANK(C201),"",IFERROR(eValue(C201),IF(ISBLANK(G201),"",G201)))</f>
        <v/>
      </c>
      <c r="F201" s="93" t="s">
        <v>504</v>
      </c>
    </row>
    <row r="202" spans="1:6" ht="19.5" customHeight="1">
      <c r="A202" s="94" t="s">
        <v>9</v>
      </c>
      <c r="B202" s="95" t="s">
        <v>179</v>
      </c>
      <c r="C202" s="96">
        <v>2</v>
      </c>
      <c r="D202" s="97" t="s">
        <v>180</v>
      </c>
      <c r="E202" s="98" cm="1">
        <f t="array" ref="E202">IF(ISBLANK(C202),"",IFERROR(eValue(C202),IF(ISBLANK(G202),"",G202)))</f>
        <v>2</v>
      </c>
      <c r="F202" s="97" t="s">
        <v>13</v>
      </c>
    </row>
    <row r="203" spans="1:6" ht="19.5" customHeight="1">
      <c r="A203" s="94" t="s">
        <v>10</v>
      </c>
      <c r="B203" s="120" t="s">
        <v>499</v>
      </c>
      <c r="C203" s="99">
        <v>12.77</v>
      </c>
      <c r="D203" s="97" t="s">
        <v>180</v>
      </c>
      <c r="E203" s="98" cm="1">
        <f t="array" ref="E203">IF(ISBLANK(C203),"",IFERROR(eValue(C203),IF(ISBLANK(G203),"",G203)))</f>
        <v>12.77</v>
      </c>
      <c r="F203" s="97" t="s">
        <v>12</v>
      </c>
    </row>
    <row r="204" spans="1:6" ht="19.5" customHeight="1">
      <c r="A204" s="94" t="s">
        <v>7</v>
      </c>
      <c r="B204" s="95" t="s">
        <v>185</v>
      </c>
      <c r="C204" s="96">
        <v>0.2</v>
      </c>
      <c r="D204" s="97" t="s">
        <v>180</v>
      </c>
      <c r="E204" s="98" cm="1">
        <f t="array" ref="E204">IF(ISBLANK(C204),"",IFERROR(eValue(C204),IF(ISBLANK(G204),"",G204)))</f>
        <v>0.2</v>
      </c>
      <c r="F204" s="97" t="s">
        <v>14</v>
      </c>
    </row>
    <row r="205" spans="1:6" ht="24.95" customHeight="1">
      <c r="A205" s="94"/>
      <c r="B205" s="115"/>
      <c r="C205" s="101"/>
      <c r="D205" s="97"/>
      <c r="E205" s="98" t="str" cm="1">
        <f t="array" ref="E205">IF(ISBLANK(C205),"",IFERROR(eValue(C205),IF(ISBLANK(G205),"",G205)))</f>
        <v/>
      </c>
      <c r="F205" s="97"/>
    </row>
    <row r="206" spans="1:6" ht="19.5" customHeight="1">
      <c r="A206" s="105"/>
      <c r="B206" s="105"/>
      <c r="C206" s="105"/>
      <c r="D206" s="105"/>
      <c r="E206" s="105"/>
      <c r="F206" s="105"/>
    </row>
  </sheetData>
  <mergeCells count="3">
    <mergeCell ref="A1:F2"/>
    <mergeCell ref="A3:F3"/>
    <mergeCell ref="A4:F4"/>
  </mergeCells>
  <phoneticPr fontId="3" type="noConversion"/>
  <printOptions horizontalCentered="1"/>
  <pageMargins left="0.62992125984251968" right="0.27559055118110237" top="0.35433070866141736" bottom="0.59055118110236227" header="0.6692913385826772" footer="0.23622047244094491"/>
  <pageSetup paperSize="9" orientation="portrait" r:id="rId1"/>
  <headerFooter alignWithMargins="0">
    <oddHeader xml:space="preserve">&amp;R
</oddHeader>
    <oddFooter>&amp;L&amp;"標楷體,標準"計算:&amp;C&amp;"標楷體,標準"表2-&amp;P&amp;R&amp;"標楷體,標準"&amp;11松陽工程顧問有限公司</oddFooter>
  </headerFooter>
  <rowBreaks count="1" manualBreakCount="1">
    <brk id="93" max="5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N36"/>
  <sheetViews>
    <sheetView view="pageBreakPreview" zoomScaleNormal="55" zoomScaleSheetLayoutView="100" workbookViewId="0">
      <selection sqref="A1:N1"/>
    </sheetView>
  </sheetViews>
  <sheetFormatPr defaultRowHeight="15.75"/>
  <cols>
    <col min="1" max="1" width="1.625" style="81" customWidth="1"/>
    <col min="2" max="2" width="0.875" style="81" customWidth="1"/>
    <col min="3" max="3" width="4.5" style="81" customWidth="1"/>
    <col min="4" max="4" width="9.25" style="81" customWidth="1"/>
    <col min="5" max="5" width="4.125" style="81" customWidth="1"/>
    <col min="6" max="6" width="4.625" style="81" customWidth="1"/>
    <col min="7" max="7" width="6.25" style="81" customWidth="1"/>
    <col min="8" max="8" width="9.625" style="81" customWidth="1"/>
    <col min="9" max="9" width="9.625" style="82" customWidth="1"/>
    <col min="10" max="10" width="12.5" style="81" customWidth="1"/>
    <col min="11" max="11" width="9.625" style="81" customWidth="1"/>
    <col min="12" max="12" width="9.625" style="82" customWidth="1"/>
    <col min="13" max="13" width="14.375" style="81" customWidth="1"/>
    <col min="14" max="14" width="1.625" style="81" customWidth="1"/>
    <col min="15" max="256" width="9" style="60"/>
    <col min="257" max="257" width="1.625" style="60" customWidth="1"/>
    <col min="258" max="258" width="0.875" style="60" customWidth="1"/>
    <col min="259" max="259" width="4.5" style="60" customWidth="1"/>
    <col min="260" max="260" width="9.25" style="60" customWidth="1"/>
    <col min="261" max="261" width="4.125" style="60" customWidth="1"/>
    <col min="262" max="262" width="4.625" style="60" customWidth="1"/>
    <col min="263" max="263" width="6.25" style="60" customWidth="1"/>
    <col min="264" max="265" width="9.625" style="60" customWidth="1"/>
    <col min="266" max="266" width="12.5" style="60" customWidth="1"/>
    <col min="267" max="268" width="9.625" style="60" customWidth="1"/>
    <col min="269" max="269" width="14.375" style="60" customWidth="1"/>
    <col min="270" max="270" width="1.625" style="60" customWidth="1"/>
    <col min="271" max="512" width="9" style="60"/>
    <col min="513" max="513" width="1.625" style="60" customWidth="1"/>
    <col min="514" max="514" width="0.875" style="60" customWidth="1"/>
    <col min="515" max="515" width="4.5" style="60" customWidth="1"/>
    <col min="516" max="516" width="9.25" style="60" customWidth="1"/>
    <col min="517" max="517" width="4.125" style="60" customWidth="1"/>
    <col min="518" max="518" width="4.625" style="60" customWidth="1"/>
    <col min="519" max="519" width="6.25" style="60" customWidth="1"/>
    <col min="520" max="521" width="9.625" style="60" customWidth="1"/>
    <col min="522" max="522" width="12.5" style="60" customWidth="1"/>
    <col min="523" max="524" width="9.625" style="60" customWidth="1"/>
    <col min="525" max="525" width="14.375" style="60" customWidth="1"/>
    <col min="526" max="526" width="1.625" style="60" customWidth="1"/>
    <col min="527" max="768" width="9" style="60"/>
    <col min="769" max="769" width="1.625" style="60" customWidth="1"/>
    <col min="770" max="770" width="0.875" style="60" customWidth="1"/>
    <col min="771" max="771" width="4.5" style="60" customWidth="1"/>
    <col min="772" max="772" width="9.25" style="60" customWidth="1"/>
    <col min="773" max="773" width="4.125" style="60" customWidth="1"/>
    <col min="774" max="774" width="4.625" style="60" customWidth="1"/>
    <col min="775" max="775" width="6.25" style="60" customWidth="1"/>
    <col min="776" max="777" width="9.625" style="60" customWidth="1"/>
    <col min="778" max="778" width="12.5" style="60" customWidth="1"/>
    <col min="779" max="780" width="9.625" style="60" customWidth="1"/>
    <col min="781" max="781" width="14.375" style="60" customWidth="1"/>
    <col min="782" max="782" width="1.625" style="60" customWidth="1"/>
    <col min="783" max="1024" width="9" style="60"/>
    <col min="1025" max="1025" width="1.625" style="60" customWidth="1"/>
    <col min="1026" max="1026" width="0.875" style="60" customWidth="1"/>
    <col min="1027" max="1027" width="4.5" style="60" customWidth="1"/>
    <col min="1028" max="1028" width="9.25" style="60" customWidth="1"/>
    <col min="1029" max="1029" width="4.125" style="60" customWidth="1"/>
    <col min="1030" max="1030" width="4.625" style="60" customWidth="1"/>
    <col min="1031" max="1031" width="6.25" style="60" customWidth="1"/>
    <col min="1032" max="1033" width="9.625" style="60" customWidth="1"/>
    <col min="1034" max="1034" width="12.5" style="60" customWidth="1"/>
    <col min="1035" max="1036" width="9.625" style="60" customWidth="1"/>
    <col min="1037" max="1037" width="14.375" style="60" customWidth="1"/>
    <col min="1038" max="1038" width="1.625" style="60" customWidth="1"/>
    <col min="1039" max="1280" width="9" style="60"/>
    <col min="1281" max="1281" width="1.625" style="60" customWidth="1"/>
    <col min="1282" max="1282" width="0.875" style="60" customWidth="1"/>
    <col min="1283" max="1283" width="4.5" style="60" customWidth="1"/>
    <col min="1284" max="1284" width="9.25" style="60" customWidth="1"/>
    <col min="1285" max="1285" width="4.125" style="60" customWidth="1"/>
    <col min="1286" max="1286" width="4.625" style="60" customWidth="1"/>
    <col min="1287" max="1287" width="6.25" style="60" customWidth="1"/>
    <col min="1288" max="1289" width="9.625" style="60" customWidth="1"/>
    <col min="1290" max="1290" width="12.5" style="60" customWidth="1"/>
    <col min="1291" max="1292" width="9.625" style="60" customWidth="1"/>
    <col min="1293" max="1293" width="14.375" style="60" customWidth="1"/>
    <col min="1294" max="1294" width="1.625" style="60" customWidth="1"/>
    <col min="1295" max="1536" width="9" style="60"/>
    <col min="1537" max="1537" width="1.625" style="60" customWidth="1"/>
    <col min="1538" max="1538" width="0.875" style="60" customWidth="1"/>
    <col min="1539" max="1539" width="4.5" style="60" customWidth="1"/>
    <col min="1540" max="1540" width="9.25" style="60" customWidth="1"/>
    <col min="1541" max="1541" width="4.125" style="60" customWidth="1"/>
    <col min="1542" max="1542" width="4.625" style="60" customWidth="1"/>
    <col min="1543" max="1543" width="6.25" style="60" customWidth="1"/>
    <col min="1544" max="1545" width="9.625" style="60" customWidth="1"/>
    <col min="1546" max="1546" width="12.5" style="60" customWidth="1"/>
    <col min="1547" max="1548" width="9.625" style="60" customWidth="1"/>
    <col min="1549" max="1549" width="14.375" style="60" customWidth="1"/>
    <col min="1550" max="1550" width="1.625" style="60" customWidth="1"/>
    <col min="1551" max="1792" width="9" style="60"/>
    <col min="1793" max="1793" width="1.625" style="60" customWidth="1"/>
    <col min="1794" max="1794" width="0.875" style="60" customWidth="1"/>
    <col min="1795" max="1795" width="4.5" style="60" customWidth="1"/>
    <col min="1796" max="1796" width="9.25" style="60" customWidth="1"/>
    <col min="1797" max="1797" width="4.125" style="60" customWidth="1"/>
    <col min="1798" max="1798" width="4.625" style="60" customWidth="1"/>
    <col min="1799" max="1799" width="6.25" style="60" customWidth="1"/>
    <col min="1800" max="1801" width="9.625" style="60" customWidth="1"/>
    <col min="1802" max="1802" width="12.5" style="60" customWidth="1"/>
    <col min="1803" max="1804" width="9.625" style="60" customWidth="1"/>
    <col min="1805" max="1805" width="14.375" style="60" customWidth="1"/>
    <col min="1806" max="1806" width="1.625" style="60" customWidth="1"/>
    <col min="1807" max="2048" width="9" style="60"/>
    <col min="2049" max="2049" width="1.625" style="60" customWidth="1"/>
    <col min="2050" max="2050" width="0.875" style="60" customWidth="1"/>
    <col min="2051" max="2051" width="4.5" style="60" customWidth="1"/>
    <col min="2052" max="2052" width="9.25" style="60" customWidth="1"/>
    <col min="2053" max="2053" width="4.125" style="60" customWidth="1"/>
    <col min="2054" max="2054" width="4.625" style="60" customWidth="1"/>
    <col min="2055" max="2055" width="6.25" style="60" customWidth="1"/>
    <col min="2056" max="2057" width="9.625" style="60" customWidth="1"/>
    <col min="2058" max="2058" width="12.5" style="60" customWidth="1"/>
    <col min="2059" max="2060" width="9.625" style="60" customWidth="1"/>
    <col min="2061" max="2061" width="14.375" style="60" customWidth="1"/>
    <col min="2062" max="2062" width="1.625" style="60" customWidth="1"/>
    <col min="2063" max="2304" width="9" style="60"/>
    <col min="2305" max="2305" width="1.625" style="60" customWidth="1"/>
    <col min="2306" max="2306" width="0.875" style="60" customWidth="1"/>
    <col min="2307" max="2307" width="4.5" style="60" customWidth="1"/>
    <col min="2308" max="2308" width="9.25" style="60" customWidth="1"/>
    <col min="2309" max="2309" width="4.125" style="60" customWidth="1"/>
    <col min="2310" max="2310" width="4.625" style="60" customWidth="1"/>
    <col min="2311" max="2311" width="6.25" style="60" customWidth="1"/>
    <col min="2312" max="2313" width="9.625" style="60" customWidth="1"/>
    <col min="2314" max="2314" width="12.5" style="60" customWidth="1"/>
    <col min="2315" max="2316" width="9.625" style="60" customWidth="1"/>
    <col min="2317" max="2317" width="14.375" style="60" customWidth="1"/>
    <col min="2318" max="2318" width="1.625" style="60" customWidth="1"/>
    <col min="2319" max="2560" width="9" style="60"/>
    <col min="2561" max="2561" width="1.625" style="60" customWidth="1"/>
    <col min="2562" max="2562" width="0.875" style="60" customWidth="1"/>
    <col min="2563" max="2563" width="4.5" style="60" customWidth="1"/>
    <col min="2564" max="2564" width="9.25" style="60" customWidth="1"/>
    <col min="2565" max="2565" width="4.125" style="60" customWidth="1"/>
    <col min="2566" max="2566" width="4.625" style="60" customWidth="1"/>
    <col min="2567" max="2567" width="6.25" style="60" customWidth="1"/>
    <col min="2568" max="2569" width="9.625" style="60" customWidth="1"/>
    <col min="2570" max="2570" width="12.5" style="60" customWidth="1"/>
    <col min="2571" max="2572" width="9.625" style="60" customWidth="1"/>
    <col min="2573" max="2573" width="14.375" style="60" customWidth="1"/>
    <col min="2574" max="2574" width="1.625" style="60" customWidth="1"/>
    <col min="2575" max="2816" width="9" style="60"/>
    <col min="2817" max="2817" width="1.625" style="60" customWidth="1"/>
    <col min="2818" max="2818" width="0.875" style="60" customWidth="1"/>
    <col min="2819" max="2819" width="4.5" style="60" customWidth="1"/>
    <col min="2820" max="2820" width="9.25" style="60" customWidth="1"/>
    <col min="2821" max="2821" width="4.125" style="60" customWidth="1"/>
    <col min="2822" max="2822" width="4.625" style="60" customWidth="1"/>
    <col min="2823" max="2823" width="6.25" style="60" customWidth="1"/>
    <col min="2824" max="2825" width="9.625" style="60" customWidth="1"/>
    <col min="2826" max="2826" width="12.5" style="60" customWidth="1"/>
    <col min="2827" max="2828" width="9.625" style="60" customWidth="1"/>
    <col min="2829" max="2829" width="14.375" style="60" customWidth="1"/>
    <col min="2830" max="2830" width="1.625" style="60" customWidth="1"/>
    <col min="2831" max="3072" width="9" style="60"/>
    <col min="3073" max="3073" width="1.625" style="60" customWidth="1"/>
    <col min="3074" max="3074" width="0.875" style="60" customWidth="1"/>
    <col min="3075" max="3075" width="4.5" style="60" customWidth="1"/>
    <col min="3076" max="3076" width="9.25" style="60" customWidth="1"/>
    <col min="3077" max="3077" width="4.125" style="60" customWidth="1"/>
    <col min="3078" max="3078" width="4.625" style="60" customWidth="1"/>
    <col min="3079" max="3079" width="6.25" style="60" customWidth="1"/>
    <col min="3080" max="3081" width="9.625" style="60" customWidth="1"/>
    <col min="3082" max="3082" width="12.5" style="60" customWidth="1"/>
    <col min="3083" max="3084" width="9.625" style="60" customWidth="1"/>
    <col min="3085" max="3085" width="14.375" style="60" customWidth="1"/>
    <col min="3086" max="3086" width="1.625" style="60" customWidth="1"/>
    <col min="3087" max="3328" width="9" style="60"/>
    <col min="3329" max="3329" width="1.625" style="60" customWidth="1"/>
    <col min="3330" max="3330" width="0.875" style="60" customWidth="1"/>
    <col min="3331" max="3331" width="4.5" style="60" customWidth="1"/>
    <col min="3332" max="3332" width="9.25" style="60" customWidth="1"/>
    <col min="3333" max="3333" width="4.125" style="60" customWidth="1"/>
    <col min="3334" max="3334" width="4.625" style="60" customWidth="1"/>
    <col min="3335" max="3335" width="6.25" style="60" customWidth="1"/>
    <col min="3336" max="3337" width="9.625" style="60" customWidth="1"/>
    <col min="3338" max="3338" width="12.5" style="60" customWidth="1"/>
    <col min="3339" max="3340" width="9.625" style="60" customWidth="1"/>
    <col min="3341" max="3341" width="14.375" style="60" customWidth="1"/>
    <col min="3342" max="3342" width="1.625" style="60" customWidth="1"/>
    <col min="3343" max="3584" width="9" style="60"/>
    <col min="3585" max="3585" width="1.625" style="60" customWidth="1"/>
    <col min="3586" max="3586" width="0.875" style="60" customWidth="1"/>
    <col min="3587" max="3587" width="4.5" style="60" customWidth="1"/>
    <col min="3588" max="3588" width="9.25" style="60" customWidth="1"/>
    <col min="3589" max="3589" width="4.125" style="60" customWidth="1"/>
    <col min="3590" max="3590" width="4.625" style="60" customWidth="1"/>
    <col min="3591" max="3591" width="6.25" style="60" customWidth="1"/>
    <col min="3592" max="3593" width="9.625" style="60" customWidth="1"/>
    <col min="3594" max="3594" width="12.5" style="60" customWidth="1"/>
    <col min="3595" max="3596" width="9.625" style="60" customWidth="1"/>
    <col min="3597" max="3597" width="14.375" style="60" customWidth="1"/>
    <col min="3598" max="3598" width="1.625" style="60" customWidth="1"/>
    <col min="3599" max="3840" width="9" style="60"/>
    <col min="3841" max="3841" width="1.625" style="60" customWidth="1"/>
    <col min="3842" max="3842" width="0.875" style="60" customWidth="1"/>
    <col min="3843" max="3843" width="4.5" style="60" customWidth="1"/>
    <col min="3844" max="3844" width="9.25" style="60" customWidth="1"/>
    <col min="3845" max="3845" width="4.125" style="60" customWidth="1"/>
    <col min="3846" max="3846" width="4.625" style="60" customWidth="1"/>
    <col min="3847" max="3847" width="6.25" style="60" customWidth="1"/>
    <col min="3848" max="3849" width="9.625" style="60" customWidth="1"/>
    <col min="3850" max="3850" width="12.5" style="60" customWidth="1"/>
    <col min="3851" max="3852" width="9.625" style="60" customWidth="1"/>
    <col min="3853" max="3853" width="14.375" style="60" customWidth="1"/>
    <col min="3854" max="3854" width="1.625" style="60" customWidth="1"/>
    <col min="3855" max="4096" width="9" style="60"/>
    <col min="4097" max="4097" width="1.625" style="60" customWidth="1"/>
    <col min="4098" max="4098" width="0.875" style="60" customWidth="1"/>
    <col min="4099" max="4099" width="4.5" style="60" customWidth="1"/>
    <col min="4100" max="4100" width="9.25" style="60" customWidth="1"/>
    <col min="4101" max="4101" width="4.125" style="60" customWidth="1"/>
    <col min="4102" max="4102" width="4.625" style="60" customWidth="1"/>
    <col min="4103" max="4103" width="6.25" style="60" customWidth="1"/>
    <col min="4104" max="4105" width="9.625" style="60" customWidth="1"/>
    <col min="4106" max="4106" width="12.5" style="60" customWidth="1"/>
    <col min="4107" max="4108" width="9.625" style="60" customWidth="1"/>
    <col min="4109" max="4109" width="14.375" style="60" customWidth="1"/>
    <col min="4110" max="4110" width="1.625" style="60" customWidth="1"/>
    <col min="4111" max="4352" width="9" style="60"/>
    <col min="4353" max="4353" width="1.625" style="60" customWidth="1"/>
    <col min="4354" max="4354" width="0.875" style="60" customWidth="1"/>
    <col min="4355" max="4355" width="4.5" style="60" customWidth="1"/>
    <col min="4356" max="4356" width="9.25" style="60" customWidth="1"/>
    <col min="4357" max="4357" width="4.125" style="60" customWidth="1"/>
    <col min="4358" max="4358" width="4.625" style="60" customWidth="1"/>
    <col min="4359" max="4359" width="6.25" style="60" customWidth="1"/>
    <col min="4360" max="4361" width="9.625" style="60" customWidth="1"/>
    <col min="4362" max="4362" width="12.5" style="60" customWidth="1"/>
    <col min="4363" max="4364" width="9.625" style="60" customWidth="1"/>
    <col min="4365" max="4365" width="14.375" style="60" customWidth="1"/>
    <col min="4366" max="4366" width="1.625" style="60" customWidth="1"/>
    <col min="4367" max="4608" width="9" style="60"/>
    <col min="4609" max="4609" width="1.625" style="60" customWidth="1"/>
    <col min="4610" max="4610" width="0.875" style="60" customWidth="1"/>
    <col min="4611" max="4611" width="4.5" style="60" customWidth="1"/>
    <col min="4612" max="4612" width="9.25" style="60" customWidth="1"/>
    <col min="4613" max="4613" width="4.125" style="60" customWidth="1"/>
    <col min="4614" max="4614" width="4.625" style="60" customWidth="1"/>
    <col min="4615" max="4615" width="6.25" style="60" customWidth="1"/>
    <col min="4616" max="4617" width="9.625" style="60" customWidth="1"/>
    <col min="4618" max="4618" width="12.5" style="60" customWidth="1"/>
    <col min="4619" max="4620" width="9.625" style="60" customWidth="1"/>
    <col min="4621" max="4621" width="14.375" style="60" customWidth="1"/>
    <col min="4622" max="4622" width="1.625" style="60" customWidth="1"/>
    <col min="4623" max="4864" width="9" style="60"/>
    <col min="4865" max="4865" width="1.625" style="60" customWidth="1"/>
    <col min="4866" max="4866" width="0.875" style="60" customWidth="1"/>
    <col min="4867" max="4867" width="4.5" style="60" customWidth="1"/>
    <col min="4868" max="4868" width="9.25" style="60" customWidth="1"/>
    <col min="4869" max="4869" width="4.125" style="60" customWidth="1"/>
    <col min="4870" max="4870" width="4.625" style="60" customWidth="1"/>
    <col min="4871" max="4871" width="6.25" style="60" customWidth="1"/>
    <col min="4872" max="4873" width="9.625" style="60" customWidth="1"/>
    <col min="4874" max="4874" width="12.5" style="60" customWidth="1"/>
    <col min="4875" max="4876" width="9.625" style="60" customWidth="1"/>
    <col min="4877" max="4877" width="14.375" style="60" customWidth="1"/>
    <col min="4878" max="4878" width="1.625" style="60" customWidth="1"/>
    <col min="4879" max="5120" width="9" style="60"/>
    <col min="5121" max="5121" width="1.625" style="60" customWidth="1"/>
    <col min="5122" max="5122" width="0.875" style="60" customWidth="1"/>
    <col min="5123" max="5123" width="4.5" style="60" customWidth="1"/>
    <col min="5124" max="5124" width="9.25" style="60" customWidth="1"/>
    <col min="5125" max="5125" width="4.125" style="60" customWidth="1"/>
    <col min="5126" max="5126" width="4.625" style="60" customWidth="1"/>
    <col min="5127" max="5127" width="6.25" style="60" customWidth="1"/>
    <col min="5128" max="5129" width="9.625" style="60" customWidth="1"/>
    <col min="5130" max="5130" width="12.5" style="60" customWidth="1"/>
    <col min="5131" max="5132" width="9.625" style="60" customWidth="1"/>
    <col min="5133" max="5133" width="14.375" style="60" customWidth="1"/>
    <col min="5134" max="5134" width="1.625" style="60" customWidth="1"/>
    <col min="5135" max="5376" width="9" style="60"/>
    <col min="5377" max="5377" width="1.625" style="60" customWidth="1"/>
    <col min="5378" max="5378" width="0.875" style="60" customWidth="1"/>
    <col min="5379" max="5379" width="4.5" style="60" customWidth="1"/>
    <col min="5380" max="5380" width="9.25" style="60" customWidth="1"/>
    <col min="5381" max="5381" width="4.125" style="60" customWidth="1"/>
    <col min="5382" max="5382" width="4.625" style="60" customWidth="1"/>
    <col min="5383" max="5383" width="6.25" style="60" customWidth="1"/>
    <col min="5384" max="5385" width="9.625" style="60" customWidth="1"/>
    <col min="5386" max="5386" width="12.5" style="60" customWidth="1"/>
    <col min="5387" max="5388" width="9.625" style="60" customWidth="1"/>
    <col min="5389" max="5389" width="14.375" style="60" customWidth="1"/>
    <col min="5390" max="5390" width="1.625" style="60" customWidth="1"/>
    <col min="5391" max="5632" width="9" style="60"/>
    <col min="5633" max="5633" width="1.625" style="60" customWidth="1"/>
    <col min="5634" max="5634" width="0.875" style="60" customWidth="1"/>
    <col min="5635" max="5635" width="4.5" style="60" customWidth="1"/>
    <col min="5636" max="5636" width="9.25" style="60" customWidth="1"/>
    <col min="5637" max="5637" width="4.125" style="60" customWidth="1"/>
    <col min="5638" max="5638" width="4.625" style="60" customWidth="1"/>
    <col min="5639" max="5639" width="6.25" style="60" customWidth="1"/>
    <col min="5640" max="5641" width="9.625" style="60" customWidth="1"/>
    <col min="5642" max="5642" width="12.5" style="60" customWidth="1"/>
    <col min="5643" max="5644" width="9.625" style="60" customWidth="1"/>
    <col min="5645" max="5645" width="14.375" style="60" customWidth="1"/>
    <col min="5646" max="5646" width="1.625" style="60" customWidth="1"/>
    <col min="5647" max="5888" width="9" style="60"/>
    <col min="5889" max="5889" width="1.625" style="60" customWidth="1"/>
    <col min="5890" max="5890" width="0.875" style="60" customWidth="1"/>
    <col min="5891" max="5891" width="4.5" style="60" customWidth="1"/>
    <col min="5892" max="5892" width="9.25" style="60" customWidth="1"/>
    <col min="5893" max="5893" width="4.125" style="60" customWidth="1"/>
    <col min="5894" max="5894" width="4.625" style="60" customWidth="1"/>
    <col min="5895" max="5895" width="6.25" style="60" customWidth="1"/>
    <col min="5896" max="5897" width="9.625" style="60" customWidth="1"/>
    <col min="5898" max="5898" width="12.5" style="60" customWidth="1"/>
    <col min="5899" max="5900" width="9.625" style="60" customWidth="1"/>
    <col min="5901" max="5901" width="14.375" style="60" customWidth="1"/>
    <col min="5902" max="5902" width="1.625" style="60" customWidth="1"/>
    <col min="5903" max="6144" width="9" style="60"/>
    <col min="6145" max="6145" width="1.625" style="60" customWidth="1"/>
    <col min="6146" max="6146" width="0.875" style="60" customWidth="1"/>
    <col min="6147" max="6147" width="4.5" style="60" customWidth="1"/>
    <col min="6148" max="6148" width="9.25" style="60" customWidth="1"/>
    <col min="6149" max="6149" width="4.125" style="60" customWidth="1"/>
    <col min="6150" max="6150" width="4.625" style="60" customWidth="1"/>
    <col min="6151" max="6151" width="6.25" style="60" customWidth="1"/>
    <col min="6152" max="6153" width="9.625" style="60" customWidth="1"/>
    <col min="6154" max="6154" width="12.5" style="60" customWidth="1"/>
    <col min="6155" max="6156" width="9.625" style="60" customWidth="1"/>
    <col min="6157" max="6157" width="14.375" style="60" customWidth="1"/>
    <col min="6158" max="6158" width="1.625" style="60" customWidth="1"/>
    <col min="6159" max="6400" width="9" style="60"/>
    <col min="6401" max="6401" width="1.625" style="60" customWidth="1"/>
    <col min="6402" max="6402" width="0.875" style="60" customWidth="1"/>
    <col min="6403" max="6403" width="4.5" style="60" customWidth="1"/>
    <col min="6404" max="6404" width="9.25" style="60" customWidth="1"/>
    <col min="6405" max="6405" width="4.125" style="60" customWidth="1"/>
    <col min="6406" max="6406" width="4.625" style="60" customWidth="1"/>
    <col min="6407" max="6407" width="6.25" style="60" customWidth="1"/>
    <col min="6408" max="6409" width="9.625" style="60" customWidth="1"/>
    <col min="6410" max="6410" width="12.5" style="60" customWidth="1"/>
    <col min="6411" max="6412" width="9.625" style="60" customWidth="1"/>
    <col min="6413" max="6413" width="14.375" style="60" customWidth="1"/>
    <col min="6414" max="6414" width="1.625" style="60" customWidth="1"/>
    <col min="6415" max="6656" width="9" style="60"/>
    <col min="6657" max="6657" width="1.625" style="60" customWidth="1"/>
    <col min="6658" max="6658" width="0.875" style="60" customWidth="1"/>
    <col min="6659" max="6659" width="4.5" style="60" customWidth="1"/>
    <col min="6660" max="6660" width="9.25" style="60" customWidth="1"/>
    <col min="6661" max="6661" width="4.125" style="60" customWidth="1"/>
    <col min="6662" max="6662" width="4.625" style="60" customWidth="1"/>
    <col min="6663" max="6663" width="6.25" style="60" customWidth="1"/>
    <col min="6664" max="6665" width="9.625" style="60" customWidth="1"/>
    <col min="6666" max="6666" width="12.5" style="60" customWidth="1"/>
    <col min="6667" max="6668" width="9.625" style="60" customWidth="1"/>
    <col min="6669" max="6669" width="14.375" style="60" customWidth="1"/>
    <col min="6670" max="6670" width="1.625" style="60" customWidth="1"/>
    <col min="6671" max="6912" width="9" style="60"/>
    <col min="6913" max="6913" width="1.625" style="60" customWidth="1"/>
    <col min="6914" max="6914" width="0.875" style="60" customWidth="1"/>
    <col min="6915" max="6915" width="4.5" style="60" customWidth="1"/>
    <col min="6916" max="6916" width="9.25" style="60" customWidth="1"/>
    <col min="6917" max="6917" width="4.125" style="60" customWidth="1"/>
    <col min="6918" max="6918" width="4.625" style="60" customWidth="1"/>
    <col min="6919" max="6919" width="6.25" style="60" customWidth="1"/>
    <col min="6920" max="6921" width="9.625" style="60" customWidth="1"/>
    <col min="6922" max="6922" width="12.5" style="60" customWidth="1"/>
    <col min="6923" max="6924" width="9.625" style="60" customWidth="1"/>
    <col min="6925" max="6925" width="14.375" style="60" customWidth="1"/>
    <col min="6926" max="6926" width="1.625" style="60" customWidth="1"/>
    <col min="6927" max="7168" width="9" style="60"/>
    <col min="7169" max="7169" width="1.625" style="60" customWidth="1"/>
    <col min="7170" max="7170" width="0.875" style="60" customWidth="1"/>
    <col min="7171" max="7171" width="4.5" style="60" customWidth="1"/>
    <col min="7172" max="7172" width="9.25" style="60" customWidth="1"/>
    <col min="7173" max="7173" width="4.125" style="60" customWidth="1"/>
    <col min="7174" max="7174" width="4.625" style="60" customWidth="1"/>
    <col min="7175" max="7175" width="6.25" style="60" customWidth="1"/>
    <col min="7176" max="7177" width="9.625" style="60" customWidth="1"/>
    <col min="7178" max="7178" width="12.5" style="60" customWidth="1"/>
    <col min="7179" max="7180" width="9.625" style="60" customWidth="1"/>
    <col min="7181" max="7181" width="14.375" style="60" customWidth="1"/>
    <col min="7182" max="7182" width="1.625" style="60" customWidth="1"/>
    <col min="7183" max="7424" width="9" style="60"/>
    <col min="7425" max="7425" width="1.625" style="60" customWidth="1"/>
    <col min="7426" max="7426" width="0.875" style="60" customWidth="1"/>
    <col min="7427" max="7427" width="4.5" style="60" customWidth="1"/>
    <col min="7428" max="7428" width="9.25" style="60" customWidth="1"/>
    <col min="7429" max="7429" width="4.125" style="60" customWidth="1"/>
    <col min="7430" max="7430" width="4.625" style="60" customWidth="1"/>
    <col min="7431" max="7431" width="6.25" style="60" customWidth="1"/>
    <col min="7432" max="7433" width="9.625" style="60" customWidth="1"/>
    <col min="7434" max="7434" width="12.5" style="60" customWidth="1"/>
    <col min="7435" max="7436" width="9.625" style="60" customWidth="1"/>
    <col min="7437" max="7437" width="14.375" style="60" customWidth="1"/>
    <col min="7438" max="7438" width="1.625" style="60" customWidth="1"/>
    <col min="7439" max="7680" width="9" style="60"/>
    <col min="7681" max="7681" width="1.625" style="60" customWidth="1"/>
    <col min="7682" max="7682" width="0.875" style="60" customWidth="1"/>
    <col min="7683" max="7683" width="4.5" style="60" customWidth="1"/>
    <col min="7684" max="7684" width="9.25" style="60" customWidth="1"/>
    <col min="7685" max="7685" width="4.125" style="60" customWidth="1"/>
    <col min="7686" max="7686" width="4.625" style="60" customWidth="1"/>
    <col min="7687" max="7687" width="6.25" style="60" customWidth="1"/>
    <col min="7688" max="7689" width="9.625" style="60" customWidth="1"/>
    <col min="7690" max="7690" width="12.5" style="60" customWidth="1"/>
    <col min="7691" max="7692" width="9.625" style="60" customWidth="1"/>
    <col min="7693" max="7693" width="14.375" style="60" customWidth="1"/>
    <col min="7694" max="7694" width="1.625" style="60" customWidth="1"/>
    <col min="7695" max="7936" width="9" style="60"/>
    <col min="7937" max="7937" width="1.625" style="60" customWidth="1"/>
    <col min="7938" max="7938" width="0.875" style="60" customWidth="1"/>
    <col min="7939" max="7939" width="4.5" style="60" customWidth="1"/>
    <col min="7940" max="7940" width="9.25" style="60" customWidth="1"/>
    <col min="7941" max="7941" width="4.125" style="60" customWidth="1"/>
    <col min="7942" max="7942" width="4.625" style="60" customWidth="1"/>
    <col min="7943" max="7943" width="6.25" style="60" customWidth="1"/>
    <col min="7944" max="7945" width="9.625" style="60" customWidth="1"/>
    <col min="7946" max="7946" width="12.5" style="60" customWidth="1"/>
    <col min="7947" max="7948" width="9.625" style="60" customWidth="1"/>
    <col min="7949" max="7949" width="14.375" style="60" customWidth="1"/>
    <col min="7950" max="7950" width="1.625" style="60" customWidth="1"/>
    <col min="7951" max="8192" width="9" style="60"/>
    <col min="8193" max="8193" width="1.625" style="60" customWidth="1"/>
    <col min="8194" max="8194" width="0.875" style="60" customWidth="1"/>
    <col min="8195" max="8195" width="4.5" style="60" customWidth="1"/>
    <col min="8196" max="8196" width="9.25" style="60" customWidth="1"/>
    <col min="8197" max="8197" width="4.125" style="60" customWidth="1"/>
    <col min="8198" max="8198" width="4.625" style="60" customWidth="1"/>
    <col min="8199" max="8199" width="6.25" style="60" customWidth="1"/>
    <col min="8200" max="8201" width="9.625" style="60" customWidth="1"/>
    <col min="8202" max="8202" width="12.5" style="60" customWidth="1"/>
    <col min="8203" max="8204" width="9.625" style="60" customWidth="1"/>
    <col min="8205" max="8205" width="14.375" style="60" customWidth="1"/>
    <col min="8206" max="8206" width="1.625" style="60" customWidth="1"/>
    <col min="8207" max="8448" width="9" style="60"/>
    <col min="8449" max="8449" width="1.625" style="60" customWidth="1"/>
    <col min="8450" max="8450" width="0.875" style="60" customWidth="1"/>
    <col min="8451" max="8451" width="4.5" style="60" customWidth="1"/>
    <col min="8452" max="8452" width="9.25" style="60" customWidth="1"/>
    <col min="8453" max="8453" width="4.125" style="60" customWidth="1"/>
    <col min="8454" max="8454" width="4.625" style="60" customWidth="1"/>
    <col min="8455" max="8455" width="6.25" style="60" customWidth="1"/>
    <col min="8456" max="8457" width="9.625" style="60" customWidth="1"/>
    <col min="8458" max="8458" width="12.5" style="60" customWidth="1"/>
    <col min="8459" max="8460" width="9.625" style="60" customWidth="1"/>
    <col min="8461" max="8461" width="14.375" style="60" customWidth="1"/>
    <col min="8462" max="8462" width="1.625" style="60" customWidth="1"/>
    <col min="8463" max="8704" width="9" style="60"/>
    <col min="8705" max="8705" width="1.625" style="60" customWidth="1"/>
    <col min="8706" max="8706" width="0.875" style="60" customWidth="1"/>
    <col min="8707" max="8707" width="4.5" style="60" customWidth="1"/>
    <col min="8708" max="8708" width="9.25" style="60" customWidth="1"/>
    <col min="8709" max="8709" width="4.125" style="60" customWidth="1"/>
    <col min="8710" max="8710" width="4.625" style="60" customWidth="1"/>
    <col min="8711" max="8711" width="6.25" style="60" customWidth="1"/>
    <col min="8712" max="8713" width="9.625" style="60" customWidth="1"/>
    <col min="8714" max="8714" width="12.5" style="60" customWidth="1"/>
    <col min="8715" max="8716" width="9.625" style="60" customWidth="1"/>
    <col min="8717" max="8717" width="14.375" style="60" customWidth="1"/>
    <col min="8718" max="8718" width="1.625" style="60" customWidth="1"/>
    <col min="8719" max="8960" width="9" style="60"/>
    <col min="8961" max="8961" width="1.625" style="60" customWidth="1"/>
    <col min="8962" max="8962" width="0.875" style="60" customWidth="1"/>
    <col min="8963" max="8963" width="4.5" style="60" customWidth="1"/>
    <col min="8964" max="8964" width="9.25" style="60" customWidth="1"/>
    <col min="8965" max="8965" width="4.125" style="60" customWidth="1"/>
    <col min="8966" max="8966" width="4.625" style="60" customWidth="1"/>
    <col min="8967" max="8967" width="6.25" style="60" customWidth="1"/>
    <col min="8968" max="8969" width="9.625" style="60" customWidth="1"/>
    <col min="8970" max="8970" width="12.5" style="60" customWidth="1"/>
    <col min="8971" max="8972" width="9.625" style="60" customWidth="1"/>
    <col min="8973" max="8973" width="14.375" style="60" customWidth="1"/>
    <col min="8974" max="8974" width="1.625" style="60" customWidth="1"/>
    <col min="8975" max="9216" width="9" style="60"/>
    <col min="9217" max="9217" width="1.625" style="60" customWidth="1"/>
    <col min="9218" max="9218" width="0.875" style="60" customWidth="1"/>
    <col min="9219" max="9219" width="4.5" style="60" customWidth="1"/>
    <col min="9220" max="9220" width="9.25" style="60" customWidth="1"/>
    <col min="9221" max="9221" width="4.125" style="60" customWidth="1"/>
    <col min="9222" max="9222" width="4.625" style="60" customWidth="1"/>
    <col min="9223" max="9223" width="6.25" style="60" customWidth="1"/>
    <col min="9224" max="9225" width="9.625" style="60" customWidth="1"/>
    <col min="9226" max="9226" width="12.5" style="60" customWidth="1"/>
    <col min="9227" max="9228" width="9.625" style="60" customWidth="1"/>
    <col min="9229" max="9229" width="14.375" style="60" customWidth="1"/>
    <col min="9230" max="9230" width="1.625" style="60" customWidth="1"/>
    <col min="9231" max="9472" width="9" style="60"/>
    <col min="9473" max="9473" width="1.625" style="60" customWidth="1"/>
    <col min="9474" max="9474" width="0.875" style="60" customWidth="1"/>
    <col min="9475" max="9475" width="4.5" style="60" customWidth="1"/>
    <col min="9476" max="9476" width="9.25" style="60" customWidth="1"/>
    <col min="9477" max="9477" width="4.125" style="60" customWidth="1"/>
    <col min="9478" max="9478" width="4.625" style="60" customWidth="1"/>
    <col min="9479" max="9479" width="6.25" style="60" customWidth="1"/>
    <col min="9480" max="9481" width="9.625" style="60" customWidth="1"/>
    <col min="9482" max="9482" width="12.5" style="60" customWidth="1"/>
    <col min="9483" max="9484" width="9.625" style="60" customWidth="1"/>
    <col min="9485" max="9485" width="14.375" style="60" customWidth="1"/>
    <col min="9486" max="9486" width="1.625" style="60" customWidth="1"/>
    <col min="9487" max="9728" width="9" style="60"/>
    <col min="9729" max="9729" width="1.625" style="60" customWidth="1"/>
    <col min="9730" max="9730" width="0.875" style="60" customWidth="1"/>
    <col min="9731" max="9731" width="4.5" style="60" customWidth="1"/>
    <col min="9732" max="9732" width="9.25" style="60" customWidth="1"/>
    <col min="9733" max="9733" width="4.125" style="60" customWidth="1"/>
    <col min="9734" max="9734" width="4.625" style="60" customWidth="1"/>
    <col min="9735" max="9735" width="6.25" style="60" customWidth="1"/>
    <col min="9736" max="9737" width="9.625" style="60" customWidth="1"/>
    <col min="9738" max="9738" width="12.5" style="60" customWidth="1"/>
    <col min="9739" max="9740" width="9.625" style="60" customWidth="1"/>
    <col min="9741" max="9741" width="14.375" style="60" customWidth="1"/>
    <col min="9742" max="9742" width="1.625" style="60" customWidth="1"/>
    <col min="9743" max="9984" width="9" style="60"/>
    <col min="9985" max="9985" width="1.625" style="60" customWidth="1"/>
    <col min="9986" max="9986" width="0.875" style="60" customWidth="1"/>
    <col min="9987" max="9987" width="4.5" style="60" customWidth="1"/>
    <col min="9988" max="9988" width="9.25" style="60" customWidth="1"/>
    <col min="9989" max="9989" width="4.125" style="60" customWidth="1"/>
    <col min="9990" max="9990" width="4.625" style="60" customWidth="1"/>
    <col min="9991" max="9991" width="6.25" style="60" customWidth="1"/>
    <col min="9992" max="9993" width="9.625" style="60" customWidth="1"/>
    <col min="9994" max="9994" width="12.5" style="60" customWidth="1"/>
    <col min="9995" max="9996" width="9.625" style="60" customWidth="1"/>
    <col min="9997" max="9997" width="14.375" style="60" customWidth="1"/>
    <col min="9998" max="9998" width="1.625" style="60" customWidth="1"/>
    <col min="9999" max="10240" width="9" style="60"/>
    <col min="10241" max="10241" width="1.625" style="60" customWidth="1"/>
    <col min="10242" max="10242" width="0.875" style="60" customWidth="1"/>
    <col min="10243" max="10243" width="4.5" style="60" customWidth="1"/>
    <col min="10244" max="10244" width="9.25" style="60" customWidth="1"/>
    <col min="10245" max="10245" width="4.125" style="60" customWidth="1"/>
    <col min="10246" max="10246" width="4.625" style="60" customWidth="1"/>
    <col min="10247" max="10247" width="6.25" style="60" customWidth="1"/>
    <col min="10248" max="10249" width="9.625" style="60" customWidth="1"/>
    <col min="10250" max="10250" width="12.5" style="60" customWidth="1"/>
    <col min="10251" max="10252" width="9.625" style="60" customWidth="1"/>
    <col min="10253" max="10253" width="14.375" style="60" customWidth="1"/>
    <col min="10254" max="10254" width="1.625" style="60" customWidth="1"/>
    <col min="10255" max="10496" width="9" style="60"/>
    <col min="10497" max="10497" width="1.625" style="60" customWidth="1"/>
    <col min="10498" max="10498" width="0.875" style="60" customWidth="1"/>
    <col min="10499" max="10499" width="4.5" style="60" customWidth="1"/>
    <col min="10500" max="10500" width="9.25" style="60" customWidth="1"/>
    <col min="10501" max="10501" width="4.125" style="60" customWidth="1"/>
    <col min="10502" max="10502" width="4.625" style="60" customWidth="1"/>
    <col min="10503" max="10503" width="6.25" style="60" customWidth="1"/>
    <col min="10504" max="10505" width="9.625" style="60" customWidth="1"/>
    <col min="10506" max="10506" width="12.5" style="60" customWidth="1"/>
    <col min="10507" max="10508" width="9.625" style="60" customWidth="1"/>
    <col min="10509" max="10509" width="14.375" style="60" customWidth="1"/>
    <col min="10510" max="10510" width="1.625" style="60" customWidth="1"/>
    <col min="10511" max="10752" width="9" style="60"/>
    <col min="10753" max="10753" width="1.625" style="60" customWidth="1"/>
    <col min="10754" max="10754" width="0.875" style="60" customWidth="1"/>
    <col min="10755" max="10755" width="4.5" style="60" customWidth="1"/>
    <col min="10756" max="10756" width="9.25" style="60" customWidth="1"/>
    <col min="10757" max="10757" width="4.125" style="60" customWidth="1"/>
    <col min="10758" max="10758" width="4.625" style="60" customWidth="1"/>
    <col min="10759" max="10759" width="6.25" style="60" customWidth="1"/>
    <col min="10760" max="10761" width="9.625" style="60" customWidth="1"/>
    <col min="10762" max="10762" width="12.5" style="60" customWidth="1"/>
    <col min="10763" max="10764" width="9.625" style="60" customWidth="1"/>
    <col min="10765" max="10765" width="14.375" style="60" customWidth="1"/>
    <col min="10766" max="10766" width="1.625" style="60" customWidth="1"/>
    <col min="10767" max="11008" width="9" style="60"/>
    <col min="11009" max="11009" width="1.625" style="60" customWidth="1"/>
    <col min="11010" max="11010" width="0.875" style="60" customWidth="1"/>
    <col min="11011" max="11011" width="4.5" style="60" customWidth="1"/>
    <col min="11012" max="11012" width="9.25" style="60" customWidth="1"/>
    <col min="11013" max="11013" width="4.125" style="60" customWidth="1"/>
    <col min="11014" max="11014" width="4.625" style="60" customWidth="1"/>
    <col min="11015" max="11015" width="6.25" style="60" customWidth="1"/>
    <col min="11016" max="11017" width="9.625" style="60" customWidth="1"/>
    <col min="11018" max="11018" width="12.5" style="60" customWidth="1"/>
    <col min="11019" max="11020" width="9.625" style="60" customWidth="1"/>
    <col min="11021" max="11021" width="14.375" style="60" customWidth="1"/>
    <col min="11022" max="11022" width="1.625" style="60" customWidth="1"/>
    <col min="11023" max="11264" width="9" style="60"/>
    <col min="11265" max="11265" width="1.625" style="60" customWidth="1"/>
    <col min="11266" max="11266" width="0.875" style="60" customWidth="1"/>
    <col min="11267" max="11267" width="4.5" style="60" customWidth="1"/>
    <col min="11268" max="11268" width="9.25" style="60" customWidth="1"/>
    <col min="11269" max="11269" width="4.125" style="60" customWidth="1"/>
    <col min="11270" max="11270" width="4.625" style="60" customWidth="1"/>
    <col min="11271" max="11271" width="6.25" style="60" customWidth="1"/>
    <col min="11272" max="11273" width="9.625" style="60" customWidth="1"/>
    <col min="11274" max="11274" width="12.5" style="60" customWidth="1"/>
    <col min="11275" max="11276" width="9.625" style="60" customWidth="1"/>
    <col min="11277" max="11277" width="14.375" style="60" customWidth="1"/>
    <col min="11278" max="11278" width="1.625" style="60" customWidth="1"/>
    <col min="11279" max="11520" width="9" style="60"/>
    <col min="11521" max="11521" width="1.625" style="60" customWidth="1"/>
    <col min="11522" max="11522" width="0.875" style="60" customWidth="1"/>
    <col min="11523" max="11523" width="4.5" style="60" customWidth="1"/>
    <col min="11524" max="11524" width="9.25" style="60" customWidth="1"/>
    <col min="11525" max="11525" width="4.125" style="60" customWidth="1"/>
    <col min="11526" max="11526" width="4.625" style="60" customWidth="1"/>
    <col min="11527" max="11527" width="6.25" style="60" customWidth="1"/>
    <col min="11528" max="11529" width="9.625" style="60" customWidth="1"/>
    <col min="11530" max="11530" width="12.5" style="60" customWidth="1"/>
    <col min="11531" max="11532" width="9.625" style="60" customWidth="1"/>
    <col min="11533" max="11533" width="14.375" style="60" customWidth="1"/>
    <col min="11534" max="11534" width="1.625" style="60" customWidth="1"/>
    <col min="11535" max="11776" width="9" style="60"/>
    <col min="11777" max="11777" width="1.625" style="60" customWidth="1"/>
    <col min="11778" max="11778" width="0.875" style="60" customWidth="1"/>
    <col min="11779" max="11779" width="4.5" style="60" customWidth="1"/>
    <col min="11780" max="11780" width="9.25" style="60" customWidth="1"/>
    <col min="11781" max="11781" width="4.125" style="60" customWidth="1"/>
    <col min="11782" max="11782" width="4.625" style="60" customWidth="1"/>
    <col min="11783" max="11783" width="6.25" style="60" customWidth="1"/>
    <col min="11784" max="11785" width="9.625" style="60" customWidth="1"/>
    <col min="11786" max="11786" width="12.5" style="60" customWidth="1"/>
    <col min="11787" max="11788" width="9.625" style="60" customWidth="1"/>
    <col min="11789" max="11789" width="14.375" style="60" customWidth="1"/>
    <col min="11790" max="11790" width="1.625" style="60" customWidth="1"/>
    <col min="11791" max="12032" width="9" style="60"/>
    <col min="12033" max="12033" width="1.625" style="60" customWidth="1"/>
    <col min="12034" max="12034" width="0.875" style="60" customWidth="1"/>
    <col min="12035" max="12035" width="4.5" style="60" customWidth="1"/>
    <col min="12036" max="12036" width="9.25" style="60" customWidth="1"/>
    <col min="12037" max="12037" width="4.125" style="60" customWidth="1"/>
    <col min="12038" max="12038" width="4.625" style="60" customWidth="1"/>
    <col min="12039" max="12039" width="6.25" style="60" customWidth="1"/>
    <col min="12040" max="12041" width="9.625" style="60" customWidth="1"/>
    <col min="12042" max="12042" width="12.5" style="60" customWidth="1"/>
    <col min="12043" max="12044" width="9.625" style="60" customWidth="1"/>
    <col min="12045" max="12045" width="14.375" style="60" customWidth="1"/>
    <col min="12046" max="12046" width="1.625" style="60" customWidth="1"/>
    <col min="12047" max="12288" width="9" style="60"/>
    <col min="12289" max="12289" width="1.625" style="60" customWidth="1"/>
    <col min="12290" max="12290" width="0.875" style="60" customWidth="1"/>
    <col min="12291" max="12291" width="4.5" style="60" customWidth="1"/>
    <col min="12292" max="12292" width="9.25" style="60" customWidth="1"/>
    <col min="12293" max="12293" width="4.125" style="60" customWidth="1"/>
    <col min="12294" max="12294" width="4.625" style="60" customWidth="1"/>
    <col min="12295" max="12295" width="6.25" style="60" customWidth="1"/>
    <col min="12296" max="12297" width="9.625" style="60" customWidth="1"/>
    <col min="12298" max="12298" width="12.5" style="60" customWidth="1"/>
    <col min="12299" max="12300" width="9.625" style="60" customWidth="1"/>
    <col min="12301" max="12301" width="14.375" style="60" customWidth="1"/>
    <col min="12302" max="12302" width="1.625" style="60" customWidth="1"/>
    <col min="12303" max="12544" width="9" style="60"/>
    <col min="12545" max="12545" width="1.625" style="60" customWidth="1"/>
    <col min="12546" max="12546" width="0.875" style="60" customWidth="1"/>
    <col min="12547" max="12547" width="4.5" style="60" customWidth="1"/>
    <col min="12548" max="12548" width="9.25" style="60" customWidth="1"/>
    <col min="12549" max="12549" width="4.125" style="60" customWidth="1"/>
    <col min="12550" max="12550" width="4.625" style="60" customWidth="1"/>
    <col min="12551" max="12551" width="6.25" style="60" customWidth="1"/>
    <col min="12552" max="12553" width="9.625" style="60" customWidth="1"/>
    <col min="12554" max="12554" width="12.5" style="60" customWidth="1"/>
    <col min="12555" max="12556" width="9.625" style="60" customWidth="1"/>
    <col min="12557" max="12557" width="14.375" style="60" customWidth="1"/>
    <col min="12558" max="12558" width="1.625" style="60" customWidth="1"/>
    <col min="12559" max="12800" width="9" style="60"/>
    <col min="12801" max="12801" width="1.625" style="60" customWidth="1"/>
    <col min="12802" max="12802" width="0.875" style="60" customWidth="1"/>
    <col min="12803" max="12803" width="4.5" style="60" customWidth="1"/>
    <col min="12804" max="12804" width="9.25" style="60" customWidth="1"/>
    <col min="12805" max="12805" width="4.125" style="60" customWidth="1"/>
    <col min="12806" max="12806" width="4.625" style="60" customWidth="1"/>
    <col min="12807" max="12807" width="6.25" style="60" customWidth="1"/>
    <col min="12808" max="12809" width="9.625" style="60" customWidth="1"/>
    <col min="12810" max="12810" width="12.5" style="60" customWidth="1"/>
    <col min="12811" max="12812" width="9.625" style="60" customWidth="1"/>
    <col min="12813" max="12813" width="14.375" style="60" customWidth="1"/>
    <col min="12814" max="12814" width="1.625" style="60" customWidth="1"/>
    <col min="12815" max="13056" width="9" style="60"/>
    <col min="13057" max="13057" width="1.625" style="60" customWidth="1"/>
    <col min="13058" max="13058" width="0.875" style="60" customWidth="1"/>
    <col min="13059" max="13059" width="4.5" style="60" customWidth="1"/>
    <col min="13060" max="13060" width="9.25" style="60" customWidth="1"/>
    <col min="13061" max="13061" width="4.125" style="60" customWidth="1"/>
    <col min="13062" max="13062" width="4.625" style="60" customWidth="1"/>
    <col min="13063" max="13063" width="6.25" style="60" customWidth="1"/>
    <col min="13064" max="13065" width="9.625" style="60" customWidth="1"/>
    <col min="13066" max="13066" width="12.5" style="60" customWidth="1"/>
    <col min="13067" max="13068" width="9.625" style="60" customWidth="1"/>
    <col min="13069" max="13069" width="14.375" style="60" customWidth="1"/>
    <col min="13070" max="13070" width="1.625" style="60" customWidth="1"/>
    <col min="13071" max="13312" width="9" style="60"/>
    <col min="13313" max="13313" width="1.625" style="60" customWidth="1"/>
    <col min="13314" max="13314" width="0.875" style="60" customWidth="1"/>
    <col min="13315" max="13315" width="4.5" style="60" customWidth="1"/>
    <col min="13316" max="13316" width="9.25" style="60" customWidth="1"/>
    <col min="13317" max="13317" width="4.125" style="60" customWidth="1"/>
    <col min="13318" max="13318" width="4.625" style="60" customWidth="1"/>
    <col min="13319" max="13319" width="6.25" style="60" customWidth="1"/>
    <col min="13320" max="13321" width="9.625" style="60" customWidth="1"/>
    <col min="13322" max="13322" width="12.5" style="60" customWidth="1"/>
    <col min="13323" max="13324" width="9.625" style="60" customWidth="1"/>
    <col min="13325" max="13325" width="14.375" style="60" customWidth="1"/>
    <col min="13326" max="13326" width="1.625" style="60" customWidth="1"/>
    <col min="13327" max="13568" width="9" style="60"/>
    <col min="13569" max="13569" width="1.625" style="60" customWidth="1"/>
    <col min="13570" max="13570" width="0.875" style="60" customWidth="1"/>
    <col min="13571" max="13571" width="4.5" style="60" customWidth="1"/>
    <col min="13572" max="13572" width="9.25" style="60" customWidth="1"/>
    <col min="13573" max="13573" width="4.125" style="60" customWidth="1"/>
    <col min="13574" max="13574" width="4.625" style="60" customWidth="1"/>
    <col min="13575" max="13575" width="6.25" style="60" customWidth="1"/>
    <col min="13576" max="13577" width="9.625" style="60" customWidth="1"/>
    <col min="13578" max="13578" width="12.5" style="60" customWidth="1"/>
    <col min="13579" max="13580" width="9.625" style="60" customWidth="1"/>
    <col min="13581" max="13581" width="14.375" style="60" customWidth="1"/>
    <col min="13582" max="13582" width="1.625" style="60" customWidth="1"/>
    <col min="13583" max="13824" width="9" style="60"/>
    <col min="13825" max="13825" width="1.625" style="60" customWidth="1"/>
    <col min="13826" max="13826" width="0.875" style="60" customWidth="1"/>
    <col min="13827" max="13827" width="4.5" style="60" customWidth="1"/>
    <col min="13828" max="13828" width="9.25" style="60" customWidth="1"/>
    <col min="13829" max="13829" width="4.125" style="60" customWidth="1"/>
    <col min="13830" max="13830" width="4.625" style="60" customWidth="1"/>
    <col min="13831" max="13831" width="6.25" style="60" customWidth="1"/>
    <col min="13832" max="13833" width="9.625" style="60" customWidth="1"/>
    <col min="13834" max="13834" width="12.5" style="60" customWidth="1"/>
    <col min="13835" max="13836" width="9.625" style="60" customWidth="1"/>
    <col min="13837" max="13837" width="14.375" style="60" customWidth="1"/>
    <col min="13838" max="13838" width="1.625" style="60" customWidth="1"/>
    <col min="13839" max="14080" width="9" style="60"/>
    <col min="14081" max="14081" width="1.625" style="60" customWidth="1"/>
    <col min="14082" max="14082" width="0.875" style="60" customWidth="1"/>
    <col min="14083" max="14083" width="4.5" style="60" customWidth="1"/>
    <col min="14084" max="14084" width="9.25" style="60" customWidth="1"/>
    <col min="14085" max="14085" width="4.125" style="60" customWidth="1"/>
    <col min="14086" max="14086" width="4.625" style="60" customWidth="1"/>
    <col min="14087" max="14087" width="6.25" style="60" customWidth="1"/>
    <col min="14088" max="14089" width="9.625" style="60" customWidth="1"/>
    <col min="14090" max="14090" width="12.5" style="60" customWidth="1"/>
    <col min="14091" max="14092" width="9.625" style="60" customWidth="1"/>
    <col min="14093" max="14093" width="14.375" style="60" customWidth="1"/>
    <col min="14094" max="14094" width="1.625" style="60" customWidth="1"/>
    <col min="14095" max="14336" width="9" style="60"/>
    <col min="14337" max="14337" width="1.625" style="60" customWidth="1"/>
    <col min="14338" max="14338" width="0.875" style="60" customWidth="1"/>
    <col min="14339" max="14339" width="4.5" style="60" customWidth="1"/>
    <col min="14340" max="14340" width="9.25" style="60" customWidth="1"/>
    <col min="14341" max="14341" width="4.125" style="60" customWidth="1"/>
    <col min="14342" max="14342" width="4.625" style="60" customWidth="1"/>
    <col min="14343" max="14343" width="6.25" style="60" customWidth="1"/>
    <col min="14344" max="14345" width="9.625" style="60" customWidth="1"/>
    <col min="14346" max="14346" width="12.5" style="60" customWidth="1"/>
    <col min="14347" max="14348" width="9.625" style="60" customWidth="1"/>
    <col min="14349" max="14349" width="14.375" style="60" customWidth="1"/>
    <col min="14350" max="14350" width="1.625" style="60" customWidth="1"/>
    <col min="14351" max="14592" width="9" style="60"/>
    <col min="14593" max="14593" width="1.625" style="60" customWidth="1"/>
    <col min="14594" max="14594" width="0.875" style="60" customWidth="1"/>
    <col min="14595" max="14595" width="4.5" style="60" customWidth="1"/>
    <col min="14596" max="14596" width="9.25" style="60" customWidth="1"/>
    <col min="14597" max="14597" width="4.125" style="60" customWidth="1"/>
    <col min="14598" max="14598" width="4.625" style="60" customWidth="1"/>
    <col min="14599" max="14599" width="6.25" style="60" customWidth="1"/>
    <col min="14600" max="14601" width="9.625" style="60" customWidth="1"/>
    <col min="14602" max="14602" width="12.5" style="60" customWidth="1"/>
    <col min="14603" max="14604" width="9.625" style="60" customWidth="1"/>
    <col min="14605" max="14605" width="14.375" style="60" customWidth="1"/>
    <col min="14606" max="14606" width="1.625" style="60" customWidth="1"/>
    <col min="14607" max="14848" width="9" style="60"/>
    <col min="14849" max="14849" width="1.625" style="60" customWidth="1"/>
    <col min="14850" max="14850" width="0.875" style="60" customWidth="1"/>
    <col min="14851" max="14851" width="4.5" style="60" customWidth="1"/>
    <col min="14852" max="14852" width="9.25" style="60" customWidth="1"/>
    <col min="14853" max="14853" width="4.125" style="60" customWidth="1"/>
    <col min="14854" max="14854" width="4.625" style="60" customWidth="1"/>
    <col min="14855" max="14855" width="6.25" style="60" customWidth="1"/>
    <col min="14856" max="14857" width="9.625" style="60" customWidth="1"/>
    <col min="14858" max="14858" width="12.5" style="60" customWidth="1"/>
    <col min="14859" max="14860" width="9.625" style="60" customWidth="1"/>
    <col min="14861" max="14861" width="14.375" style="60" customWidth="1"/>
    <col min="14862" max="14862" width="1.625" style="60" customWidth="1"/>
    <col min="14863" max="15104" width="9" style="60"/>
    <col min="15105" max="15105" width="1.625" style="60" customWidth="1"/>
    <col min="15106" max="15106" width="0.875" style="60" customWidth="1"/>
    <col min="15107" max="15107" width="4.5" style="60" customWidth="1"/>
    <col min="15108" max="15108" width="9.25" style="60" customWidth="1"/>
    <col min="15109" max="15109" width="4.125" style="60" customWidth="1"/>
    <col min="15110" max="15110" width="4.625" style="60" customWidth="1"/>
    <col min="15111" max="15111" width="6.25" style="60" customWidth="1"/>
    <col min="15112" max="15113" width="9.625" style="60" customWidth="1"/>
    <col min="15114" max="15114" width="12.5" style="60" customWidth="1"/>
    <col min="15115" max="15116" width="9.625" style="60" customWidth="1"/>
    <col min="15117" max="15117" width="14.375" style="60" customWidth="1"/>
    <col min="15118" max="15118" width="1.625" style="60" customWidth="1"/>
    <col min="15119" max="15360" width="9" style="60"/>
    <col min="15361" max="15361" width="1.625" style="60" customWidth="1"/>
    <col min="15362" max="15362" width="0.875" style="60" customWidth="1"/>
    <col min="15363" max="15363" width="4.5" style="60" customWidth="1"/>
    <col min="15364" max="15364" width="9.25" style="60" customWidth="1"/>
    <col min="15365" max="15365" width="4.125" style="60" customWidth="1"/>
    <col min="15366" max="15366" width="4.625" style="60" customWidth="1"/>
    <col min="15367" max="15367" width="6.25" style="60" customWidth="1"/>
    <col min="15368" max="15369" width="9.625" style="60" customWidth="1"/>
    <col min="15370" max="15370" width="12.5" style="60" customWidth="1"/>
    <col min="15371" max="15372" width="9.625" style="60" customWidth="1"/>
    <col min="15373" max="15373" width="14.375" style="60" customWidth="1"/>
    <col min="15374" max="15374" width="1.625" style="60" customWidth="1"/>
    <col min="15375" max="15616" width="9" style="60"/>
    <col min="15617" max="15617" width="1.625" style="60" customWidth="1"/>
    <col min="15618" max="15618" width="0.875" style="60" customWidth="1"/>
    <col min="15619" max="15619" width="4.5" style="60" customWidth="1"/>
    <col min="15620" max="15620" width="9.25" style="60" customWidth="1"/>
    <col min="15621" max="15621" width="4.125" style="60" customWidth="1"/>
    <col min="15622" max="15622" width="4.625" style="60" customWidth="1"/>
    <col min="15623" max="15623" width="6.25" style="60" customWidth="1"/>
    <col min="15624" max="15625" width="9.625" style="60" customWidth="1"/>
    <col min="15626" max="15626" width="12.5" style="60" customWidth="1"/>
    <col min="15627" max="15628" width="9.625" style="60" customWidth="1"/>
    <col min="15629" max="15629" width="14.375" style="60" customWidth="1"/>
    <col min="15630" max="15630" width="1.625" style="60" customWidth="1"/>
    <col min="15631" max="15872" width="9" style="60"/>
    <col min="15873" max="15873" width="1.625" style="60" customWidth="1"/>
    <col min="15874" max="15874" width="0.875" style="60" customWidth="1"/>
    <col min="15875" max="15875" width="4.5" style="60" customWidth="1"/>
    <col min="15876" max="15876" width="9.25" style="60" customWidth="1"/>
    <col min="15877" max="15877" width="4.125" style="60" customWidth="1"/>
    <col min="15878" max="15878" width="4.625" style="60" customWidth="1"/>
    <col min="15879" max="15879" width="6.25" style="60" customWidth="1"/>
    <col min="15880" max="15881" width="9.625" style="60" customWidth="1"/>
    <col min="15882" max="15882" width="12.5" style="60" customWidth="1"/>
    <col min="15883" max="15884" width="9.625" style="60" customWidth="1"/>
    <col min="15885" max="15885" width="14.375" style="60" customWidth="1"/>
    <col min="15886" max="15886" width="1.625" style="60" customWidth="1"/>
    <col min="15887" max="16128" width="9" style="60"/>
    <col min="16129" max="16129" width="1.625" style="60" customWidth="1"/>
    <col min="16130" max="16130" width="0.875" style="60" customWidth="1"/>
    <col min="16131" max="16131" width="4.5" style="60" customWidth="1"/>
    <col min="16132" max="16132" width="9.25" style="60" customWidth="1"/>
    <col min="16133" max="16133" width="4.125" style="60" customWidth="1"/>
    <col min="16134" max="16134" width="4.625" style="60" customWidth="1"/>
    <col min="16135" max="16135" width="6.25" style="60" customWidth="1"/>
    <col min="16136" max="16137" width="9.625" style="60" customWidth="1"/>
    <col min="16138" max="16138" width="12.5" style="60" customWidth="1"/>
    <col min="16139" max="16140" width="9.625" style="60" customWidth="1"/>
    <col min="16141" max="16141" width="14.375" style="60" customWidth="1"/>
    <col min="16142" max="16142" width="1.625" style="60" customWidth="1"/>
    <col min="16143" max="16384" width="9" style="60"/>
  </cols>
  <sheetData>
    <row r="1" spans="1:14" s="55" customFormat="1" ht="35.1" customHeight="1">
      <c r="A1" s="270" t="str">
        <f>數量計算總表!A1</f>
        <v>OOO單位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1"/>
      <c r="M1" s="271"/>
      <c r="N1" s="271"/>
    </row>
    <row r="2" spans="1:14" s="56" customFormat="1" ht="30" customHeight="1">
      <c r="A2" s="272" t="s">
        <v>158</v>
      </c>
      <c r="B2" s="273"/>
      <c r="C2" s="273"/>
      <c r="D2" s="273"/>
      <c r="E2" s="273"/>
      <c r="F2" s="273"/>
      <c r="G2" s="273"/>
      <c r="H2" s="273"/>
      <c r="I2" s="273"/>
      <c r="J2" s="273"/>
      <c r="K2" s="273"/>
      <c r="L2" s="273"/>
      <c r="M2" s="273"/>
      <c r="N2" s="273"/>
    </row>
    <row r="3" spans="1:14" s="58" customFormat="1" ht="34.15" customHeight="1" thickBot="1">
      <c r="A3" s="57"/>
      <c r="B3" s="57"/>
      <c r="C3" s="274" t="str">
        <f>數量計算總表!A4</f>
        <v>工程名稱：OOOO工程</v>
      </c>
      <c r="D3" s="275"/>
      <c r="E3" s="275"/>
      <c r="F3" s="275"/>
      <c r="G3" s="275"/>
      <c r="H3" s="275"/>
      <c r="I3" s="275"/>
      <c r="J3" s="275"/>
      <c r="K3" s="275"/>
      <c r="L3" s="276"/>
      <c r="M3" s="276"/>
      <c r="N3" s="57"/>
    </row>
    <row r="4" spans="1:14" ht="24.95" customHeight="1">
      <c r="A4" s="59"/>
      <c r="B4" s="277" t="s">
        <v>159</v>
      </c>
      <c r="C4" s="278"/>
      <c r="D4" s="278"/>
      <c r="E4" s="279"/>
      <c r="F4" s="286" t="s">
        <v>160</v>
      </c>
      <c r="G4" s="279"/>
      <c r="H4" s="288" t="s">
        <v>161</v>
      </c>
      <c r="I4" s="289"/>
      <c r="J4" s="290"/>
      <c r="K4" s="288" t="s">
        <v>162</v>
      </c>
      <c r="L4" s="289"/>
      <c r="M4" s="291"/>
      <c r="N4" s="59"/>
    </row>
    <row r="5" spans="1:14" ht="24.95" customHeight="1">
      <c r="A5" s="59"/>
      <c r="B5" s="280"/>
      <c r="C5" s="281"/>
      <c r="D5" s="281"/>
      <c r="E5" s="282"/>
      <c r="F5" s="287"/>
      <c r="G5" s="282"/>
      <c r="H5" s="61" t="s">
        <v>163</v>
      </c>
      <c r="I5" s="62" t="s">
        <v>164</v>
      </c>
      <c r="J5" s="63" t="s">
        <v>165</v>
      </c>
      <c r="K5" s="61" t="s">
        <v>163</v>
      </c>
      <c r="L5" s="62" t="s">
        <v>164</v>
      </c>
      <c r="M5" s="64" t="s">
        <v>165</v>
      </c>
      <c r="N5" s="59"/>
    </row>
    <row r="6" spans="1:14" ht="24.95" customHeight="1" thickBot="1">
      <c r="A6" s="59"/>
      <c r="B6" s="283"/>
      <c r="C6" s="284"/>
      <c r="D6" s="284"/>
      <c r="E6" s="285"/>
      <c r="F6" s="292" t="s">
        <v>11</v>
      </c>
      <c r="G6" s="285"/>
      <c r="H6" s="65" t="s">
        <v>166</v>
      </c>
      <c r="I6" s="65" t="s">
        <v>166</v>
      </c>
      <c r="J6" s="65" t="s">
        <v>167</v>
      </c>
      <c r="K6" s="65" t="s">
        <v>166</v>
      </c>
      <c r="L6" s="66" t="s">
        <v>166</v>
      </c>
      <c r="M6" s="67" t="s">
        <v>168</v>
      </c>
      <c r="N6" s="59"/>
    </row>
    <row r="7" spans="1:14" ht="24.95" customHeight="1">
      <c r="A7" s="59"/>
      <c r="B7" s="267" t="s">
        <v>169</v>
      </c>
      <c r="C7" s="268"/>
      <c r="D7" s="268"/>
      <c r="E7" s="268"/>
      <c r="F7" s="268"/>
      <c r="G7" s="268"/>
      <c r="H7" s="268"/>
      <c r="I7" s="268"/>
      <c r="J7" s="268"/>
      <c r="K7" s="268"/>
      <c r="L7" s="268"/>
      <c r="M7" s="269"/>
      <c r="N7" s="68"/>
    </row>
    <row r="8" spans="1:14" ht="20.100000000000001" customHeight="1">
      <c r="A8" s="59"/>
      <c r="B8" s="69"/>
      <c r="C8" s="70" t="s">
        <v>170</v>
      </c>
      <c r="D8" s="71">
        <v>0</v>
      </c>
      <c r="E8" s="72"/>
      <c r="F8" s="260"/>
      <c r="G8" s="261"/>
      <c r="H8" s="73">
        <v>9.07</v>
      </c>
      <c r="I8" s="74"/>
      <c r="J8" s="74">
        <f>I8*F8</f>
        <v>0</v>
      </c>
      <c r="K8" s="73">
        <v>7.91</v>
      </c>
      <c r="L8" s="74"/>
      <c r="M8" s="75">
        <f t="shared" ref="M8:M16" si="0">L8*F8</f>
        <v>0</v>
      </c>
      <c r="N8" s="68"/>
    </row>
    <row r="9" spans="1:14" ht="20.100000000000001" customHeight="1">
      <c r="A9" s="59"/>
      <c r="B9" s="69"/>
      <c r="C9" s="70" t="s">
        <v>170</v>
      </c>
      <c r="D9" s="71">
        <v>20</v>
      </c>
      <c r="E9" s="72"/>
      <c r="F9" s="260">
        <f t="shared" ref="F9:F14" si="1">D9-D8</f>
        <v>20</v>
      </c>
      <c r="G9" s="261"/>
      <c r="H9" s="73">
        <v>7.5</v>
      </c>
      <c r="I9" s="74">
        <f>0.5*(H8+H9)</f>
        <v>8.2850000000000001</v>
      </c>
      <c r="J9" s="74">
        <f>I9*F9</f>
        <v>165.7</v>
      </c>
      <c r="K9" s="73">
        <v>5.79</v>
      </c>
      <c r="L9" s="74">
        <f>0.5*(K8+K9)</f>
        <v>6.85</v>
      </c>
      <c r="M9" s="75">
        <f>L9*F9</f>
        <v>137</v>
      </c>
      <c r="N9" s="68"/>
    </row>
    <row r="10" spans="1:14" ht="20.100000000000001" customHeight="1">
      <c r="A10" s="59"/>
      <c r="B10" s="76"/>
      <c r="C10" s="70" t="s">
        <v>170</v>
      </c>
      <c r="D10" s="71">
        <v>40</v>
      </c>
      <c r="E10" s="72"/>
      <c r="F10" s="260">
        <f t="shared" si="1"/>
        <v>20</v>
      </c>
      <c r="G10" s="261"/>
      <c r="H10" s="73">
        <v>0.71</v>
      </c>
      <c r="I10" s="74">
        <f t="shared" ref="I10:I15" si="2">0.5*(H9+H10)</f>
        <v>4.1050000000000004</v>
      </c>
      <c r="J10" s="74">
        <f t="shared" ref="J10:J15" si="3">I10*F10</f>
        <v>82.100000000000009</v>
      </c>
      <c r="K10" s="73">
        <v>9.77</v>
      </c>
      <c r="L10" s="74">
        <f>0.5*(K9+K10)</f>
        <v>7.7799999999999994</v>
      </c>
      <c r="M10" s="75">
        <f>L10*F10</f>
        <v>155.6</v>
      </c>
      <c r="N10" s="59"/>
    </row>
    <row r="11" spans="1:14" ht="20.100000000000001" customHeight="1">
      <c r="A11" s="59"/>
      <c r="B11" s="76"/>
      <c r="C11" s="70" t="s">
        <v>170</v>
      </c>
      <c r="D11" s="71">
        <v>43</v>
      </c>
      <c r="E11" s="77" t="s">
        <v>171</v>
      </c>
      <c r="F11" s="260">
        <f t="shared" si="1"/>
        <v>3</v>
      </c>
      <c r="G11" s="261"/>
      <c r="H11" s="73">
        <v>1.81</v>
      </c>
      <c r="I11" s="74">
        <f t="shared" si="2"/>
        <v>1.26</v>
      </c>
      <c r="J11" s="74">
        <f t="shared" si="3"/>
        <v>3.7800000000000002</v>
      </c>
      <c r="K11" s="73">
        <v>10.47</v>
      </c>
      <c r="L11" s="74">
        <f>0.5*(K10+K11)</f>
        <v>10.120000000000001</v>
      </c>
      <c r="M11" s="75">
        <f>L11*F11</f>
        <v>30.360000000000003</v>
      </c>
      <c r="N11" s="59"/>
    </row>
    <row r="12" spans="1:14" ht="20.100000000000001" customHeight="1">
      <c r="A12" s="59"/>
      <c r="B12" s="76"/>
      <c r="C12" s="70" t="s">
        <v>170</v>
      </c>
      <c r="D12" s="71">
        <v>43</v>
      </c>
      <c r="E12" s="77" t="s">
        <v>172</v>
      </c>
      <c r="F12" s="260">
        <f t="shared" si="1"/>
        <v>0</v>
      </c>
      <c r="G12" s="261"/>
      <c r="H12" s="73">
        <v>9.9499999999999993</v>
      </c>
      <c r="I12" s="74"/>
      <c r="J12" s="74">
        <f t="shared" si="3"/>
        <v>0</v>
      </c>
      <c r="K12" s="73">
        <v>3.65</v>
      </c>
      <c r="L12" s="74"/>
      <c r="M12" s="75">
        <f t="shared" si="0"/>
        <v>0</v>
      </c>
      <c r="N12" s="59"/>
    </row>
    <row r="13" spans="1:14" ht="20.100000000000001" customHeight="1">
      <c r="A13" s="59"/>
      <c r="B13" s="76"/>
      <c r="C13" s="70" t="s">
        <v>170</v>
      </c>
      <c r="D13" s="71">
        <v>60</v>
      </c>
      <c r="E13" s="78"/>
      <c r="F13" s="260">
        <f t="shared" si="1"/>
        <v>17</v>
      </c>
      <c r="G13" s="261"/>
      <c r="H13" s="73">
        <v>18.32</v>
      </c>
      <c r="I13" s="74">
        <f t="shared" si="2"/>
        <v>14.135</v>
      </c>
      <c r="J13" s="74">
        <f t="shared" si="3"/>
        <v>240.29499999999999</v>
      </c>
      <c r="K13" s="73">
        <v>1.96</v>
      </c>
      <c r="L13" s="74">
        <f t="shared" ref="L13:L27" si="4">0.5*(K12+K13)</f>
        <v>2.8049999999999997</v>
      </c>
      <c r="M13" s="75">
        <f t="shared" si="0"/>
        <v>47.684999999999995</v>
      </c>
      <c r="N13" s="59"/>
    </row>
    <row r="14" spans="1:14" ht="20.100000000000001" customHeight="1">
      <c r="A14" s="59"/>
      <c r="B14" s="79"/>
      <c r="C14" s="70" t="s">
        <v>170</v>
      </c>
      <c r="D14" s="71">
        <v>80</v>
      </c>
      <c r="E14" s="78"/>
      <c r="F14" s="260">
        <f t="shared" si="1"/>
        <v>20</v>
      </c>
      <c r="G14" s="261"/>
      <c r="H14" s="73">
        <v>18.57</v>
      </c>
      <c r="I14" s="74">
        <f t="shared" si="2"/>
        <v>18.445</v>
      </c>
      <c r="J14" s="74">
        <f t="shared" si="3"/>
        <v>368.9</v>
      </c>
      <c r="K14" s="73">
        <v>2.0699999999999998</v>
      </c>
      <c r="L14" s="74">
        <f t="shared" si="4"/>
        <v>2.0149999999999997</v>
      </c>
      <c r="M14" s="75">
        <f t="shared" si="0"/>
        <v>40.299999999999997</v>
      </c>
      <c r="N14" s="59"/>
    </row>
    <row r="15" spans="1:14" ht="20.100000000000001" customHeight="1">
      <c r="A15" s="59"/>
      <c r="B15" s="79"/>
      <c r="C15" s="70" t="s">
        <v>170</v>
      </c>
      <c r="D15" s="71">
        <v>100</v>
      </c>
      <c r="E15" s="77"/>
      <c r="F15" s="260">
        <f>D15-D14</f>
        <v>20</v>
      </c>
      <c r="G15" s="261"/>
      <c r="H15" s="73">
        <v>14.2</v>
      </c>
      <c r="I15" s="74">
        <f t="shared" si="2"/>
        <v>16.384999999999998</v>
      </c>
      <c r="J15" s="74">
        <f t="shared" si="3"/>
        <v>327.69999999999993</v>
      </c>
      <c r="K15" s="73">
        <v>2.65</v>
      </c>
      <c r="L15" s="74">
        <f t="shared" si="4"/>
        <v>2.36</v>
      </c>
      <c r="M15" s="75">
        <f t="shared" si="0"/>
        <v>47.199999999999996</v>
      </c>
      <c r="N15" s="59"/>
    </row>
    <row r="16" spans="1:14" ht="20.100000000000001" customHeight="1">
      <c r="A16" s="59"/>
      <c r="B16" s="79"/>
      <c r="C16" s="70" t="s">
        <v>170</v>
      </c>
      <c r="D16" s="71">
        <v>101</v>
      </c>
      <c r="E16" s="77" t="s">
        <v>171</v>
      </c>
      <c r="F16" s="260">
        <f t="shared" ref="F16:F22" si="5">D16-D15</f>
        <v>1</v>
      </c>
      <c r="G16" s="261"/>
      <c r="H16" s="73">
        <v>0</v>
      </c>
      <c r="I16" s="74">
        <f t="shared" ref="I16:I22" si="6">0.5*(H15+H16)</f>
        <v>7.1</v>
      </c>
      <c r="J16" s="74">
        <f t="shared" ref="J16:J22" si="7">I16*F16</f>
        <v>7.1</v>
      </c>
      <c r="K16" s="73">
        <v>0</v>
      </c>
      <c r="L16" s="74">
        <f t="shared" si="4"/>
        <v>1.325</v>
      </c>
      <c r="M16" s="75">
        <f t="shared" si="0"/>
        <v>1.325</v>
      </c>
      <c r="N16" s="59"/>
    </row>
    <row r="17" spans="1:14" ht="20.100000000000001" customHeight="1">
      <c r="A17" s="59"/>
      <c r="B17" s="79"/>
      <c r="C17" s="70" t="s">
        <v>170</v>
      </c>
      <c r="D17" s="71">
        <v>101</v>
      </c>
      <c r="E17" s="77" t="s">
        <v>172</v>
      </c>
      <c r="F17" s="260">
        <f t="shared" si="5"/>
        <v>0</v>
      </c>
      <c r="G17" s="261"/>
      <c r="H17" s="73">
        <v>0</v>
      </c>
      <c r="I17" s="74">
        <f t="shared" si="6"/>
        <v>0</v>
      </c>
      <c r="J17" s="74">
        <f t="shared" si="7"/>
        <v>0</v>
      </c>
      <c r="K17" s="73">
        <v>0</v>
      </c>
      <c r="L17" s="74">
        <f t="shared" si="4"/>
        <v>0</v>
      </c>
      <c r="M17" s="75">
        <f t="shared" ref="M17:M27" si="8">L17*F17</f>
        <v>0</v>
      </c>
      <c r="N17" s="59"/>
    </row>
    <row r="18" spans="1:14" ht="20.100000000000001" customHeight="1">
      <c r="A18" s="59"/>
      <c r="B18" s="79"/>
      <c r="C18" s="70" t="s">
        <v>170</v>
      </c>
      <c r="D18" s="71">
        <v>226</v>
      </c>
      <c r="E18" s="77" t="s">
        <v>171</v>
      </c>
      <c r="F18" s="260">
        <f t="shared" si="5"/>
        <v>125</v>
      </c>
      <c r="G18" s="261"/>
      <c r="H18" s="73">
        <v>0</v>
      </c>
      <c r="I18" s="74">
        <f t="shared" si="6"/>
        <v>0</v>
      </c>
      <c r="J18" s="74">
        <f t="shared" si="7"/>
        <v>0</v>
      </c>
      <c r="K18" s="73">
        <v>0</v>
      </c>
      <c r="L18" s="74">
        <f t="shared" si="4"/>
        <v>0</v>
      </c>
      <c r="M18" s="75">
        <f t="shared" si="8"/>
        <v>0</v>
      </c>
      <c r="N18" s="59"/>
    </row>
    <row r="19" spans="1:14" ht="20.100000000000001" customHeight="1">
      <c r="A19" s="59"/>
      <c r="B19" s="79"/>
      <c r="C19" s="70" t="s">
        <v>170</v>
      </c>
      <c r="D19" s="71">
        <v>226</v>
      </c>
      <c r="E19" s="77" t="s">
        <v>172</v>
      </c>
      <c r="F19" s="260">
        <f t="shared" si="5"/>
        <v>0</v>
      </c>
      <c r="G19" s="261"/>
      <c r="H19" s="73">
        <v>16.059999999999999</v>
      </c>
      <c r="I19" s="74">
        <f t="shared" si="6"/>
        <v>8.0299999999999994</v>
      </c>
      <c r="J19" s="74">
        <f t="shared" si="7"/>
        <v>0</v>
      </c>
      <c r="K19" s="73">
        <v>2.27</v>
      </c>
      <c r="L19" s="74">
        <f t="shared" si="4"/>
        <v>1.135</v>
      </c>
      <c r="M19" s="75">
        <f t="shared" si="8"/>
        <v>0</v>
      </c>
      <c r="N19" s="59"/>
    </row>
    <row r="20" spans="1:14" ht="20.100000000000001" customHeight="1">
      <c r="A20" s="59"/>
      <c r="B20" s="79"/>
      <c r="C20" s="70" t="s">
        <v>170</v>
      </c>
      <c r="D20" s="71">
        <v>240</v>
      </c>
      <c r="E20" s="78"/>
      <c r="F20" s="260">
        <f t="shared" si="5"/>
        <v>14</v>
      </c>
      <c r="G20" s="261"/>
      <c r="H20" s="73">
        <v>16.02</v>
      </c>
      <c r="I20" s="74">
        <f t="shared" si="6"/>
        <v>16.04</v>
      </c>
      <c r="J20" s="74">
        <f t="shared" si="7"/>
        <v>224.56</v>
      </c>
      <c r="K20" s="73">
        <v>1.84</v>
      </c>
      <c r="L20" s="74">
        <f t="shared" si="4"/>
        <v>2.0550000000000002</v>
      </c>
      <c r="M20" s="75">
        <f t="shared" si="8"/>
        <v>28.770000000000003</v>
      </c>
      <c r="N20" s="59"/>
    </row>
    <row r="21" spans="1:14" ht="20.100000000000001" customHeight="1">
      <c r="A21" s="59"/>
      <c r="B21" s="79"/>
      <c r="C21" s="70" t="s">
        <v>170</v>
      </c>
      <c r="D21" s="71">
        <v>260</v>
      </c>
      <c r="E21" s="77"/>
      <c r="F21" s="260">
        <f t="shared" si="5"/>
        <v>20</v>
      </c>
      <c r="G21" s="261"/>
      <c r="H21" s="73">
        <v>18.04</v>
      </c>
      <c r="I21" s="74">
        <f t="shared" si="6"/>
        <v>17.03</v>
      </c>
      <c r="J21" s="74">
        <f t="shared" si="7"/>
        <v>340.6</v>
      </c>
      <c r="K21" s="73">
        <v>1.85</v>
      </c>
      <c r="L21" s="74">
        <f t="shared" si="4"/>
        <v>1.8450000000000002</v>
      </c>
      <c r="M21" s="75">
        <f t="shared" si="8"/>
        <v>36.900000000000006</v>
      </c>
      <c r="N21" s="59"/>
    </row>
    <row r="22" spans="1:14" ht="20.100000000000001" customHeight="1">
      <c r="A22" s="59"/>
      <c r="B22" s="79"/>
      <c r="C22" s="70" t="s">
        <v>170</v>
      </c>
      <c r="D22" s="71">
        <v>274</v>
      </c>
      <c r="E22" s="77" t="s">
        <v>171</v>
      </c>
      <c r="F22" s="260">
        <f t="shared" si="5"/>
        <v>14</v>
      </c>
      <c r="G22" s="261"/>
      <c r="H22" s="73">
        <v>15.65</v>
      </c>
      <c r="I22" s="74">
        <f t="shared" si="6"/>
        <v>16.844999999999999</v>
      </c>
      <c r="J22" s="74">
        <f t="shared" si="7"/>
        <v>235.82999999999998</v>
      </c>
      <c r="K22" s="73">
        <v>1.9</v>
      </c>
      <c r="L22" s="74">
        <f t="shared" si="4"/>
        <v>1.875</v>
      </c>
      <c r="M22" s="75">
        <f t="shared" si="8"/>
        <v>26.25</v>
      </c>
      <c r="N22" s="59"/>
    </row>
    <row r="23" spans="1:14" ht="20.100000000000001" customHeight="1">
      <c r="A23" s="59"/>
      <c r="B23" s="79"/>
      <c r="C23" s="70" t="s">
        <v>170</v>
      </c>
      <c r="D23" s="71">
        <v>274</v>
      </c>
      <c r="E23" s="77" t="s">
        <v>172</v>
      </c>
      <c r="F23" s="260">
        <f>D23-D22</f>
        <v>0</v>
      </c>
      <c r="G23" s="261"/>
      <c r="H23" s="73">
        <v>4.8099999999999996</v>
      </c>
      <c r="I23" s="74">
        <f>0.5*(H22+H23)</f>
        <v>10.23</v>
      </c>
      <c r="J23" s="74">
        <f>I23*F23</f>
        <v>0</v>
      </c>
      <c r="K23" s="73">
        <v>5.36</v>
      </c>
      <c r="L23" s="74">
        <f t="shared" si="4"/>
        <v>3.63</v>
      </c>
      <c r="M23" s="75">
        <f t="shared" si="8"/>
        <v>0</v>
      </c>
      <c r="N23" s="59"/>
    </row>
    <row r="24" spans="1:14" ht="20.100000000000001" customHeight="1">
      <c r="A24" s="59"/>
      <c r="B24" s="79"/>
      <c r="C24" s="70" t="s">
        <v>170</v>
      </c>
      <c r="D24" s="71">
        <v>280</v>
      </c>
      <c r="E24" s="78"/>
      <c r="F24" s="260">
        <f>D24-D23</f>
        <v>6</v>
      </c>
      <c r="G24" s="261"/>
      <c r="H24" s="73">
        <v>4.74</v>
      </c>
      <c r="I24" s="74">
        <f>0.5*(H23+H24)</f>
        <v>4.7750000000000004</v>
      </c>
      <c r="J24" s="74">
        <f>I24*F24</f>
        <v>28.650000000000002</v>
      </c>
      <c r="K24" s="73">
        <v>2</v>
      </c>
      <c r="L24" s="74">
        <f t="shared" si="4"/>
        <v>3.68</v>
      </c>
      <c r="M24" s="75">
        <f t="shared" si="8"/>
        <v>22.080000000000002</v>
      </c>
      <c r="N24" s="59"/>
    </row>
    <row r="25" spans="1:14" ht="20.100000000000001" customHeight="1">
      <c r="A25" s="59"/>
      <c r="B25" s="79"/>
      <c r="C25" s="70" t="s">
        <v>170</v>
      </c>
      <c r="D25" s="71">
        <v>300</v>
      </c>
      <c r="E25" s="78"/>
      <c r="F25" s="260">
        <f>D25-D24</f>
        <v>20</v>
      </c>
      <c r="G25" s="261"/>
      <c r="H25" s="73">
        <v>10.6</v>
      </c>
      <c r="I25" s="74">
        <f>0.5*(H24+H25)</f>
        <v>7.67</v>
      </c>
      <c r="J25" s="74">
        <f>I25*F25</f>
        <v>153.4</v>
      </c>
      <c r="K25" s="73">
        <v>2.44</v>
      </c>
      <c r="L25" s="74">
        <f t="shared" si="4"/>
        <v>2.2199999999999998</v>
      </c>
      <c r="M25" s="75">
        <f t="shared" si="8"/>
        <v>44.399999999999991</v>
      </c>
      <c r="N25" s="59"/>
    </row>
    <row r="26" spans="1:14" ht="20.100000000000001" customHeight="1">
      <c r="A26" s="59"/>
      <c r="B26" s="79"/>
      <c r="C26" s="70" t="s">
        <v>170</v>
      </c>
      <c r="D26" s="71">
        <v>320</v>
      </c>
      <c r="E26" s="78"/>
      <c r="F26" s="260">
        <f>D26-D25</f>
        <v>20</v>
      </c>
      <c r="G26" s="261"/>
      <c r="H26" s="73">
        <v>10.19</v>
      </c>
      <c r="I26" s="74">
        <f>0.5*(H25+H26)</f>
        <v>10.395</v>
      </c>
      <c r="J26" s="74">
        <f>I26*F26</f>
        <v>207.89999999999998</v>
      </c>
      <c r="K26" s="73">
        <v>2.57</v>
      </c>
      <c r="L26" s="74">
        <f t="shared" si="4"/>
        <v>2.5049999999999999</v>
      </c>
      <c r="M26" s="75">
        <f t="shared" si="8"/>
        <v>50.099999999999994</v>
      </c>
      <c r="N26" s="59"/>
    </row>
    <row r="27" spans="1:14" ht="20.100000000000001" customHeight="1">
      <c r="A27" s="59"/>
      <c r="B27" s="79"/>
      <c r="C27" s="70" t="s">
        <v>170</v>
      </c>
      <c r="D27" s="71">
        <v>325</v>
      </c>
      <c r="E27" s="78"/>
      <c r="F27" s="260">
        <f>D27-D26</f>
        <v>5</v>
      </c>
      <c r="G27" s="261"/>
      <c r="H27" s="73">
        <v>8.9700000000000006</v>
      </c>
      <c r="I27" s="74">
        <f>0.5*(H26+H27)</f>
        <v>9.58</v>
      </c>
      <c r="J27" s="74">
        <f>I27*F27</f>
        <v>47.9</v>
      </c>
      <c r="K27" s="73">
        <v>2.2799999999999998</v>
      </c>
      <c r="L27" s="74">
        <f t="shared" si="4"/>
        <v>2.4249999999999998</v>
      </c>
      <c r="M27" s="75">
        <f t="shared" si="8"/>
        <v>12.125</v>
      </c>
      <c r="N27" s="59"/>
    </row>
    <row r="28" spans="1:14" ht="20.100000000000001" customHeight="1">
      <c r="A28" s="59"/>
      <c r="B28" s="79"/>
      <c r="C28" s="70"/>
      <c r="D28" s="71"/>
      <c r="E28" s="78"/>
      <c r="F28" s="260"/>
      <c r="G28" s="261"/>
      <c r="H28" s="73"/>
      <c r="I28" s="74"/>
      <c r="J28" s="74"/>
      <c r="K28" s="73"/>
      <c r="L28" s="74"/>
      <c r="M28" s="75"/>
      <c r="N28" s="59"/>
    </row>
    <row r="29" spans="1:14" ht="20.100000000000001" customHeight="1">
      <c r="A29" s="59"/>
      <c r="B29" s="79"/>
      <c r="C29" s="70"/>
      <c r="D29" s="71"/>
      <c r="E29" s="78"/>
      <c r="F29" s="260"/>
      <c r="G29" s="261"/>
      <c r="H29" s="73"/>
      <c r="I29" s="74"/>
      <c r="J29" s="74"/>
      <c r="K29" s="73"/>
      <c r="L29" s="74"/>
      <c r="M29" s="75"/>
      <c r="N29" s="59"/>
    </row>
    <row r="30" spans="1:14" ht="20.100000000000001" customHeight="1">
      <c r="A30" s="59"/>
      <c r="B30" s="79"/>
      <c r="C30" s="70"/>
      <c r="D30" s="71"/>
      <c r="E30" s="78"/>
      <c r="F30" s="260"/>
      <c r="G30" s="261"/>
      <c r="H30" s="73"/>
      <c r="I30" s="74"/>
      <c r="J30" s="74"/>
      <c r="K30" s="73"/>
      <c r="L30" s="74"/>
      <c r="M30" s="75"/>
      <c r="N30" s="59"/>
    </row>
    <row r="31" spans="1:14" ht="20.100000000000001" customHeight="1">
      <c r="A31" s="59"/>
      <c r="B31" s="79"/>
      <c r="C31" s="70"/>
      <c r="D31" s="71"/>
      <c r="E31" s="77"/>
      <c r="F31" s="260"/>
      <c r="G31" s="261"/>
      <c r="H31" s="73"/>
      <c r="I31" s="74"/>
      <c r="J31" s="74"/>
      <c r="K31" s="73"/>
      <c r="L31" s="74"/>
      <c r="M31" s="75"/>
      <c r="N31" s="59"/>
    </row>
    <row r="32" spans="1:14" ht="20.100000000000001" customHeight="1">
      <c r="A32" s="59"/>
      <c r="B32" s="79"/>
      <c r="C32" s="70"/>
      <c r="D32" s="71"/>
      <c r="E32" s="77"/>
      <c r="F32" s="260"/>
      <c r="G32" s="261"/>
      <c r="H32" s="73"/>
      <c r="I32" s="74"/>
      <c r="J32" s="74"/>
      <c r="K32" s="73"/>
      <c r="L32" s="74"/>
      <c r="M32" s="75"/>
      <c r="N32" s="59"/>
    </row>
    <row r="33" spans="1:14" ht="20.100000000000001" customHeight="1">
      <c r="A33" s="59"/>
      <c r="B33" s="79"/>
      <c r="C33" s="70"/>
      <c r="D33" s="71"/>
      <c r="E33" s="78"/>
      <c r="F33" s="260"/>
      <c r="G33" s="261"/>
      <c r="H33" s="73"/>
      <c r="I33" s="74"/>
      <c r="J33" s="74"/>
      <c r="K33" s="73"/>
      <c r="L33" s="74"/>
      <c r="M33" s="75"/>
      <c r="N33" s="59"/>
    </row>
    <row r="34" spans="1:14" ht="20.100000000000001" customHeight="1" thickBot="1">
      <c r="A34" s="59"/>
      <c r="B34" s="262" t="s">
        <v>223</v>
      </c>
      <c r="C34" s="263"/>
      <c r="D34" s="263"/>
      <c r="E34" s="264"/>
      <c r="F34" s="265"/>
      <c r="G34" s="266"/>
      <c r="H34" s="257">
        <f>ROUND(SUM(J9:J33),2)</f>
        <v>2434.42</v>
      </c>
      <c r="I34" s="258"/>
      <c r="J34" s="259"/>
      <c r="K34" s="257">
        <f>ROUND(SUM(M9:M33),2)</f>
        <v>680.1</v>
      </c>
      <c r="L34" s="258"/>
      <c r="M34" s="259"/>
      <c r="N34" s="59"/>
    </row>
    <row r="35" spans="1:14">
      <c r="A35" s="59"/>
      <c r="B35" s="59"/>
      <c r="C35" s="59"/>
      <c r="D35" s="59"/>
      <c r="E35" s="59"/>
      <c r="F35" s="59"/>
      <c r="G35" s="59"/>
      <c r="H35" s="59"/>
      <c r="I35" s="80"/>
      <c r="J35" s="59"/>
      <c r="K35" s="59"/>
      <c r="L35" s="80"/>
      <c r="M35" s="59"/>
      <c r="N35" s="59"/>
    </row>
    <row r="36" spans="1:14">
      <c r="A36" s="59"/>
      <c r="B36" s="59"/>
      <c r="C36" s="59"/>
      <c r="D36" s="59"/>
      <c r="E36" s="59"/>
      <c r="F36" s="59"/>
      <c r="G36" s="59"/>
      <c r="H36" s="59"/>
      <c r="I36" s="80"/>
      <c r="J36" s="59"/>
      <c r="K36" s="59"/>
      <c r="L36" s="80"/>
      <c r="M36" s="59"/>
      <c r="N36" s="59"/>
    </row>
  </sheetData>
  <mergeCells count="39">
    <mergeCell ref="A1:N1"/>
    <mergeCell ref="A2:N2"/>
    <mergeCell ref="C3:M3"/>
    <mergeCell ref="B4:E6"/>
    <mergeCell ref="F4:G5"/>
    <mergeCell ref="H4:J4"/>
    <mergeCell ref="K4:M4"/>
    <mergeCell ref="F6:G6"/>
    <mergeCell ref="F18:G18"/>
    <mergeCell ref="B7:M7"/>
    <mergeCell ref="F8:G8"/>
    <mergeCell ref="F9:G9"/>
    <mergeCell ref="F10:G10"/>
    <mergeCell ref="F11:G11"/>
    <mergeCell ref="F12:G12"/>
    <mergeCell ref="F13:G13"/>
    <mergeCell ref="F14:G14"/>
    <mergeCell ref="F15:G15"/>
    <mergeCell ref="F16:G16"/>
    <mergeCell ref="F17:G17"/>
    <mergeCell ref="B34:E34"/>
    <mergeCell ref="F34:G34"/>
    <mergeCell ref="F30:G30"/>
    <mergeCell ref="F19:G19"/>
    <mergeCell ref="F20:G20"/>
    <mergeCell ref="F21:G21"/>
    <mergeCell ref="F22:G22"/>
    <mergeCell ref="F23:G23"/>
    <mergeCell ref="F24:G24"/>
    <mergeCell ref="F25:G25"/>
    <mergeCell ref="F26:G26"/>
    <mergeCell ref="F27:G27"/>
    <mergeCell ref="F28:G28"/>
    <mergeCell ref="F29:G29"/>
    <mergeCell ref="K34:M34"/>
    <mergeCell ref="H34:J34"/>
    <mergeCell ref="F31:G31"/>
    <mergeCell ref="F32:G32"/>
    <mergeCell ref="F33:G33"/>
  </mergeCells>
  <phoneticPr fontId="3" type="noConversion"/>
  <printOptions horizontalCentered="1"/>
  <pageMargins left="0.78740157480314965" right="0.47244094488188981" top="0.78740157480314965" bottom="0.78740157480314965" header="0.39370078740157483" footer="0.39370078740157483"/>
  <pageSetup paperSize="9" scale="90" pageOrder="overThenDown" orientation="portrait" r:id="rId1"/>
  <headerFooter alignWithMargins="0">
    <oddHeader>&amp;R
&amp;"標楷體,標準"
第&amp;P頁，共&amp;N頁</oddHeader>
    <oddFooter>&amp;L&amp;"標楷體,標準"計算：&amp;C&amp;"標楷體,標準"表3-&amp;P&amp;R&amp;"標楷體,標準"松陽工程顧問有限公司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N61"/>
  <sheetViews>
    <sheetView view="pageBreakPreview" topLeftCell="A40" zoomScaleNormal="55" zoomScaleSheetLayoutView="100" workbookViewId="0">
      <selection sqref="A1:N1"/>
    </sheetView>
  </sheetViews>
  <sheetFormatPr defaultRowHeight="15.75"/>
  <cols>
    <col min="1" max="1" width="1.625" style="81" customWidth="1"/>
    <col min="2" max="2" width="0.875" style="81" customWidth="1"/>
    <col min="3" max="3" width="4.5" style="81" customWidth="1"/>
    <col min="4" max="4" width="9.25" style="81" customWidth="1"/>
    <col min="5" max="5" width="4.125" style="81" customWidth="1"/>
    <col min="6" max="6" width="4.625" style="81" customWidth="1"/>
    <col min="7" max="7" width="6.25" style="81" customWidth="1"/>
    <col min="8" max="8" width="9.625" style="81" customWidth="1"/>
    <col min="9" max="9" width="9.625" style="82" customWidth="1"/>
    <col min="10" max="10" width="12.5" style="81" customWidth="1"/>
    <col min="11" max="11" width="9.625" style="81" customWidth="1"/>
    <col min="12" max="12" width="9.625" style="82" customWidth="1"/>
    <col min="13" max="13" width="14.375" style="81" customWidth="1"/>
    <col min="14" max="14" width="1.625" style="81" customWidth="1"/>
    <col min="15" max="256" width="8.875" style="60"/>
    <col min="257" max="257" width="1.625" style="60" customWidth="1"/>
    <col min="258" max="258" width="0.875" style="60" customWidth="1"/>
    <col min="259" max="259" width="4.5" style="60" customWidth="1"/>
    <col min="260" max="260" width="9.25" style="60" customWidth="1"/>
    <col min="261" max="261" width="4.125" style="60" customWidth="1"/>
    <col min="262" max="262" width="4.625" style="60" customWidth="1"/>
    <col min="263" max="263" width="6.25" style="60" customWidth="1"/>
    <col min="264" max="265" width="9.625" style="60" customWidth="1"/>
    <col min="266" max="266" width="12.5" style="60" customWidth="1"/>
    <col min="267" max="268" width="9.625" style="60" customWidth="1"/>
    <col min="269" max="269" width="14.375" style="60" customWidth="1"/>
    <col min="270" max="270" width="1.625" style="60" customWidth="1"/>
    <col min="271" max="512" width="8.875" style="60"/>
    <col min="513" max="513" width="1.625" style="60" customWidth="1"/>
    <col min="514" max="514" width="0.875" style="60" customWidth="1"/>
    <col min="515" max="515" width="4.5" style="60" customWidth="1"/>
    <col min="516" max="516" width="9.25" style="60" customWidth="1"/>
    <col min="517" max="517" width="4.125" style="60" customWidth="1"/>
    <col min="518" max="518" width="4.625" style="60" customWidth="1"/>
    <col min="519" max="519" width="6.25" style="60" customWidth="1"/>
    <col min="520" max="521" width="9.625" style="60" customWidth="1"/>
    <col min="522" max="522" width="12.5" style="60" customWidth="1"/>
    <col min="523" max="524" width="9.625" style="60" customWidth="1"/>
    <col min="525" max="525" width="14.375" style="60" customWidth="1"/>
    <col min="526" max="526" width="1.625" style="60" customWidth="1"/>
    <col min="527" max="768" width="8.875" style="60"/>
    <col min="769" max="769" width="1.625" style="60" customWidth="1"/>
    <col min="770" max="770" width="0.875" style="60" customWidth="1"/>
    <col min="771" max="771" width="4.5" style="60" customWidth="1"/>
    <col min="772" max="772" width="9.25" style="60" customWidth="1"/>
    <col min="773" max="773" width="4.125" style="60" customWidth="1"/>
    <col min="774" max="774" width="4.625" style="60" customWidth="1"/>
    <col min="775" max="775" width="6.25" style="60" customWidth="1"/>
    <col min="776" max="777" width="9.625" style="60" customWidth="1"/>
    <col min="778" max="778" width="12.5" style="60" customWidth="1"/>
    <col min="779" max="780" width="9.625" style="60" customWidth="1"/>
    <col min="781" max="781" width="14.375" style="60" customWidth="1"/>
    <col min="782" max="782" width="1.625" style="60" customWidth="1"/>
    <col min="783" max="1024" width="8.875" style="60"/>
    <col min="1025" max="1025" width="1.625" style="60" customWidth="1"/>
    <col min="1026" max="1026" width="0.875" style="60" customWidth="1"/>
    <col min="1027" max="1027" width="4.5" style="60" customWidth="1"/>
    <col min="1028" max="1028" width="9.25" style="60" customWidth="1"/>
    <col min="1029" max="1029" width="4.125" style="60" customWidth="1"/>
    <col min="1030" max="1030" width="4.625" style="60" customWidth="1"/>
    <col min="1031" max="1031" width="6.25" style="60" customWidth="1"/>
    <col min="1032" max="1033" width="9.625" style="60" customWidth="1"/>
    <col min="1034" max="1034" width="12.5" style="60" customWidth="1"/>
    <col min="1035" max="1036" width="9.625" style="60" customWidth="1"/>
    <col min="1037" max="1037" width="14.375" style="60" customWidth="1"/>
    <col min="1038" max="1038" width="1.625" style="60" customWidth="1"/>
    <col min="1039" max="1280" width="8.875" style="60"/>
    <col min="1281" max="1281" width="1.625" style="60" customWidth="1"/>
    <col min="1282" max="1282" width="0.875" style="60" customWidth="1"/>
    <col min="1283" max="1283" width="4.5" style="60" customWidth="1"/>
    <col min="1284" max="1284" width="9.25" style="60" customWidth="1"/>
    <col min="1285" max="1285" width="4.125" style="60" customWidth="1"/>
    <col min="1286" max="1286" width="4.625" style="60" customWidth="1"/>
    <col min="1287" max="1287" width="6.25" style="60" customWidth="1"/>
    <col min="1288" max="1289" width="9.625" style="60" customWidth="1"/>
    <col min="1290" max="1290" width="12.5" style="60" customWidth="1"/>
    <col min="1291" max="1292" width="9.625" style="60" customWidth="1"/>
    <col min="1293" max="1293" width="14.375" style="60" customWidth="1"/>
    <col min="1294" max="1294" width="1.625" style="60" customWidth="1"/>
    <col min="1295" max="1536" width="8.875" style="60"/>
    <col min="1537" max="1537" width="1.625" style="60" customWidth="1"/>
    <col min="1538" max="1538" width="0.875" style="60" customWidth="1"/>
    <col min="1539" max="1539" width="4.5" style="60" customWidth="1"/>
    <col min="1540" max="1540" width="9.25" style="60" customWidth="1"/>
    <col min="1541" max="1541" width="4.125" style="60" customWidth="1"/>
    <col min="1542" max="1542" width="4.625" style="60" customWidth="1"/>
    <col min="1543" max="1543" width="6.25" style="60" customWidth="1"/>
    <col min="1544" max="1545" width="9.625" style="60" customWidth="1"/>
    <col min="1546" max="1546" width="12.5" style="60" customWidth="1"/>
    <col min="1547" max="1548" width="9.625" style="60" customWidth="1"/>
    <col min="1549" max="1549" width="14.375" style="60" customWidth="1"/>
    <col min="1550" max="1550" width="1.625" style="60" customWidth="1"/>
    <col min="1551" max="1792" width="8.875" style="60"/>
    <col min="1793" max="1793" width="1.625" style="60" customWidth="1"/>
    <col min="1794" max="1794" width="0.875" style="60" customWidth="1"/>
    <col min="1795" max="1795" width="4.5" style="60" customWidth="1"/>
    <col min="1796" max="1796" width="9.25" style="60" customWidth="1"/>
    <col min="1797" max="1797" width="4.125" style="60" customWidth="1"/>
    <col min="1798" max="1798" width="4.625" style="60" customWidth="1"/>
    <col min="1799" max="1799" width="6.25" style="60" customWidth="1"/>
    <col min="1800" max="1801" width="9.625" style="60" customWidth="1"/>
    <col min="1802" max="1802" width="12.5" style="60" customWidth="1"/>
    <col min="1803" max="1804" width="9.625" style="60" customWidth="1"/>
    <col min="1805" max="1805" width="14.375" style="60" customWidth="1"/>
    <col min="1806" max="1806" width="1.625" style="60" customWidth="1"/>
    <col min="1807" max="2048" width="8.875" style="60"/>
    <col min="2049" max="2049" width="1.625" style="60" customWidth="1"/>
    <col min="2050" max="2050" width="0.875" style="60" customWidth="1"/>
    <col min="2051" max="2051" width="4.5" style="60" customWidth="1"/>
    <col min="2052" max="2052" width="9.25" style="60" customWidth="1"/>
    <col min="2053" max="2053" width="4.125" style="60" customWidth="1"/>
    <col min="2054" max="2054" width="4.625" style="60" customWidth="1"/>
    <col min="2055" max="2055" width="6.25" style="60" customWidth="1"/>
    <col min="2056" max="2057" width="9.625" style="60" customWidth="1"/>
    <col min="2058" max="2058" width="12.5" style="60" customWidth="1"/>
    <col min="2059" max="2060" width="9.625" style="60" customWidth="1"/>
    <col min="2061" max="2061" width="14.375" style="60" customWidth="1"/>
    <col min="2062" max="2062" width="1.625" style="60" customWidth="1"/>
    <col min="2063" max="2304" width="8.875" style="60"/>
    <col min="2305" max="2305" width="1.625" style="60" customWidth="1"/>
    <col min="2306" max="2306" width="0.875" style="60" customWidth="1"/>
    <col min="2307" max="2307" width="4.5" style="60" customWidth="1"/>
    <col min="2308" max="2308" width="9.25" style="60" customWidth="1"/>
    <col min="2309" max="2309" width="4.125" style="60" customWidth="1"/>
    <col min="2310" max="2310" width="4.625" style="60" customWidth="1"/>
    <col min="2311" max="2311" width="6.25" style="60" customWidth="1"/>
    <col min="2312" max="2313" width="9.625" style="60" customWidth="1"/>
    <col min="2314" max="2314" width="12.5" style="60" customWidth="1"/>
    <col min="2315" max="2316" width="9.625" style="60" customWidth="1"/>
    <col min="2317" max="2317" width="14.375" style="60" customWidth="1"/>
    <col min="2318" max="2318" width="1.625" style="60" customWidth="1"/>
    <col min="2319" max="2560" width="8.875" style="60"/>
    <col min="2561" max="2561" width="1.625" style="60" customWidth="1"/>
    <col min="2562" max="2562" width="0.875" style="60" customWidth="1"/>
    <col min="2563" max="2563" width="4.5" style="60" customWidth="1"/>
    <col min="2564" max="2564" width="9.25" style="60" customWidth="1"/>
    <col min="2565" max="2565" width="4.125" style="60" customWidth="1"/>
    <col min="2566" max="2566" width="4.625" style="60" customWidth="1"/>
    <col min="2567" max="2567" width="6.25" style="60" customWidth="1"/>
    <col min="2568" max="2569" width="9.625" style="60" customWidth="1"/>
    <col min="2570" max="2570" width="12.5" style="60" customWidth="1"/>
    <col min="2571" max="2572" width="9.625" style="60" customWidth="1"/>
    <col min="2573" max="2573" width="14.375" style="60" customWidth="1"/>
    <col min="2574" max="2574" width="1.625" style="60" customWidth="1"/>
    <col min="2575" max="2816" width="8.875" style="60"/>
    <col min="2817" max="2817" width="1.625" style="60" customWidth="1"/>
    <col min="2818" max="2818" width="0.875" style="60" customWidth="1"/>
    <col min="2819" max="2819" width="4.5" style="60" customWidth="1"/>
    <col min="2820" max="2820" width="9.25" style="60" customWidth="1"/>
    <col min="2821" max="2821" width="4.125" style="60" customWidth="1"/>
    <col min="2822" max="2822" width="4.625" style="60" customWidth="1"/>
    <col min="2823" max="2823" width="6.25" style="60" customWidth="1"/>
    <col min="2824" max="2825" width="9.625" style="60" customWidth="1"/>
    <col min="2826" max="2826" width="12.5" style="60" customWidth="1"/>
    <col min="2827" max="2828" width="9.625" style="60" customWidth="1"/>
    <col min="2829" max="2829" width="14.375" style="60" customWidth="1"/>
    <col min="2830" max="2830" width="1.625" style="60" customWidth="1"/>
    <col min="2831" max="3072" width="8.875" style="60"/>
    <col min="3073" max="3073" width="1.625" style="60" customWidth="1"/>
    <col min="3074" max="3074" width="0.875" style="60" customWidth="1"/>
    <col min="3075" max="3075" width="4.5" style="60" customWidth="1"/>
    <col min="3076" max="3076" width="9.25" style="60" customWidth="1"/>
    <col min="3077" max="3077" width="4.125" style="60" customWidth="1"/>
    <col min="3078" max="3078" width="4.625" style="60" customWidth="1"/>
    <col min="3079" max="3079" width="6.25" style="60" customWidth="1"/>
    <col min="3080" max="3081" width="9.625" style="60" customWidth="1"/>
    <col min="3082" max="3082" width="12.5" style="60" customWidth="1"/>
    <col min="3083" max="3084" width="9.625" style="60" customWidth="1"/>
    <col min="3085" max="3085" width="14.375" style="60" customWidth="1"/>
    <col min="3086" max="3086" width="1.625" style="60" customWidth="1"/>
    <col min="3087" max="3328" width="8.875" style="60"/>
    <col min="3329" max="3329" width="1.625" style="60" customWidth="1"/>
    <col min="3330" max="3330" width="0.875" style="60" customWidth="1"/>
    <col min="3331" max="3331" width="4.5" style="60" customWidth="1"/>
    <col min="3332" max="3332" width="9.25" style="60" customWidth="1"/>
    <col min="3333" max="3333" width="4.125" style="60" customWidth="1"/>
    <col min="3334" max="3334" width="4.625" style="60" customWidth="1"/>
    <col min="3335" max="3335" width="6.25" style="60" customWidth="1"/>
    <col min="3336" max="3337" width="9.625" style="60" customWidth="1"/>
    <col min="3338" max="3338" width="12.5" style="60" customWidth="1"/>
    <col min="3339" max="3340" width="9.625" style="60" customWidth="1"/>
    <col min="3341" max="3341" width="14.375" style="60" customWidth="1"/>
    <col min="3342" max="3342" width="1.625" style="60" customWidth="1"/>
    <col min="3343" max="3584" width="8.875" style="60"/>
    <col min="3585" max="3585" width="1.625" style="60" customWidth="1"/>
    <col min="3586" max="3586" width="0.875" style="60" customWidth="1"/>
    <col min="3587" max="3587" width="4.5" style="60" customWidth="1"/>
    <col min="3588" max="3588" width="9.25" style="60" customWidth="1"/>
    <col min="3589" max="3589" width="4.125" style="60" customWidth="1"/>
    <col min="3590" max="3590" width="4.625" style="60" customWidth="1"/>
    <col min="3591" max="3591" width="6.25" style="60" customWidth="1"/>
    <col min="3592" max="3593" width="9.625" style="60" customWidth="1"/>
    <col min="3594" max="3594" width="12.5" style="60" customWidth="1"/>
    <col min="3595" max="3596" width="9.625" style="60" customWidth="1"/>
    <col min="3597" max="3597" width="14.375" style="60" customWidth="1"/>
    <col min="3598" max="3598" width="1.625" style="60" customWidth="1"/>
    <col min="3599" max="3840" width="8.875" style="60"/>
    <col min="3841" max="3841" width="1.625" style="60" customWidth="1"/>
    <col min="3842" max="3842" width="0.875" style="60" customWidth="1"/>
    <col min="3843" max="3843" width="4.5" style="60" customWidth="1"/>
    <col min="3844" max="3844" width="9.25" style="60" customWidth="1"/>
    <col min="3845" max="3845" width="4.125" style="60" customWidth="1"/>
    <col min="3846" max="3846" width="4.625" style="60" customWidth="1"/>
    <col min="3847" max="3847" width="6.25" style="60" customWidth="1"/>
    <col min="3848" max="3849" width="9.625" style="60" customWidth="1"/>
    <col min="3850" max="3850" width="12.5" style="60" customWidth="1"/>
    <col min="3851" max="3852" width="9.625" style="60" customWidth="1"/>
    <col min="3853" max="3853" width="14.375" style="60" customWidth="1"/>
    <col min="3854" max="3854" width="1.625" style="60" customWidth="1"/>
    <col min="3855" max="4096" width="8.875" style="60"/>
    <col min="4097" max="4097" width="1.625" style="60" customWidth="1"/>
    <col min="4098" max="4098" width="0.875" style="60" customWidth="1"/>
    <col min="4099" max="4099" width="4.5" style="60" customWidth="1"/>
    <col min="4100" max="4100" width="9.25" style="60" customWidth="1"/>
    <col min="4101" max="4101" width="4.125" style="60" customWidth="1"/>
    <col min="4102" max="4102" width="4.625" style="60" customWidth="1"/>
    <col min="4103" max="4103" width="6.25" style="60" customWidth="1"/>
    <col min="4104" max="4105" width="9.625" style="60" customWidth="1"/>
    <col min="4106" max="4106" width="12.5" style="60" customWidth="1"/>
    <col min="4107" max="4108" width="9.625" style="60" customWidth="1"/>
    <col min="4109" max="4109" width="14.375" style="60" customWidth="1"/>
    <col min="4110" max="4110" width="1.625" style="60" customWidth="1"/>
    <col min="4111" max="4352" width="8.875" style="60"/>
    <col min="4353" max="4353" width="1.625" style="60" customWidth="1"/>
    <col min="4354" max="4354" width="0.875" style="60" customWidth="1"/>
    <col min="4355" max="4355" width="4.5" style="60" customWidth="1"/>
    <col min="4356" max="4356" width="9.25" style="60" customWidth="1"/>
    <col min="4357" max="4357" width="4.125" style="60" customWidth="1"/>
    <col min="4358" max="4358" width="4.625" style="60" customWidth="1"/>
    <col min="4359" max="4359" width="6.25" style="60" customWidth="1"/>
    <col min="4360" max="4361" width="9.625" style="60" customWidth="1"/>
    <col min="4362" max="4362" width="12.5" style="60" customWidth="1"/>
    <col min="4363" max="4364" width="9.625" style="60" customWidth="1"/>
    <col min="4365" max="4365" width="14.375" style="60" customWidth="1"/>
    <col min="4366" max="4366" width="1.625" style="60" customWidth="1"/>
    <col min="4367" max="4608" width="8.875" style="60"/>
    <col min="4609" max="4609" width="1.625" style="60" customWidth="1"/>
    <col min="4610" max="4610" width="0.875" style="60" customWidth="1"/>
    <col min="4611" max="4611" width="4.5" style="60" customWidth="1"/>
    <col min="4612" max="4612" width="9.25" style="60" customWidth="1"/>
    <col min="4613" max="4613" width="4.125" style="60" customWidth="1"/>
    <col min="4614" max="4614" width="4.625" style="60" customWidth="1"/>
    <col min="4615" max="4615" width="6.25" style="60" customWidth="1"/>
    <col min="4616" max="4617" width="9.625" style="60" customWidth="1"/>
    <col min="4618" max="4618" width="12.5" style="60" customWidth="1"/>
    <col min="4619" max="4620" width="9.625" style="60" customWidth="1"/>
    <col min="4621" max="4621" width="14.375" style="60" customWidth="1"/>
    <col min="4622" max="4622" width="1.625" style="60" customWidth="1"/>
    <col min="4623" max="4864" width="8.875" style="60"/>
    <col min="4865" max="4865" width="1.625" style="60" customWidth="1"/>
    <col min="4866" max="4866" width="0.875" style="60" customWidth="1"/>
    <col min="4867" max="4867" width="4.5" style="60" customWidth="1"/>
    <col min="4868" max="4868" width="9.25" style="60" customWidth="1"/>
    <col min="4869" max="4869" width="4.125" style="60" customWidth="1"/>
    <col min="4870" max="4870" width="4.625" style="60" customWidth="1"/>
    <col min="4871" max="4871" width="6.25" style="60" customWidth="1"/>
    <col min="4872" max="4873" width="9.625" style="60" customWidth="1"/>
    <col min="4874" max="4874" width="12.5" style="60" customWidth="1"/>
    <col min="4875" max="4876" width="9.625" style="60" customWidth="1"/>
    <col min="4877" max="4877" width="14.375" style="60" customWidth="1"/>
    <col min="4878" max="4878" width="1.625" style="60" customWidth="1"/>
    <col min="4879" max="5120" width="8.875" style="60"/>
    <col min="5121" max="5121" width="1.625" style="60" customWidth="1"/>
    <col min="5122" max="5122" width="0.875" style="60" customWidth="1"/>
    <col min="5123" max="5123" width="4.5" style="60" customWidth="1"/>
    <col min="5124" max="5124" width="9.25" style="60" customWidth="1"/>
    <col min="5125" max="5125" width="4.125" style="60" customWidth="1"/>
    <col min="5126" max="5126" width="4.625" style="60" customWidth="1"/>
    <col min="5127" max="5127" width="6.25" style="60" customWidth="1"/>
    <col min="5128" max="5129" width="9.625" style="60" customWidth="1"/>
    <col min="5130" max="5130" width="12.5" style="60" customWidth="1"/>
    <col min="5131" max="5132" width="9.625" style="60" customWidth="1"/>
    <col min="5133" max="5133" width="14.375" style="60" customWidth="1"/>
    <col min="5134" max="5134" width="1.625" style="60" customWidth="1"/>
    <col min="5135" max="5376" width="8.875" style="60"/>
    <col min="5377" max="5377" width="1.625" style="60" customWidth="1"/>
    <col min="5378" max="5378" width="0.875" style="60" customWidth="1"/>
    <col min="5379" max="5379" width="4.5" style="60" customWidth="1"/>
    <col min="5380" max="5380" width="9.25" style="60" customWidth="1"/>
    <col min="5381" max="5381" width="4.125" style="60" customWidth="1"/>
    <col min="5382" max="5382" width="4.625" style="60" customWidth="1"/>
    <col min="5383" max="5383" width="6.25" style="60" customWidth="1"/>
    <col min="5384" max="5385" width="9.625" style="60" customWidth="1"/>
    <col min="5386" max="5386" width="12.5" style="60" customWidth="1"/>
    <col min="5387" max="5388" width="9.625" style="60" customWidth="1"/>
    <col min="5389" max="5389" width="14.375" style="60" customWidth="1"/>
    <col min="5390" max="5390" width="1.625" style="60" customWidth="1"/>
    <col min="5391" max="5632" width="8.875" style="60"/>
    <col min="5633" max="5633" width="1.625" style="60" customWidth="1"/>
    <col min="5634" max="5634" width="0.875" style="60" customWidth="1"/>
    <col min="5635" max="5635" width="4.5" style="60" customWidth="1"/>
    <col min="5636" max="5636" width="9.25" style="60" customWidth="1"/>
    <col min="5637" max="5637" width="4.125" style="60" customWidth="1"/>
    <col min="5638" max="5638" width="4.625" style="60" customWidth="1"/>
    <col min="5639" max="5639" width="6.25" style="60" customWidth="1"/>
    <col min="5640" max="5641" width="9.625" style="60" customWidth="1"/>
    <col min="5642" max="5642" width="12.5" style="60" customWidth="1"/>
    <col min="5643" max="5644" width="9.625" style="60" customWidth="1"/>
    <col min="5645" max="5645" width="14.375" style="60" customWidth="1"/>
    <col min="5646" max="5646" width="1.625" style="60" customWidth="1"/>
    <col min="5647" max="5888" width="8.875" style="60"/>
    <col min="5889" max="5889" width="1.625" style="60" customWidth="1"/>
    <col min="5890" max="5890" width="0.875" style="60" customWidth="1"/>
    <col min="5891" max="5891" width="4.5" style="60" customWidth="1"/>
    <col min="5892" max="5892" width="9.25" style="60" customWidth="1"/>
    <col min="5893" max="5893" width="4.125" style="60" customWidth="1"/>
    <col min="5894" max="5894" width="4.625" style="60" customWidth="1"/>
    <col min="5895" max="5895" width="6.25" style="60" customWidth="1"/>
    <col min="5896" max="5897" width="9.625" style="60" customWidth="1"/>
    <col min="5898" max="5898" width="12.5" style="60" customWidth="1"/>
    <col min="5899" max="5900" width="9.625" style="60" customWidth="1"/>
    <col min="5901" max="5901" width="14.375" style="60" customWidth="1"/>
    <col min="5902" max="5902" width="1.625" style="60" customWidth="1"/>
    <col min="5903" max="6144" width="8.875" style="60"/>
    <col min="6145" max="6145" width="1.625" style="60" customWidth="1"/>
    <col min="6146" max="6146" width="0.875" style="60" customWidth="1"/>
    <col min="6147" max="6147" width="4.5" style="60" customWidth="1"/>
    <col min="6148" max="6148" width="9.25" style="60" customWidth="1"/>
    <col min="6149" max="6149" width="4.125" style="60" customWidth="1"/>
    <col min="6150" max="6150" width="4.625" style="60" customWidth="1"/>
    <col min="6151" max="6151" width="6.25" style="60" customWidth="1"/>
    <col min="6152" max="6153" width="9.625" style="60" customWidth="1"/>
    <col min="6154" max="6154" width="12.5" style="60" customWidth="1"/>
    <col min="6155" max="6156" width="9.625" style="60" customWidth="1"/>
    <col min="6157" max="6157" width="14.375" style="60" customWidth="1"/>
    <col min="6158" max="6158" width="1.625" style="60" customWidth="1"/>
    <col min="6159" max="6400" width="8.875" style="60"/>
    <col min="6401" max="6401" width="1.625" style="60" customWidth="1"/>
    <col min="6402" max="6402" width="0.875" style="60" customWidth="1"/>
    <col min="6403" max="6403" width="4.5" style="60" customWidth="1"/>
    <col min="6404" max="6404" width="9.25" style="60" customWidth="1"/>
    <col min="6405" max="6405" width="4.125" style="60" customWidth="1"/>
    <col min="6406" max="6406" width="4.625" style="60" customWidth="1"/>
    <col min="6407" max="6407" width="6.25" style="60" customWidth="1"/>
    <col min="6408" max="6409" width="9.625" style="60" customWidth="1"/>
    <col min="6410" max="6410" width="12.5" style="60" customWidth="1"/>
    <col min="6411" max="6412" width="9.625" style="60" customWidth="1"/>
    <col min="6413" max="6413" width="14.375" style="60" customWidth="1"/>
    <col min="6414" max="6414" width="1.625" style="60" customWidth="1"/>
    <col min="6415" max="6656" width="8.875" style="60"/>
    <col min="6657" max="6657" width="1.625" style="60" customWidth="1"/>
    <col min="6658" max="6658" width="0.875" style="60" customWidth="1"/>
    <col min="6659" max="6659" width="4.5" style="60" customWidth="1"/>
    <col min="6660" max="6660" width="9.25" style="60" customWidth="1"/>
    <col min="6661" max="6661" width="4.125" style="60" customWidth="1"/>
    <col min="6662" max="6662" width="4.625" style="60" customWidth="1"/>
    <col min="6663" max="6663" width="6.25" style="60" customWidth="1"/>
    <col min="6664" max="6665" width="9.625" style="60" customWidth="1"/>
    <col min="6666" max="6666" width="12.5" style="60" customWidth="1"/>
    <col min="6667" max="6668" width="9.625" style="60" customWidth="1"/>
    <col min="6669" max="6669" width="14.375" style="60" customWidth="1"/>
    <col min="6670" max="6670" width="1.625" style="60" customWidth="1"/>
    <col min="6671" max="6912" width="8.875" style="60"/>
    <col min="6913" max="6913" width="1.625" style="60" customWidth="1"/>
    <col min="6914" max="6914" width="0.875" style="60" customWidth="1"/>
    <col min="6915" max="6915" width="4.5" style="60" customWidth="1"/>
    <col min="6916" max="6916" width="9.25" style="60" customWidth="1"/>
    <col min="6917" max="6917" width="4.125" style="60" customWidth="1"/>
    <col min="6918" max="6918" width="4.625" style="60" customWidth="1"/>
    <col min="6919" max="6919" width="6.25" style="60" customWidth="1"/>
    <col min="6920" max="6921" width="9.625" style="60" customWidth="1"/>
    <col min="6922" max="6922" width="12.5" style="60" customWidth="1"/>
    <col min="6923" max="6924" width="9.625" style="60" customWidth="1"/>
    <col min="6925" max="6925" width="14.375" style="60" customWidth="1"/>
    <col min="6926" max="6926" width="1.625" style="60" customWidth="1"/>
    <col min="6927" max="7168" width="8.875" style="60"/>
    <col min="7169" max="7169" width="1.625" style="60" customWidth="1"/>
    <col min="7170" max="7170" width="0.875" style="60" customWidth="1"/>
    <col min="7171" max="7171" width="4.5" style="60" customWidth="1"/>
    <col min="7172" max="7172" width="9.25" style="60" customWidth="1"/>
    <col min="7173" max="7173" width="4.125" style="60" customWidth="1"/>
    <col min="7174" max="7174" width="4.625" style="60" customWidth="1"/>
    <col min="7175" max="7175" width="6.25" style="60" customWidth="1"/>
    <col min="7176" max="7177" width="9.625" style="60" customWidth="1"/>
    <col min="7178" max="7178" width="12.5" style="60" customWidth="1"/>
    <col min="7179" max="7180" width="9.625" style="60" customWidth="1"/>
    <col min="7181" max="7181" width="14.375" style="60" customWidth="1"/>
    <col min="7182" max="7182" width="1.625" style="60" customWidth="1"/>
    <col min="7183" max="7424" width="8.875" style="60"/>
    <col min="7425" max="7425" width="1.625" style="60" customWidth="1"/>
    <col min="7426" max="7426" width="0.875" style="60" customWidth="1"/>
    <col min="7427" max="7427" width="4.5" style="60" customWidth="1"/>
    <col min="7428" max="7428" width="9.25" style="60" customWidth="1"/>
    <col min="7429" max="7429" width="4.125" style="60" customWidth="1"/>
    <col min="7430" max="7430" width="4.625" style="60" customWidth="1"/>
    <col min="7431" max="7431" width="6.25" style="60" customWidth="1"/>
    <col min="7432" max="7433" width="9.625" style="60" customWidth="1"/>
    <col min="7434" max="7434" width="12.5" style="60" customWidth="1"/>
    <col min="7435" max="7436" width="9.625" style="60" customWidth="1"/>
    <col min="7437" max="7437" width="14.375" style="60" customWidth="1"/>
    <col min="7438" max="7438" width="1.625" style="60" customWidth="1"/>
    <col min="7439" max="7680" width="8.875" style="60"/>
    <col min="7681" max="7681" width="1.625" style="60" customWidth="1"/>
    <col min="7682" max="7682" width="0.875" style="60" customWidth="1"/>
    <col min="7683" max="7683" width="4.5" style="60" customWidth="1"/>
    <col min="7684" max="7684" width="9.25" style="60" customWidth="1"/>
    <col min="7685" max="7685" width="4.125" style="60" customWidth="1"/>
    <col min="7686" max="7686" width="4.625" style="60" customWidth="1"/>
    <col min="7687" max="7687" width="6.25" style="60" customWidth="1"/>
    <col min="7688" max="7689" width="9.625" style="60" customWidth="1"/>
    <col min="7690" max="7690" width="12.5" style="60" customWidth="1"/>
    <col min="7691" max="7692" width="9.625" style="60" customWidth="1"/>
    <col min="7693" max="7693" width="14.375" style="60" customWidth="1"/>
    <col min="7694" max="7694" width="1.625" style="60" customWidth="1"/>
    <col min="7695" max="7936" width="8.875" style="60"/>
    <col min="7937" max="7937" width="1.625" style="60" customWidth="1"/>
    <col min="7938" max="7938" width="0.875" style="60" customWidth="1"/>
    <col min="7939" max="7939" width="4.5" style="60" customWidth="1"/>
    <col min="7940" max="7940" width="9.25" style="60" customWidth="1"/>
    <col min="7941" max="7941" width="4.125" style="60" customWidth="1"/>
    <col min="7942" max="7942" width="4.625" style="60" customWidth="1"/>
    <col min="7943" max="7943" width="6.25" style="60" customWidth="1"/>
    <col min="7944" max="7945" width="9.625" style="60" customWidth="1"/>
    <col min="7946" max="7946" width="12.5" style="60" customWidth="1"/>
    <col min="7947" max="7948" width="9.625" style="60" customWidth="1"/>
    <col min="7949" max="7949" width="14.375" style="60" customWidth="1"/>
    <col min="7950" max="7950" width="1.625" style="60" customWidth="1"/>
    <col min="7951" max="8192" width="8.875" style="60"/>
    <col min="8193" max="8193" width="1.625" style="60" customWidth="1"/>
    <col min="8194" max="8194" width="0.875" style="60" customWidth="1"/>
    <col min="8195" max="8195" width="4.5" style="60" customWidth="1"/>
    <col min="8196" max="8196" width="9.25" style="60" customWidth="1"/>
    <col min="8197" max="8197" width="4.125" style="60" customWidth="1"/>
    <col min="8198" max="8198" width="4.625" style="60" customWidth="1"/>
    <col min="8199" max="8199" width="6.25" style="60" customWidth="1"/>
    <col min="8200" max="8201" width="9.625" style="60" customWidth="1"/>
    <col min="8202" max="8202" width="12.5" style="60" customWidth="1"/>
    <col min="8203" max="8204" width="9.625" style="60" customWidth="1"/>
    <col min="8205" max="8205" width="14.375" style="60" customWidth="1"/>
    <col min="8206" max="8206" width="1.625" style="60" customWidth="1"/>
    <col min="8207" max="8448" width="8.875" style="60"/>
    <col min="8449" max="8449" width="1.625" style="60" customWidth="1"/>
    <col min="8450" max="8450" width="0.875" style="60" customWidth="1"/>
    <col min="8451" max="8451" width="4.5" style="60" customWidth="1"/>
    <col min="8452" max="8452" width="9.25" style="60" customWidth="1"/>
    <col min="8453" max="8453" width="4.125" style="60" customWidth="1"/>
    <col min="8454" max="8454" width="4.625" style="60" customWidth="1"/>
    <col min="8455" max="8455" width="6.25" style="60" customWidth="1"/>
    <col min="8456" max="8457" width="9.625" style="60" customWidth="1"/>
    <col min="8458" max="8458" width="12.5" style="60" customWidth="1"/>
    <col min="8459" max="8460" width="9.625" style="60" customWidth="1"/>
    <col min="8461" max="8461" width="14.375" style="60" customWidth="1"/>
    <col min="8462" max="8462" width="1.625" style="60" customWidth="1"/>
    <col min="8463" max="8704" width="8.875" style="60"/>
    <col min="8705" max="8705" width="1.625" style="60" customWidth="1"/>
    <col min="8706" max="8706" width="0.875" style="60" customWidth="1"/>
    <col min="8707" max="8707" width="4.5" style="60" customWidth="1"/>
    <col min="8708" max="8708" width="9.25" style="60" customWidth="1"/>
    <col min="8709" max="8709" width="4.125" style="60" customWidth="1"/>
    <col min="8710" max="8710" width="4.625" style="60" customWidth="1"/>
    <col min="8711" max="8711" width="6.25" style="60" customWidth="1"/>
    <col min="8712" max="8713" width="9.625" style="60" customWidth="1"/>
    <col min="8714" max="8714" width="12.5" style="60" customWidth="1"/>
    <col min="8715" max="8716" width="9.625" style="60" customWidth="1"/>
    <col min="8717" max="8717" width="14.375" style="60" customWidth="1"/>
    <col min="8718" max="8718" width="1.625" style="60" customWidth="1"/>
    <col min="8719" max="8960" width="8.875" style="60"/>
    <col min="8961" max="8961" width="1.625" style="60" customWidth="1"/>
    <col min="8962" max="8962" width="0.875" style="60" customWidth="1"/>
    <col min="8963" max="8963" width="4.5" style="60" customWidth="1"/>
    <col min="8964" max="8964" width="9.25" style="60" customWidth="1"/>
    <col min="8965" max="8965" width="4.125" style="60" customWidth="1"/>
    <col min="8966" max="8966" width="4.625" style="60" customWidth="1"/>
    <col min="8967" max="8967" width="6.25" style="60" customWidth="1"/>
    <col min="8968" max="8969" width="9.625" style="60" customWidth="1"/>
    <col min="8970" max="8970" width="12.5" style="60" customWidth="1"/>
    <col min="8971" max="8972" width="9.625" style="60" customWidth="1"/>
    <col min="8973" max="8973" width="14.375" style="60" customWidth="1"/>
    <col min="8974" max="8974" width="1.625" style="60" customWidth="1"/>
    <col min="8975" max="9216" width="8.875" style="60"/>
    <col min="9217" max="9217" width="1.625" style="60" customWidth="1"/>
    <col min="9218" max="9218" width="0.875" style="60" customWidth="1"/>
    <col min="9219" max="9219" width="4.5" style="60" customWidth="1"/>
    <col min="9220" max="9220" width="9.25" style="60" customWidth="1"/>
    <col min="9221" max="9221" width="4.125" style="60" customWidth="1"/>
    <col min="9222" max="9222" width="4.625" style="60" customWidth="1"/>
    <col min="9223" max="9223" width="6.25" style="60" customWidth="1"/>
    <col min="9224" max="9225" width="9.625" style="60" customWidth="1"/>
    <col min="9226" max="9226" width="12.5" style="60" customWidth="1"/>
    <col min="9227" max="9228" width="9.625" style="60" customWidth="1"/>
    <col min="9229" max="9229" width="14.375" style="60" customWidth="1"/>
    <col min="9230" max="9230" width="1.625" style="60" customWidth="1"/>
    <col min="9231" max="9472" width="8.875" style="60"/>
    <col min="9473" max="9473" width="1.625" style="60" customWidth="1"/>
    <col min="9474" max="9474" width="0.875" style="60" customWidth="1"/>
    <col min="9475" max="9475" width="4.5" style="60" customWidth="1"/>
    <col min="9476" max="9476" width="9.25" style="60" customWidth="1"/>
    <col min="9477" max="9477" width="4.125" style="60" customWidth="1"/>
    <col min="9478" max="9478" width="4.625" style="60" customWidth="1"/>
    <col min="9479" max="9479" width="6.25" style="60" customWidth="1"/>
    <col min="9480" max="9481" width="9.625" style="60" customWidth="1"/>
    <col min="9482" max="9482" width="12.5" style="60" customWidth="1"/>
    <col min="9483" max="9484" width="9.625" style="60" customWidth="1"/>
    <col min="9485" max="9485" width="14.375" style="60" customWidth="1"/>
    <col min="9486" max="9486" width="1.625" style="60" customWidth="1"/>
    <col min="9487" max="9728" width="8.875" style="60"/>
    <col min="9729" max="9729" width="1.625" style="60" customWidth="1"/>
    <col min="9730" max="9730" width="0.875" style="60" customWidth="1"/>
    <col min="9731" max="9731" width="4.5" style="60" customWidth="1"/>
    <col min="9732" max="9732" width="9.25" style="60" customWidth="1"/>
    <col min="9733" max="9733" width="4.125" style="60" customWidth="1"/>
    <col min="9734" max="9734" width="4.625" style="60" customWidth="1"/>
    <col min="9735" max="9735" width="6.25" style="60" customWidth="1"/>
    <col min="9736" max="9737" width="9.625" style="60" customWidth="1"/>
    <col min="9738" max="9738" width="12.5" style="60" customWidth="1"/>
    <col min="9739" max="9740" width="9.625" style="60" customWidth="1"/>
    <col min="9741" max="9741" width="14.375" style="60" customWidth="1"/>
    <col min="9742" max="9742" width="1.625" style="60" customWidth="1"/>
    <col min="9743" max="9984" width="8.875" style="60"/>
    <col min="9985" max="9985" width="1.625" style="60" customWidth="1"/>
    <col min="9986" max="9986" width="0.875" style="60" customWidth="1"/>
    <col min="9987" max="9987" width="4.5" style="60" customWidth="1"/>
    <col min="9988" max="9988" width="9.25" style="60" customWidth="1"/>
    <col min="9989" max="9989" width="4.125" style="60" customWidth="1"/>
    <col min="9990" max="9990" width="4.625" style="60" customWidth="1"/>
    <col min="9991" max="9991" width="6.25" style="60" customWidth="1"/>
    <col min="9992" max="9993" width="9.625" style="60" customWidth="1"/>
    <col min="9994" max="9994" width="12.5" style="60" customWidth="1"/>
    <col min="9995" max="9996" width="9.625" style="60" customWidth="1"/>
    <col min="9997" max="9997" width="14.375" style="60" customWidth="1"/>
    <col min="9998" max="9998" width="1.625" style="60" customWidth="1"/>
    <col min="9999" max="10240" width="8.875" style="60"/>
    <col min="10241" max="10241" width="1.625" style="60" customWidth="1"/>
    <col min="10242" max="10242" width="0.875" style="60" customWidth="1"/>
    <col min="10243" max="10243" width="4.5" style="60" customWidth="1"/>
    <col min="10244" max="10244" width="9.25" style="60" customWidth="1"/>
    <col min="10245" max="10245" width="4.125" style="60" customWidth="1"/>
    <col min="10246" max="10246" width="4.625" style="60" customWidth="1"/>
    <col min="10247" max="10247" width="6.25" style="60" customWidth="1"/>
    <col min="10248" max="10249" width="9.625" style="60" customWidth="1"/>
    <col min="10250" max="10250" width="12.5" style="60" customWidth="1"/>
    <col min="10251" max="10252" width="9.625" style="60" customWidth="1"/>
    <col min="10253" max="10253" width="14.375" style="60" customWidth="1"/>
    <col min="10254" max="10254" width="1.625" style="60" customWidth="1"/>
    <col min="10255" max="10496" width="8.875" style="60"/>
    <col min="10497" max="10497" width="1.625" style="60" customWidth="1"/>
    <col min="10498" max="10498" width="0.875" style="60" customWidth="1"/>
    <col min="10499" max="10499" width="4.5" style="60" customWidth="1"/>
    <col min="10500" max="10500" width="9.25" style="60" customWidth="1"/>
    <col min="10501" max="10501" width="4.125" style="60" customWidth="1"/>
    <col min="10502" max="10502" width="4.625" style="60" customWidth="1"/>
    <col min="10503" max="10503" width="6.25" style="60" customWidth="1"/>
    <col min="10504" max="10505" width="9.625" style="60" customWidth="1"/>
    <col min="10506" max="10506" width="12.5" style="60" customWidth="1"/>
    <col min="10507" max="10508" width="9.625" style="60" customWidth="1"/>
    <col min="10509" max="10509" width="14.375" style="60" customWidth="1"/>
    <col min="10510" max="10510" width="1.625" style="60" customWidth="1"/>
    <col min="10511" max="10752" width="8.875" style="60"/>
    <col min="10753" max="10753" width="1.625" style="60" customWidth="1"/>
    <col min="10754" max="10754" width="0.875" style="60" customWidth="1"/>
    <col min="10755" max="10755" width="4.5" style="60" customWidth="1"/>
    <col min="10756" max="10756" width="9.25" style="60" customWidth="1"/>
    <col min="10757" max="10757" width="4.125" style="60" customWidth="1"/>
    <col min="10758" max="10758" width="4.625" style="60" customWidth="1"/>
    <col min="10759" max="10759" width="6.25" style="60" customWidth="1"/>
    <col min="10760" max="10761" width="9.625" style="60" customWidth="1"/>
    <col min="10762" max="10762" width="12.5" style="60" customWidth="1"/>
    <col min="10763" max="10764" width="9.625" style="60" customWidth="1"/>
    <col min="10765" max="10765" width="14.375" style="60" customWidth="1"/>
    <col min="10766" max="10766" width="1.625" style="60" customWidth="1"/>
    <col min="10767" max="11008" width="8.875" style="60"/>
    <col min="11009" max="11009" width="1.625" style="60" customWidth="1"/>
    <col min="11010" max="11010" width="0.875" style="60" customWidth="1"/>
    <col min="11011" max="11011" width="4.5" style="60" customWidth="1"/>
    <col min="11012" max="11012" width="9.25" style="60" customWidth="1"/>
    <col min="11013" max="11013" width="4.125" style="60" customWidth="1"/>
    <col min="11014" max="11014" width="4.625" style="60" customWidth="1"/>
    <col min="11015" max="11015" width="6.25" style="60" customWidth="1"/>
    <col min="11016" max="11017" width="9.625" style="60" customWidth="1"/>
    <col min="11018" max="11018" width="12.5" style="60" customWidth="1"/>
    <col min="11019" max="11020" width="9.625" style="60" customWidth="1"/>
    <col min="11021" max="11021" width="14.375" style="60" customWidth="1"/>
    <col min="11022" max="11022" width="1.625" style="60" customWidth="1"/>
    <col min="11023" max="11264" width="8.875" style="60"/>
    <col min="11265" max="11265" width="1.625" style="60" customWidth="1"/>
    <col min="11266" max="11266" width="0.875" style="60" customWidth="1"/>
    <col min="11267" max="11267" width="4.5" style="60" customWidth="1"/>
    <col min="11268" max="11268" width="9.25" style="60" customWidth="1"/>
    <col min="11269" max="11269" width="4.125" style="60" customWidth="1"/>
    <col min="11270" max="11270" width="4.625" style="60" customWidth="1"/>
    <col min="11271" max="11271" width="6.25" style="60" customWidth="1"/>
    <col min="11272" max="11273" width="9.625" style="60" customWidth="1"/>
    <col min="11274" max="11274" width="12.5" style="60" customWidth="1"/>
    <col min="11275" max="11276" width="9.625" style="60" customWidth="1"/>
    <col min="11277" max="11277" width="14.375" style="60" customWidth="1"/>
    <col min="11278" max="11278" width="1.625" style="60" customWidth="1"/>
    <col min="11279" max="11520" width="8.875" style="60"/>
    <col min="11521" max="11521" width="1.625" style="60" customWidth="1"/>
    <col min="11522" max="11522" width="0.875" style="60" customWidth="1"/>
    <col min="11523" max="11523" width="4.5" style="60" customWidth="1"/>
    <col min="11524" max="11524" width="9.25" style="60" customWidth="1"/>
    <col min="11525" max="11525" width="4.125" style="60" customWidth="1"/>
    <col min="11526" max="11526" width="4.625" style="60" customWidth="1"/>
    <col min="11527" max="11527" width="6.25" style="60" customWidth="1"/>
    <col min="11528" max="11529" width="9.625" style="60" customWidth="1"/>
    <col min="11530" max="11530" width="12.5" style="60" customWidth="1"/>
    <col min="11531" max="11532" width="9.625" style="60" customWidth="1"/>
    <col min="11533" max="11533" width="14.375" style="60" customWidth="1"/>
    <col min="11534" max="11534" width="1.625" style="60" customWidth="1"/>
    <col min="11535" max="11776" width="8.875" style="60"/>
    <col min="11777" max="11777" width="1.625" style="60" customWidth="1"/>
    <col min="11778" max="11778" width="0.875" style="60" customWidth="1"/>
    <col min="11779" max="11779" width="4.5" style="60" customWidth="1"/>
    <col min="11780" max="11780" width="9.25" style="60" customWidth="1"/>
    <col min="11781" max="11781" width="4.125" style="60" customWidth="1"/>
    <col min="11782" max="11782" width="4.625" style="60" customWidth="1"/>
    <col min="11783" max="11783" width="6.25" style="60" customWidth="1"/>
    <col min="11784" max="11785" width="9.625" style="60" customWidth="1"/>
    <col min="11786" max="11786" width="12.5" style="60" customWidth="1"/>
    <col min="11787" max="11788" width="9.625" style="60" customWidth="1"/>
    <col min="11789" max="11789" width="14.375" style="60" customWidth="1"/>
    <col min="11790" max="11790" width="1.625" style="60" customWidth="1"/>
    <col min="11791" max="12032" width="8.875" style="60"/>
    <col min="12033" max="12033" width="1.625" style="60" customWidth="1"/>
    <col min="12034" max="12034" width="0.875" style="60" customWidth="1"/>
    <col min="12035" max="12035" width="4.5" style="60" customWidth="1"/>
    <col min="12036" max="12036" width="9.25" style="60" customWidth="1"/>
    <col min="12037" max="12037" width="4.125" style="60" customWidth="1"/>
    <col min="12038" max="12038" width="4.625" style="60" customWidth="1"/>
    <col min="12039" max="12039" width="6.25" style="60" customWidth="1"/>
    <col min="12040" max="12041" width="9.625" style="60" customWidth="1"/>
    <col min="12042" max="12042" width="12.5" style="60" customWidth="1"/>
    <col min="12043" max="12044" width="9.625" style="60" customWidth="1"/>
    <col min="12045" max="12045" width="14.375" style="60" customWidth="1"/>
    <col min="12046" max="12046" width="1.625" style="60" customWidth="1"/>
    <col min="12047" max="12288" width="8.875" style="60"/>
    <col min="12289" max="12289" width="1.625" style="60" customWidth="1"/>
    <col min="12290" max="12290" width="0.875" style="60" customWidth="1"/>
    <col min="12291" max="12291" width="4.5" style="60" customWidth="1"/>
    <col min="12292" max="12292" width="9.25" style="60" customWidth="1"/>
    <col min="12293" max="12293" width="4.125" style="60" customWidth="1"/>
    <col min="12294" max="12294" width="4.625" style="60" customWidth="1"/>
    <col min="12295" max="12295" width="6.25" style="60" customWidth="1"/>
    <col min="12296" max="12297" width="9.625" style="60" customWidth="1"/>
    <col min="12298" max="12298" width="12.5" style="60" customWidth="1"/>
    <col min="12299" max="12300" width="9.625" style="60" customWidth="1"/>
    <col min="12301" max="12301" width="14.375" style="60" customWidth="1"/>
    <col min="12302" max="12302" width="1.625" style="60" customWidth="1"/>
    <col min="12303" max="12544" width="8.875" style="60"/>
    <col min="12545" max="12545" width="1.625" style="60" customWidth="1"/>
    <col min="12546" max="12546" width="0.875" style="60" customWidth="1"/>
    <col min="12547" max="12547" width="4.5" style="60" customWidth="1"/>
    <col min="12548" max="12548" width="9.25" style="60" customWidth="1"/>
    <col min="12549" max="12549" width="4.125" style="60" customWidth="1"/>
    <col min="12550" max="12550" width="4.625" style="60" customWidth="1"/>
    <col min="12551" max="12551" width="6.25" style="60" customWidth="1"/>
    <col min="12552" max="12553" width="9.625" style="60" customWidth="1"/>
    <col min="12554" max="12554" width="12.5" style="60" customWidth="1"/>
    <col min="12555" max="12556" width="9.625" style="60" customWidth="1"/>
    <col min="12557" max="12557" width="14.375" style="60" customWidth="1"/>
    <col min="12558" max="12558" width="1.625" style="60" customWidth="1"/>
    <col min="12559" max="12800" width="8.875" style="60"/>
    <col min="12801" max="12801" width="1.625" style="60" customWidth="1"/>
    <col min="12802" max="12802" width="0.875" style="60" customWidth="1"/>
    <col min="12803" max="12803" width="4.5" style="60" customWidth="1"/>
    <col min="12804" max="12804" width="9.25" style="60" customWidth="1"/>
    <col min="12805" max="12805" width="4.125" style="60" customWidth="1"/>
    <col min="12806" max="12806" width="4.625" style="60" customWidth="1"/>
    <col min="12807" max="12807" width="6.25" style="60" customWidth="1"/>
    <col min="12808" max="12809" width="9.625" style="60" customWidth="1"/>
    <col min="12810" max="12810" width="12.5" style="60" customWidth="1"/>
    <col min="12811" max="12812" width="9.625" style="60" customWidth="1"/>
    <col min="12813" max="12813" width="14.375" style="60" customWidth="1"/>
    <col min="12814" max="12814" width="1.625" style="60" customWidth="1"/>
    <col min="12815" max="13056" width="8.875" style="60"/>
    <col min="13057" max="13057" width="1.625" style="60" customWidth="1"/>
    <col min="13058" max="13058" width="0.875" style="60" customWidth="1"/>
    <col min="13059" max="13059" width="4.5" style="60" customWidth="1"/>
    <col min="13060" max="13060" width="9.25" style="60" customWidth="1"/>
    <col min="13061" max="13061" width="4.125" style="60" customWidth="1"/>
    <col min="13062" max="13062" width="4.625" style="60" customWidth="1"/>
    <col min="13063" max="13063" width="6.25" style="60" customWidth="1"/>
    <col min="13064" max="13065" width="9.625" style="60" customWidth="1"/>
    <col min="13066" max="13066" width="12.5" style="60" customWidth="1"/>
    <col min="13067" max="13068" width="9.625" style="60" customWidth="1"/>
    <col min="13069" max="13069" width="14.375" style="60" customWidth="1"/>
    <col min="13070" max="13070" width="1.625" style="60" customWidth="1"/>
    <col min="13071" max="13312" width="8.875" style="60"/>
    <col min="13313" max="13313" width="1.625" style="60" customWidth="1"/>
    <col min="13314" max="13314" width="0.875" style="60" customWidth="1"/>
    <col min="13315" max="13315" width="4.5" style="60" customWidth="1"/>
    <col min="13316" max="13316" width="9.25" style="60" customWidth="1"/>
    <col min="13317" max="13317" width="4.125" style="60" customWidth="1"/>
    <col min="13318" max="13318" width="4.625" style="60" customWidth="1"/>
    <col min="13319" max="13319" width="6.25" style="60" customWidth="1"/>
    <col min="13320" max="13321" width="9.625" style="60" customWidth="1"/>
    <col min="13322" max="13322" width="12.5" style="60" customWidth="1"/>
    <col min="13323" max="13324" width="9.625" style="60" customWidth="1"/>
    <col min="13325" max="13325" width="14.375" style="60" customWidth="1"/>
    <col min="13326" max="13326" width="1.625" style="60" customWidth="1"/>
    <col min="13327" max="13568" width="8.875" style="60"/>
    <col min="13569" max="13569" width="1.625" style="60" customWidth="1"/>
    <col min="13570" max="13570" width="0.875" style="60" customWidth="1"/>
    <col min="13571" max="13571" width="4.5" style="60" customWidth="1"/>
    <col min="13572" max="13572" width="9.25" style="60" customWidth="1"/>
    <col min="13573" max="13573" width="4.125" style="60" customWidth="1"/>
    <col min="13574" max="13574" width="4.625" style="60" customWidth="1"/>
    <col min="13575" max="13575" width="6.25" style="60" customWidth="1"/>
    <col min="13576" max="13577" width="9.625" style="60" customWidth="1"/>
    <col min="13578" max="13578" width="12.5" style="60" customWidth="1"/>
    <col min="13579" max="13580" width="9.625" style="60" customWidth="1"/>
    <col min="13581" max="13581" width="14.375" style="60" customWidth="1"/>
    <col min="13582" max="13582" width="1.625" style="60" customWidth="1"/>
    <col min="13583" max="13824" width="8.875" style="60"/>
    <col min="13825" max="13825" width="1.625" style="60" customWidth="1"/>
    <col min="13826" max="13826" width="0.875" style="60" customWidth="1"/>
    <col min="13827" max="13827" width="4.5" style="60" customWidth="1"/>
    <col min="13828" max="13828" width="9.25" style="60" customWidth="1"/>
    <col min="13829" max="13829" width="4.125" style="60" customWidth="1"/>
    <col min="13830" max="13830" width="4.625" style="60" customWidth="1"/>
    <col min="13831" max="13831" width="6.25" style="60" customWidth="1"/>
    <col min="13832" max="13833" width="9.625" style="60" customWidth="1"/>
    <col min="13834" max="13834" width="12.5" style="60" customWidth="1"/>
    <col min="13835" max="13836" width="9.625" style="60" customWidth="1"/>
    <col min="13837" max="13837" width="14.375" style="60" customWidth="1"/>
    <col min="13838" max="13838" width="1.625" style="60" customWidth="1"/>
    <col min="13839" max="14080" width="8.875" style="60"/>
    <col min="14081" max="14081" width="1.625" style="60" customWidth="1"/>
    <col min="14082" max="14082" width="0.875" style="60" customWidth="1"/>
    <col min="14083" max="14083" width="4.5" style="60" customWidth="1"/>
    <col min="14084" max="14084" width="9.25" style="60" customWidth="1"/>
    <col min="14085" max="14085" width="4.125" style="60" customWidth="1"/>
    <col min="14086" max="14086" width="4.625" style="60" customWidth="1"/>
    <col min="14087" max="14087" width="6.25" style="60" customWidth="1"/>
    <col min="14088" max="14089" width="9.625" style="60" customWidth="1"/>
    <col min="14090" max="14090" width="12.5" style="60" customWidth="1"/>
    <col min="14091" max="14092" width="9.625" style="60" customWidth="1"/>
    <col min="14093" max="14093" width="14.375" style="60" customWidth="1"/>
    <col min="14094" max="14094" width="1.625" style="60" customWidth="1"/>
    <col min="14095" max="14336" width="8.875" style="60"/>
    <col min="14337" max="14337" width="1.625" style="60" customWidth="1"/>
    <col min="14338" max="14338" width="0.875" style="60" customWidth="1"/>
    <col min="14339" max="14339" width="4.5" style="60" customWidth="1"/>
    <col min="14340" max="14340" width="9.25" style="60" customWidth="1"/>
    <col min="14341" max="14341" width="4.125" style="60" customWidth="1"/>
    <col min="14342" max="14342" width="4.625" style="60" customWidth="1"/>
    <col min="14343" max="14343" width="6.25" style="60" customWidth="1"/>
    <col min="14344" max="14345" width="9.625" style="60" customWidth="1"/>
    <col min="14346" max="14346" width="12.5" style="60" customWidth="1"/>
    <col min="14347" max="14348" width="9.625" style="60" customWidth="1"/>
    <col min="14349" max="14349" width="14.375" style="60" customWidth="1"/>
    <col min="14350" max="14350" width="1.625" style="60" customWidth="1"/>
    <col min="14351" max="14592" width="8.875" style="60"/>
    <col min="14593" max="14593" width="1.625" style="60" customWidth="1"/>
    <col min="14594" max="14594" width="0.875" style="60" customWidth="1"/>
    <col min="14595" max="14595" width="4.5" style="60" customWidth="1"/>
    <col min="14596" max="14596" width="9.25" style="60" customWidth="1"/>
    <col min="14597" max="14597" width="4.125" style="60" customWidth="1"/>
    <col min="14598" max="14598" width="4.625" style="60" customWidth="1"/>
    <col min="14599" max="14599" width="6.25" style="60" customWidth="1"/>
    <col min="14600" max="14601" width="9.625" style="60" customWidth="1"/>
    <col min="14602" max="14602" width="12.5" style="60" customWidth="1"/>
    <col min="14603" max="14604" width="9.625" style="60" customWidth="1"/>
    <col min="14605" max="14605" width="14.375" style="60" customWidth="1"/>
    <col min="14606" max="14606" width="1.625" style="60" customWidth="1"/>
    <col min="14607" max="14848" width="8.875" style="60"/>
    <col min="14849" max="14849" width="1.625" style="60" customWidth="1"/>
    <col min="14850" max="14850" width="0.875" style="60" customWidth="1"/>
    <col min="14851" max="14851" width="4.5" style="60" customWidth="1"/>
    <col min="14852" max="14852" width="9.25" style="60" customWidth="1"/>
    <col min="14853" max="14853" width="4.125" style="60" customWidth="1"/>
    <col min="14854" max="14854" width="4.625" style="60" customWidth="1"/>
    <col min="14855" max="14855" width="6.25" style="60" customWidth="1"/>
    <col min="14856" max="14857" width="9.625" style="60" customWidth="1"/>
    <col min="14858" max="14858" width="12.5" style="60" customWidth="1"/>
    <col min="14859" max="14860" width="9.625" style="60" customWidth="1"/>
    <col min="14861" max="14861" width="14.375" style="60" customWidth="1"/>
    <col min="14862" max="14862" width="1.625" style="60" customWidth="1"/>
    <col min="14863" max="15104" width="8.875" style="60"/>
    <col min="15105" max="15105" width="1.625" style="60" customWidth="1"/>
    <col min="15106" max="15106" width="0.875" style="60" customWidth="1"/>
    <col min="15107" max="15107" width="4.5" style="60" customWidth="1"/>
    <col min="15108" max="15108" width="9.25" style="60" customWidth="1"/>
    <col min="15109" max="15109" width="4.125" style="60" customWidth="1"/>
    <col min="15110" max="15110" width="4.625" style="60" customWidth="1"/>
    <col min="15111" max="15111" width="6.25" style="60" customWidth="1"/>
    <col min="15112" max="15113" width="9.625" style="60" customWidth="1"/>
    <col min="15114" max="15114" width="12.5" style="60" customWidth="1"/>
    <col min="15115" max="15116" width="9.625" style="60" customWidth="1"/>
    <col min="15117" max="15117" width="14.375" style="60" customWidth="1"/>
    <col min="15118" max="15118" width="1.625" style="60" customWidth="1"/>
    <col min="15119" max="15360" width="8.875" style="60"/>
    <col min="15361" max="15361" width="1.625" style="60" customWidth="1"/>
    <col min="15362" max="15362" width="0.875" style="60" customWidth="1"/>
    <col min="15363" max="15363" width="4.5" style="60" customWidth="1"/>
    <col min="15364" max="15364" width="9.25" style="60" customWidth="1"/>
    <col min="15365" max="15365" width="4.125" style="60" customWidth="1"/>
    <col min="15366" max="15366" width="4.625" style="60" customWidth="1"/>
    <col min="15367" max="15367" width="6.25" style="60" customWidth="1"/>
    <col min="15368" max="15369" width="9.625" style="60" customWidth="1"/>
    <col min="15370" max="15370" width="12.5" style="60" customWidth="1"/>
    <col min="15371" max="15372" width="9.625" style="60" customWidth="1"/>
    <col min="15373" max="15373" width="14.375" style="60" customWidth="1"/>
    <col min="15374" max="15374" width="1.625" style="60" customWidth="1"/>
    <col min="15375" max="15616" width="8.875" style="60"/>
    <col min="15617" max="15617" width="1.625" style="60" customWidth="1"/>
    <col min="15618" max="15618" width="0.875" style="60" customWidth="1"/>
    <col min="15619" max="15619" width="4.5" style="60" customWidth="1"/>
    <col min="15620" max="15620" width="9.25" style="60" customWidth="1"/>
    <col min="15621" max="15621" width="4.125" style="60" customWidth="1"/>
    <col min="15622" max="15622" width="4.625" style="60" customWidth="1"/>
    <col min="15623" max="15623" width="6.25" style="60" customWidth="1"/>
    <col min="15624" max="15625" width="9.625" style="60" customWidth="1"/>
    <col min="15626" max="15626" width="12.5" style="60" customWidth="1"/>
    <col min="15627" max="15628" width="9.625" style="60" customWidth="1"/>
    <col min="15629" max="15629" width="14.375" style="60" customWidth="1"/>
    <col min="15630" max="15630" width="1.625" style="60" customWidth="1"/>
    <col min="15631" max="15872" width="8.875" style="60"/>
    <col min="15873" max="15873" width="1.625" style="60" customWidth="1"/>
    <col min="15874" max="15874" width="0.875" style="60" customWidth="1"/>
    <col min="15875" max="15875" width="4.5" style="60" customWidth="1"/>
    <col min="15876" max="15876" width="9.25" style="60" customWidth="1"/>
    <col min="15877" max="15877" width="4.125" style="60" customWidth="1"/>
    <col min="15878" max="15878" width="4.625" style="60" customWidth="1"/>
    <col min="15879" max="15879" width="6.25" style="60" customWidth="1"/>
    <col min="15880" max="15881" width="9.625" style="60" customWidth="1"/>
    <col min="15882" max="15882" width="12.5" style="60" customWidth="1"/>
    <col min="15883" max="15884" width="9.625" style="60" customWidth="1"/>
    <col min="15885" max="15885" width="14.375" style="60" customWidth="1"/>
    <col min="15886" max="15886" width="1.625" style="60" customWidth="1"/>
    <col min="15887" max="16128" width="8.875" style="60"/>
    <col min="16129" max="16129" width="1.625" style="60" customWidth="1"/>
    <col min="16130" max="16130" width="0.875" style="60" customWidth="1"/>
    <col min="16131" max="16131" width="4.5" style="60" customWidth="1"/>
    <col min="16132" max="16132" width="9.25" style="60" customWidth="1"/>
    <col min="16133" max="16133" width="4.125" style="60" customWidth="1"/>
    <col min="16134" max="16134" width="4.625" style="60" customWidth="1"/>
    <col min="16135" max="16135" width="6.25" style="60" customWidth="1"/>
    <col min="16136" max="16137" width="9.625" style="60" customWidth="1"/>
    <col min="16138" max="16138" width="12.5" style="60" customWidth="1"/>
    <col min="16139" max="16140" width="9.625" style="60" customWidth="1"/>
    <col min="16141" max="16141" width="14.375" style="60" customWidth="1"/>
    <col min="16142" max="16142" width="1.625" style="60" customWidth="1"/>
    <col min="16143" max="16384" width="8.875" style="60"/>
  </cols>
  <sheetData>
    <row r="1" spans="1:14" s="55" customFormat="1" ht="35.1" customHeight="1">
      <c r="A1" s="270" t="str">
        <f>數量計算總表!A1</f>
        <v>OOO單位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1"/>
      <c r="M1" s="271"/>
      <c r="N1" s="271"/>
    </row>
    <row r="2" spans="1:14" s="56" customFormat="1" ht="30" customHeight="1">
      <c r="A2" s="272" t="s">
        <v>103</v>
      </c>
      <c r="B2" s="273"/>
      <c r="C2" s="273"/>
      <c r="D2" s="273"/>
      <c r="E2" s="273"/>
      <c r="F2" s="273"/>
      <c r="G2" s="273"/>
      <c r="H2" s="273"/>
      <c r="I2" s="273"/>
      <c r="J2" s="273"/>
      <c r="K2" s="273"/>
      <c r="L2" s="273"/>
      <c r="M2" s="273"/>
      <c r="N2" s="273"/>
    </row>
    <row r="3" spans="1:14" s="58" customFormat="1" ht="34.15" customHeight="1" thickBot="1">
      <c r="A3" s="57"/>
      <c r="B3" s="57"/>
      <c r="C3" s="274" t="str">
        <f>數量計算總表!A4</f>
        <v>工程名稱：OOOO工程</v>
      </c>
      <c r="D3" s="275"/>
      <c r="E3" s="275"/>
      <c r="F3" s="275"/>
      <c r="G3" s="275"/>
      <c r="H3" s="275"/>
      <c r="I3" s="275"/>
      <c r="J3" s="275"/>
      <c r="K3" s="275"/>
      <c r="L3" s="276"/>
      <c r="M3" s="276"/>
      <c r="N3" s="57"/>
    </row>
    <row r="4" spans="1:14" ht="24.95" customHeight="1">
      <c r="A4" s="59"/>
      <c r="B4" s="277" t="s">
        <v>159</v>
      </c>
      <c r="C4" s="278"/>
      <c r="D4" s="278"/>
      <c r="E4" s="279"/>
      <c r="F4" s="286" t="s">
        <v>160</v>
      </c>
      <c r="G4" s="279"/>
      <c r="H4" s="294" t="s">
        <v>373</v>
      </c>
      <c r="I4" s="295"/>
      <c r="J4" s="296"/>
      <c r="K4" s="294" t="s">
        <v>374</v>
      </c>
      <c r="L4" s="295"/>
      <c r="M4" s="296"/>
      <c r="N4" s="59"/>
    </row>
    <row r="5" spans="1:14" ht="24.95" customHeight="1">
      <c r="A5" s="59"/>
      <c r="B5" s="280"/>
      <c r="C5" s="281"/>
      <c r="D5" s="281"/>
      <c r="E5" s="282"/>
      <c r="F5" s="287"/>
      <c r="G5" s="282"/>
      <c r="H5" s="50" t="s">
        <v>104</v>
      </c>
      <c r="I5" s="51" t="s">
        <v>105</v>
      </c>
      <c r="J5" s="52" t="s">
        <v>80</v>
      </c>
      <c r="K5" s="50" t="s">
        <v>104</v>
      </c>
      <c r="L5" s="51" t="s">
        <v>105</v>
      </c>
      <c r="M5" s="52" t="s">
        <v>80</v>
      </c>
      <c r="N5" s="59"/>
    </row>
    <row r="6" spans="1:14" ht="24.95" customHeight="1" thickBot="1">
      <c r="A6" s="59"/>
      <c r="B6" s="283"/>
      <c r="C6" s="284"/>
      <c r="D6" s="284"/>
      <c r="E6" s="285"/>
      <c r="F6" s="292" t="s">
        <v>11</v>
      </c>
      <c r="G6" s="285"/>
      <c r="H6" s="50" t="s">
        <v>107</v>
      </c>
      <c r="I6" s="50" t="s">
        <v>108</v>
      </c>
      <c r="J6" s="50" t="s">
        <v>106</v>
      </c>
      <c r="K6" s="50" t="s">
        <v>107</v>
      </c>
      <c r="L6" s="50" t="s">
        <v>108</v>
      </c>
      <c r="M6" s="50" t="s">
        <v>106</v>
      </c>
      <c r="N6" s="59"/>
    </row>
    <row r="7" spans="1:14" ht="24.95" customHeight="1">
      <c r="A7" s="59"/>
      <c r="B7" s="293" t="s">
        <v>375</v>
      </c>
      <c r="C7" s="268"/>
      <c r="D7" s="268"/>
      <c r="E7" s="268"/>
      <c r="F7" s="268"/>
      <c r="G7" s="268"/>
      <c r="H7" s="268"/>
      <c r="I7" s="268"/>
      <c r="J7" s="268"/>
      <c r="K7" s="268"/>
      <c r="L7" s="268"/>
      <c r="M7" s="269"/>
      <c r="N7" s="68"/>
    </row>
    <row r="8" spans="1:14" ht="20.100000000000001" customHeight="1">
      <c r="A8" s="59"/>
      <c r="B8" s="69"/>
      <c r="C8" s="70" t="s">
        <v>170</v>
      </c>
      <c r="D8" s="71">
        <v>0</v>
      </c>
      <c r="E8" s="72"/>
      <c r="F8" s="260"/>
      <c r="G8" s="261"/>
      <c r="H8" s="73">
        <v>6.6</v>
      </c>
      <c r="I8" s="74"/>
      <c r="J8" s="74">
        <f>I8*F8</f>
        <v>0</v>
      </c>
      <c r="K8" s="73">
        <v>6.6</v>
      </c>
      <c r="L8" s="74"/>
      <c r="M8" s="75"/>
      <c r="N8" s="68"/>
    </row>
    <row r="9" spans="1:14" ht="20.100000000000001" customHeight="1">
      <c r="A9" s="59"/>
      <c r="B9" s="76"/>
      <c r="C9" s="70" t="s">
        <v>170</v>
      </c>
      <c r="D9" s="71">
        <v>20</v>
      </c>
      <c r="E9" s="72"/>
      <c r="F9" s="260">
        <f>D9-D8</f>
        <v>20</v>
      </c>
      <c r="G9" s="261"/>
      <c r="H9" s="73">
        <v>6.6</v>
      </c>
      <c r="I9" s="74">
        <f>0.5*(H8+H9)</f>
        <v>6.6</v>
      </c>
      <c r="J9" s="74">
        <f>I9*F9</f>
        <v>132</v>
      </c>
      <c r="K9" s="73">
        <v>6.6</v>
      </c>
      <c r="L9" s="74">
        <f>0.5*(K8+K9)</f>
        <v>6.6</v>
      </c>
      <c r="M9" s="75">
        <f>L9*F9</f>
        <v>132</v>
      </c>
      <c r="N9" s="59"/>
    </row>
    <row r="10" spans="1:14" ht="20.100000000000001" customHeight="1">
      <c r="A10" s="59"/>
      <c r="B10" s="76"/>
      <c r="C10" s="70" t="s">
        <v>170</v>
      </c>
      <c r="D10" s="71">
        <v>40</v>
      </c>
      <c r="E10" s="72"/>
      <c r="F10" s="260">
        <f>D10-D9</f>
        <v>20</v>
      </c>
      <c r="G10" s="261"/>
      <c r="H10" s="73">
        <v>6.6</v>
      </c>
      <c r="I10" s="74">
        <f>0.5*(H9+H10)</f>
        <v>6.6</v>
      </c>
      <c r="J10" s="74">
        <f>I10*F10</f>
        <v>132</v>
      </c>
      <c r="K10" s="73">
        <v>6.6</v>
      </c>
      <c r="L10" s="74">
        <f>0.5*(K9+K10)</f>
        <v>6.6</v>
      </c>
      <c r="M10" s="75">
        <f>L10*F10</f>
        <v>132</v>
      </c>
      <c r="N10" s="59"/>
    </row>
    <row r="11" spans="1:14" ht="20.100000000000001" customHeight="1">
      <c r="A11" s="59"/>
      <c r="B11" s="76"/>
      <c r="C11" s="70" t="s">
        <v>170</v>
      </c>
      <c r="D11" s="71">
        <v>43</v>
      </c>
      <c r="E11" s="77" t="s">
        <v>171</v>
      </c>
      <c r="F11" s="260">
        <f t="shared" ref="F11:F25" si="0">D11-D10</f>
        <v>3</v>
      </c>
      <c r="G11" s="261"/>
      <c r="H11" s="73">
        <v>6.6</v>
      </c>
      <c r="I11" s="74">
        <f t="shared" ref="I11:I25" si="1">0.5*(H10+H11)</f>
        <v>6.6</v>
      </c>
      <c r="J11" s="74">
        <f t="shared" ref="J11:J25" si="2">I11*F11</f>
        <v>19.799999999999997</v>
      </c>
      <c r="K11" s="73">
        <v>6.6</v>
      </c>
      <c r="L11" s="74">
        <f t="shared" ref="L11:L25" si="3">0.5*(K10+K11)</f>
        <v>6.6</v>
      </c>
      <c r="M11" s="75">
        <f t="shared" ref="M11:M25" si="4">L11*F11</f>
        <v>19.799999999999997</v>
      </c>
      <c r="N11" s="59"/>
    </row>
    <row r="12" spans="1:14" ht="20.100000000000001" customHeight="1">
      <c r="A12" s="59"/>
      <c r="B12" s="76"/>
      <c r="C12" s="70" t="s">
        <v>170</v>
      </c>
      <c r="D12" s="71">
        <v>43</v>
      </c>
      <c r="E12" s="77" t="s">
        <v>172</v>
      </c>
      <c r="F12" s="260">
        <f t="shared" si="0"/>
        <v>0</v>
      </c>
      <c r="G12" s="261"/>
      <c r="H12" s="73">
        <v>6.6</v>
      </c>
      <c r="I12" s="74">
        <f t="shared" si="1"/>
        <v>6.6</v>
      </c>
      <c r="J12" s="74">
        <f t="shared" si="2"/>
        <v>0</v>
      </c>
      <c r="K12" s="73">
        <v>6.6</v>
      </c>
      <c r="L12" s="74">
        <f t="shared" si="3"/>
        <v>6.6</v>
      </c>
      <c r="M12" s="75">
        <f t="shared" si="4"/>
        <v>0</v>
      </c>
      <c r="N12" s="59"/>
    </row>
    <row r="13" spans="1:14" ht="20.100000000000001" customHeight="1">
      <c r="A13" s="59"/>
      <c r="B13" s="79"/>
      <c r="C13" s="70" t="s">
        <v>170</v>
      </c>
      <c r="D13" s="71">
        <v>60</v>
      </c>
      <c r="E13" s="78"/>
      <c r="F13" s="260">
        <f t="shared" si="0"/>
        <v>17</v>
      </c>
      <c r="G13" s="261"/>
      <c r="H13" s="73">
        <v>6.6</v>
      </c>
      <c r="I13" s="74">
        <f t="shared" si="1"/>
        <v>6.6</v>
      </c>
      <c r="J13" s="74">
        <f t="shared" si="2"/>
        <v>112.19999999999999</v>
      </c>
      <c r="K13" s="73">
        <v>6.6</v>
      </c>
      <c r="L13" s="74">
        <f t="shared" si="3"/>
        <v>6.6</v>
      </c>
      <c r="M13" s="75">
        <f t="shared" si="4"/>
        <v>112.19999999999999</v>
      </c>
      <c r="N13" s="59"/>
    </row>
    <row r="14" spans="1:14" ht="20.100000000000001" customHeight="1">
      <c r="A14" s="59"/>
      <c r="B14" s="79"/>
      <c r="C14" s="70" t="s">
        <v>170</v>
      </c>
      <c r="D14" s="71">
        <v>80</v>
      </c>
      <c r="E14" s="78"/>
      <c r="F14" s="260">
        <f t="shared" si="0"/>
        <v>20</v>
      </c>
      <c r="G14" s="261"/>
      <c r="H14" s="73">
        <v>6.6</v>
      </c>
      <c r="I14" s="74">
        <f t="shared" si="1"/>
        <v>6.6</v>
      </c>
      <c r="J14" s="74">
        <f t="shared" si="2"/>
        <v>132</v>
      </c>
      <c r="K14" s="73">
        <v>6.6</v>
      </c>
      <c r="L14" s="74">
        <f t="shared" si="3"/>
        <v>6.6</v>
      </c>
      <c r="M14" s="75">
        <f t="shared" si="4"/>
        <v>132</v>
      </c>
      <c r="N14" s="59"/>
    </row>
    <row r="15" spans="1:14" ht="20.100000000000001" customHeight="1">
      <c r="A15" s="59"/>
      <c r="B15" s="79"/>
      <c r="C15" s="70" t="s">
        <v>170</v>
      </c>
      <c r="D15" s="71">
        <v>100</v>
      </c>
      <c r="E15" s="77" t="s">
        <v>171</v>
      </c>
      <c r="F15" s="260">
        <f t="shared" si="0"/>
        <v>20</v>
      </c>
      <c r="G15" s="261"/>
      <c r="H15" s="73">
        <v>6.6</v>
      </c>
      <c r="I15" s="74">
        <f t="shared" si="1"/>
        <v>6.6</v>
      </c>
      <c r="J15" s="74">
        <f t="shared" si="2"/>
        <v>132</v>
      </c>
      <c r="K15" s="73">
        <v>6.6</v>
      </c>
      <c r="L15" s="74">
        <f t="shared" si="3"/>
        <v>6.6</v>
      </c>
      <c r="M15" s="75">
        <f t="shared" si="4"/>
        <v>132</v>
      </c>
      <c r="N15" s="59"/>
    </row>
    <row r="16" spans="1:14" ht="20.100000000000001" customHeight="1">
      <c r="A16" s="59"/>
      <c r="B16" s="79"/>
      <c r="C16" s="70" t="s">
        <v>170</v>
      </c>
      <c r="D16" s="71">
        <v>100</v>
      </c>
      <c r="E16" s="77" t="s">
        <v>172</v>
      </c>
      <c r="F16" s="260">
        <f t="shared" si="0"/>
        <v>0</v>
      </c>
      <c r="G16" s="261"/>
      <c r="H16" s="73">
        <v>6.6</v>
      </c>
      <c r="I16" s="74">
        <f t="shared" si="1"/>
        <v>6.6</v>
      </c>
      <c r="J16" s="74">
        <f t="shared" si="2"/>
        <v>0</v>
      </c>
      <c r="K16" s="73">
        <v>6.6</v>
      </c>
      <c r="L16" s="74">
        <f t="shared" si="3"/>
        <v>6.6</v>
      </c>
      <c r="M16" s="75">
        <f t="shared" si="4"/>
        <v>0</v>
      </c>
      <c r="N16" s="59"/>
    </row>
    <row r="17" spans="1:14" ht="20.100000000000001" customHeight="1">
      <c r="A17" s="59"/>
      <c r="B17" s="79"/>
      <c r="C17" s="70" t="s">
        <v>170</v>
      </c>
      <c r="D17" s="71">
        <v>226</v>
      </c>
      <c r="E17" s="77" t="s">
        <v>171</v>
      </c>
      <c r="F17" s="260">
        <f t="shared" si="0"/>
        <v>126</v>
      </c>
      <c r="G17" s="261"/>
      <c r="H17" s="73">
        <v>6.6</v>
      </c>
      <c r="I17" s="74">
        <f t="shared" si="1"/>
        <v>6.6</v>
      </c>
      <c r="J17" s="74">
        <f t="shared" si="2"/>
        <v>831.59999999999991</v>
      </c>
      <c r="K17" s="73">
        <v>6.6</v>
      </c>
      <c r="L17" s="74">
        <f t="shared" si="3"/>
        <v>6.6</v>
      </c>
      <c r="M17" s="75">
        <f t="shared" si="4"/>
        <v>831.59999999999991</v>
      </c>
      <c r="N17" s="59"/>
    </row>
    <row r="18" spans="1:14" ht="20.100000000000001" customHeight="1">
      <c r="A18" s="59"/>
      <c r="B18" s="79"/>
      <c r="C18" s="70" t="s">
        <v>170</v>
      </c>
      <c r="D18" s="71">
        <v>226</v>
      </c>
      <c r="E18" s="77" t="s">
        <v>172</v>
      </c>
      <c r="F18" s="260">
        <f t="shared" si="0"/>
        <v>0</v>
      </c>
      <c r="G18" s="261"/>
      <c r="H18" s="73">
        <v>6.6</v>
      </c>
      <c r="I18" s="74">
        <f t="shared" si="1"/>
        <v>6.6</v>
      </c>
      <c r="J18" s="74">
        <f t="shared" si="2"/>
        <v>0</v>
      </c>
      <c r="K18" s="73">
        <v>6.6</v>
      </c>
      <c r="L18" s="74">
        <f t="shared" si="3"/>
        <v>6.6</v>
      </c>
      <c r="M18" s="75">
        <f t="shared" si="4"/>
        <v>0</v>
      </c>
      <c r="N18" s="59"/>
    </row>
    <row r="19" spans="1:14" ht="20.100000000000001" customHeight="1">
      <c r="A19" s="59"/>
      <c r="B19" s="79"/>
      <c r="C19" s="70" t="s">
        <v>170</v>
      </c>
      <c r="D19" s="71">
        <v>240</v>
      </c>
      <c r="E19" s="78"/>
      <c r="F19" s="260">
        <f t="shared" si="0"/>
        <v>14</v>
      </c>
      <c r="G19" s="261"/>
      <c r="H19" s="73">
        <v>6.6</v>
      </c>
      <c r="I19" s="74">
        <f t="shared" si="1"/>
        <v>6.6</v>
      </c>
      <c r="J19" s="74">
        <f t="shared" si="2"/>
        <v>92.399999999999991</v>
      </c>
      <c r="K19" s="73">
        <v>6.6</v>
      </c>
      <c r="L19" s="74">
        <f t="shared" si="3"/>
        <v>6.6</v>
      </c>
      <c r="M19" s="75">
        <f t="shared" si="4"/>
        <v>92.399999999999991</v>
      </c>
      <c r="N19" s="59"/>
    </row>
    <row r="20" spans="1:14" ht="20.100000000000001" customHeight="1">
      <c r="A20" s="59"/>
      <c r="B20" s="79"/>
      <c r="C20" s="70" t="s">
        <v>170</v>
      </c>
      <c r="D20" s="71">
        <v>260</v>
      </c>
      <c r="E20" s="77"/>
      <c r="F20" s="260">
        <f t="shared" si="0"/>
        <v>20</v>
      </c>
      <c r="G20" s="261"/>
      <c r="H20" s="73">
        <v>6.6</v>
      </c>
      <c r="I20" s="74">
        <f t="shared" si="1"/>
        <v>6.6</v>
      </c>
      <c r="J20" s="74">
        <f t="shared" si="2"/>
        <v>132</v>
      </c>
      <c r="K20" s="73">
        <v>6.6</v>
      </c>
      <c r="L20" s="74">
        <f t="shared" si="3"/>
        <v>6.6</v>
      </c>
      <c r="M20" s="75">
        <f t="shared" si="4"/>
        <v>132</v>
      </c>
      <c r="N20" s="59"/>
    </row>
    <row r="21" spans="1:14" ht="20.100000000000001" customHeight="1">
      <c r="A21" s="59"/>
      <c r="B21" s="79"/>
      <c r="C21" s="70" t="s">
        <v>170</v>
      </c>
      <c r="D21" s="71">
        <v>274</v>
      </c>
      <c r="E21" s="77" t="s">
        <v>171</v>
      </c>
      <c r="F21" s="260">
        <f t="shared" si="0"/>
        <v>14</v>
      </c>
      <c r="G21" s="261"/>
      <c r="H21" s="73">
        <v>6.6</v>
      </c>
      <c r="I21" s="74">
        <f t="shared" si="1"/>
        <v>6.6</v>
      </c>
      <c r="J21" s="74">
        <f t="shared" si="2"/>
        <v>92.399999999999991</v>
      </c>
      <c r="K21" s="73">
        <v>6.6</v>
      </c>
      <c r="L21" s="74">
        <f t="shared" si="3"/>
        <v>6.6</v>
      </c>
      <c r="M21" s="75">
        <f t="shared" si="4"/>
        <v>92.399999999999991</v>
      </c>
      <c r="N21" s="59"/>
    </row>
    <row r="22" spans="1:14" ht="20.100000000000001" customHeight="1">
      <c r="A22" s="59"/>
      <c r="B22" s="79"/>
      <c r="C22" s="70" t="s">
        <v>170</v>
      </c>
      <c r="D22" s="71">
        <v>274</v>
      </c>
      <c r="E22" s="77" t="s">
        <v>172</v>
      </c>
      <c r="F22" s="260">
        <f t="shared" si="0"/>
        <v>0</v>
      </c>
      <c r="G22" s="261"/>
      <c r="H22" s="73">
        <v>6.6</v>
      </c>
      <c r="I22" s="74">
        <f t="shared" si="1"/>
        <v>6.6</v>
      </c>
      <c r="J22" s="74">
        <f t="shared" si="2"/>
        <v>0</v>
      </c>
      <c r="K22" s="73">
        <v>6.6</v>
      </c>
      <c r="L22" s="74">
        <f t="shared" si="3"/>
        <v>6.6</v>
      </c>
      <c r="M22" s="75">
        <f t="shared" si="4"/>
        <v>0</v>
      </c>
      <c r="N22" s="59"/>
    </row>
    <row r="23" spans="1:14" ht="20.100000000000001" customHeight="1">
      <c r="A23" s="59"/>
      <c r="B23" s="79"/>
      <c r="C23" s="70" t="s">
        <v>170</v>
      </c>
      <c r="D23" s="71">
        <v>300</v>
      </c>
      <c r="E23" s="78"/>
      <c r="F23" s="260">
        <f t="shared" si="0"/>
        <v>26</v>
      </c>
      <c r="G23" s="261"/>
      <c r="H23" s="73">
        <v>6.6</v>
      </c>
      <c r="I23" s="74">
        <f t="shared" si="1"/>
        <v>6.6</v>
      </c>
      <c r="J23" s="74">
        <f t="shared" si="2"/>
        <v>171.6</v>
      </c>
      <c r="K23" s="73">
        <v>6.6</v>
      </c>
      <c r="L23" s="74">
        <f t="shared" si="3"/>
        <v>6.6</v>
      </c>
      <c r="M23" s="75">
        <f t="shared" si="4"/>
        <v>171.6</v>
      </c>
      <c r="N23" s="59"/>
    </row>
    <row r="24" spans="1:14" ht="20.100000000000001" customHeight="1">
      <c r="A24" s="59"/>
      <c r="B24" s="79"/>
      <c r="C24" s="70" t="s">
        <v>170</v>
      </c>
      <c r="D24" s="71">
        <v>320</v>
      </c>
      <c r="E24" s="78"/>
      <c r="F24" s="260">
        <f t="shared" si="0"/>
        <v>20</v>
      </c>
      <c r="G24" s="261"/>
      <c r="H24" s="73">
        <v>6.6</v>
      </c>
      <c r="I24" s="74">
        <f t="shared" si="1"/>
        <v>6.6</v>
      </c>
      <c r="J24" s="74">
        <f t="shared" si="2"/>
        <v>132</v>
      </c>
      <c r="K24" s="73">
        <v>6.6</v>
      </c>
      <c r="L24" s="74">
        <f t="shared" si="3"/>
        <v>6.6</v>
      </c>
      <c r="M24" s="75">
        <f t="shared" si="4"/>
        <v>132</v>
      </c>
      <c r="N24" s="59"/>
    </row>
    <row r="25" spans="1:14" ht="20.100000000000001" customHeight="1">
      <c r="A25" s="59"/>
      <c r="B25" s="79"/>
      <c r="C25" s="70" t="s">
        <v>170</v>
      </c>
      <c r="D25" s="71">
        <v>325</v>
      </c>
      <c r="E25" s="78"/>
      <c r="F25" s="260">
        <f t="shared" si="0"/>
        <v>5</v>
      </c>
      <c r="G25" s="261"/>
      <c r="H25" s="73">
        <v>6.6</v>
      </c>
      <c r="I25" s="74">
        <f t="shared" si="1"/>
        <v>6.6</v>
      </c>
      <c r="J25" s="74">
        <f t="shared" si="2"/>
        <v>33</v>
      </c>
      <c r="K25" s="73">
        <v>6.6</v>
      </c>
      <c r="L25" s="74">
        <f t="shared" si="3"/>
        <v>6.6</v>
      </c>
      <c r="M25" s="75">
        <f t="shared" si="4"/>
        <v>33</v>
      </c>
      <c r="N25" s="59"/>
    </row>
    <row r="26" spans="1:14" ht="20.100000000000001" customHeight="1">
      <c r="A26" s="59"/>
      <c r="B26" s="79"/>
      <c r="C26" s="70"/>
      <c r="D26" s="71"/>
      <c r="E26" s="78"/>
      <c r="F26" s="260"/>
      <c r="G26" s="261"/>
      <c r="H26" s="73"/>
      <c r="I26" s="74"/>
      <c r="J26" s="74"/>
      <c r="K26" s="73"/>
      <c r="L26" s="74"/>
      <c r="M26" s="75"/>
      <c r="N26" s="59"/>
    </row>
    <row r="27" spans="1:14" ht="20.100000000000001" customHeight="1">
      <c r="A27" s="59"/>
      <c r="B27" s="79"/>
      <c r="C27" s="70"/>
      <c r="D27" s="71"/>
      <c r="E27" s="78"/>
      <c r="F27" s="260"/>
      <c r="G27" s="261"/>
      <c r="H27" s="73"/>
      <c r="I27" s="74"/>
      <c r="J27" s="74"/>
      <c r="K27" s="73"/>
      <c r="L27" s="74"/>
      <c r="M27" s="75"/>
      <c r="N27" s="59"/>
    </row>
    <row r="28" spans="1:14" ht="20.100000000000001" customHeight="1">
      <c r="A28" s="59"/>
      <c r="B28" s="79"/>
      <c r="C28" s="70"/>
      <c r="D28" s="71"/>
      <c r="E28" s="77"/>
      <c r="F28" s="260"/>
      <c r="G28" s="261"/>
      <c r="H28" s="73"/>
      <c r="I28" s="74"/>
      <c r="J28" s="74"/>
      <c r="K28" s="73"/>
      <c r="L28" s="74"/>
      <c r="M28" s="75"/>
      <c r="N28" s="59"/>
    </row>
    <row r="29" spans="1:14" ht="20.100000000000001" customHeight="1">
      <c r="A29" s="59"/>
      <c r="B29" s="79"/>
      <c r="C29" s="70"/>
      <c r="D29" s="71"/>
      <c r="E29" s="77"/>
      <c r="F29" s="260"/>
      <c r="G29" s="261"/>
      <c r="H29" s="73"/>
      <c r="I29" s="74"/>
      <c r="J29" s="74"/>
      <c r="K29" s="73"/>
      <c r="L29" s="74"/>
      <c r="M29" s="75"/>
      <c r="N29" s="59"/>
    </row>
    <row r="30" spans="1:14" ht="20.100000000000001" customHeight="1">
      <c r="A30" s="59"/>
      <c r="B30" s="79"/>
      <c r="C30" s="70"/>
      <c r="D30" s="71"/>
      <c r="E30" s="78"/>
      <c r="F30" s="260"/>
      <c r="G30" s="261"/>
      <c r="H30" s="73"/>
      <c r="I30" s="74"/>
      <c r="J30" s="74"/>
      <c r="K30" s="73"/>
      <c r="L30" s="74"/>
      <c r="M30" s="75"/>
      <c r="N30" s="59"/>
    </row>
    <row r="31" spans="1:14" ht="20.100000000000001" customHeight="1" thickBot="1">
      <c r="A31" s="59"/>
      <c r="B31" s="262" t="s">
        <v>223</v>
      </c>
      <c r="C31" s="263"/>
      <c r="D31" s="263"/>
      <c r="E31" s="264"/>
      <c r="F31" s="265"/>
      <c r="G31" s="266"/>
      <c r="H31" s="257">
        <f>ROUND(SUM(J9:J30),2)</f>
        <v>2145</v>
      </c>
      <c r="I31" s="258"/>
      <c r="J31" s="259"/>
      <c r="K31" s="257">
        <f>ROUND(SUM(M9:M30),2)</f>
        <v>2145</v>
      </c>
      <c r="L31" s="258"/>
      <c r="M31" s="259"/>
      <c r="N31" s="59"/>
    </row>
    <row r="32" spans="1:14" ht="24.95" customHeight="1">
      <c r="A32" s="59"/>
      <c r="B32" s="277" t="s">
        <v>159</v>
      </c>
      <c r="C32" s="278"/>
      <c r="D32" s="278"/>
      <c r="E32" s="279"/>
      <c r="F32" s="286" t="s">
        <v>160</v>
      </c>
      <c r="G32" s="279"/>
      <c r="H32" s="294" t="s">
        <v>376</v>
      </c>
      <c r="I32" s="295"/>
      <c r="J32" s="296"/>
      <c r="K32" s="294"/>
      <c r="L32" s="295"/>
      <c r="M32" s="296"/>
      <c r="N32" s="59"/>
    </row>
    <row r="33" spans="1:14" ht="24.95" customHeight="1">
      <c r="A33" s="59"/>
      <c r="B33" s="280"/>
      <c r="C33" s="281"/>
      <c r="D33" s="281"/>
      <c r="E33" s="282"/>
      <c r="F33" s="287"/>
      <c r="G33" s="282"/>
      <c r="H33" s="50" t="s">
        <v>104</v>
      </c>
      <c r="I33" s="51" t="s">
        <v>105</v>
      </c>
      <c r="J33" s="52" t="s">
        <v>80</v>
      </c>
      <c r="K33" s="50" t="s">
        <v>104</v>
      </c>
      <c r="L33" s="51" t="s">
        <v>105</v>
      </c>
      <c r="M33" s="52" t="s">
        <v>80</v>
      </c>
      <c r="N33" s="59"/>
    </row>
    <row r="34" spans="1:14" ht="24.95" customHeight="1" thickBot="1">
      <c r="A34" s="59"/>
      <c r="B34" s="283"/>
      <c r="C34" s="284"/>
      <c r="D34" s="284"/>
      <c r="E34" s="285"/>
      <c r="F34" s="292" t="s">
        <v>11</v>
      </c>
      <c r="G34" s="285"/>
      <c r="H34" s="50" t="s">
        <v>107</v>
      </c>
      <c r="I34" s="50" t="s">
        <v>108</v>
      </c>
      <c r="J34" s="50" t="s">
        <v>106</v>
      </c>
      <c r="K34" s="50" t="s">
        <v>107</v>
      </c>
      <c r="L34" s="50" t="s">
        <v>108</v>
      </c>
      <c r="M34" s="50" t="s">
        <v>106</v>
      </c>
      <c r="N34" s="59"/>
    </row>
    <row r="35" spans="1:14" ht="24.95" customHeight="1">
      <c r="A35" s="59"/>
      <c r="B35" s="293" t="s">
        <v>377</v>
      </c>
      <c r="C35" s="268"/>
      <c r="D35" s="268"/>
      <c r="E35" s="268"/>
      <c r="F35" s="268"/>
      <c r="G35" s="268"/>
      <c r="H35" s="268"/>
      <c r="I35" s="268"/>
      <c r="J35" s="268"/>
      <c r="K35" s="268"/>
      <c r="L35" s="268"/>
      <c r="M35" s="269"/>
      <c r="N35" s="68"/>
    </row>
    <row r="36" spans="1:14" ht="20.100000000000001" customHeight="1">
      <c r="A36" s="59"/>
      <c r="B36" s="69"/>
      <c r="C36" s="70" t="s">
        <v>170</v>
      </c>
      <c r="D36" s="71">
        <v>0</v>
      </c>
      <c r="E36" s="72"/>
      <c r="F36" s="260"/>
      <c r="G36" s="261"/>
      <c r="H36" s="73">
        <v>6.6</v>
      </c>
      <c r="I36" s="74"/>
      <c r="J36" s="74">
        <f t="shared" ref="J36:J53" si="5">I36*F36</f>
        <v>0</v>
      </c>
      <c r="K36" s="73"/>
      <c r="L36" s="74"/>
      <c r="M36" s="75"/>
      <c r="N36" s="68"/>
    </row>
    <row r="37" spans="1:14" ht="20.100000000000001" customHeight="1">
      <c r="A37" s="59"/>
      <c r="B37" s="76"/>
      <c r="C37" s="70" t="s">
        <v>170</v>
      </c>
      <c r="D37" s="71">
        <v>20</v>
      </c>
      <c r="E37" s="72"/>
      <c r="F37" s="260">
        <f>D37-D36</f>
        <v>20</v>
      </c>
      <c r="G37" s="261"/>
      <c r="H37" s="73">
        <v>6.6</v>
      </c>
      <c r="I37" s="74">
        <f>0.5*(H36+H37)</f>
        <v>6.6</v>
      </c>
      <c r="J37" s="74">
        <f t="shared" si="5"/>
        <v>132</v>
      </c>
      <c r="K37" s="73"/>
      <c r="L37" s="74"/>
      <c r="M37" s="75"/>
      <c r="N37" s="59"/>
    </row>
    <row r="38" spans="1:14" ht="20.100000000000001" customHeight="1">
      <c r="A38" s="59"/>
      <c r="B38" s="76"/>
      <c r="C38" s="70" t="s">
        <v>170</v>
      </c>
      <c r="D38" s="71">
        <v>40</v>
      </c>
      <c r="E38" s="72"/>
      <c r="F38" s="260">
        <f>D38-D37</f>
        <v>20</v>
      </c>
      <c r="G38" s="261"/>
      <c r="H38" s="73">
        <v>6.6</v>
      </c>
      <c r="I38" s="74">
        <f>0.5*(H37+H38)</f>
        <v>6.6</v>
      </c>
      <c r="J38" s="74">
        <f t="shared" si="5"/>
        <v>132</v>
      </c>
      <c r="K38" s="73"/>
      <c r="L38" s="74"/>
      <c r="M38" s="75"/>
      <c r="N38" s="59"/>
    </row>
    <row r="39" spans="1:14" ht="20.100000000000001" customHeight="1">
      <c r="A39" s="59"/>
      <c r="B39" s="76"/>
      <c r="C39" s="70" t="s">
        <v>170</v>
      </c>
      <c r="D39" s="71">
        <v>43</v>
      </c>
      <c r="E39" s="77" t="s">
        <v>171</v>
      </c>
      <c r="F39" s="260">
        <f t="shared" ref="F39:F53" si="6">D39-D38</f>
        <v>3</v>
      </c>
      <c r="G39" s="261"/>
      <c r="H39" s="73">
        <v>6.6</v>
      </c>
      <c r="I39" s="74">
        <f t="shared" ref="I39:I53" si="7">0.5*(H38+H39)</f>
        <v>6.6</v>
      </c>
      <c r="J39" s="74">
        <f t="shared" si="5"/>
        <v>19.799999999999997</v>
      </c>
      <c r="K39" s="73"/>
      <c r="L39" s="74"/>
      <c r="M39" s="75"/>
      <c r="N39" s="59"/>
    </row>
    <row r="40" spans="1:14" ht="20.100000000000001" customHeight="1">
      <c r="A40" s="59"/>
      <c r="B40" s="76"/>
      <c r="C40" s="70" t="s">
        <v>170</v>
      </c>
      <c r="D40" s="71">
        <v>43</v>
      </c>
      <c r="E40" s="77" t="s">
        <v>172</v>
      </c>
      <c r="F40" s="260">
        <f t="shared" si="6"/>
        <v>0</v>
      </c>
      <c r="G40" s="261"/>
      <c r="H40" s="73">
        <v>0</v>
      </c>
      <c r="I40" s="74">
        <f t="shared" si="7"/>
        <v>3.3</v>
      </c>
      <c r="J40" s="74">
        <f t="shared" si="5"/>
        <v>0</v>
      </c>
      <c r="K40" s="73"/>
      <c r="L40" s="74"/>
      <c r="M40" s="75"/>
      <c r="N40" s="59"/>
    </row>
    <row r="41" spans="1:14" ht="20.100000000000001" customHeight="1">
      <c r="A41" s="59"/>
      <c r="B41" s="79"/>
      <c r="C41" s="70" t="s">
        <v>170</v>
      </c>
      <c r="D41" s="71">
        <v>60</v>
      </c>
      <c r="E41" s="78"/>
      <c r="F41" s="260">
        <f t="shared" si="6"/>
        <v>17</v>
      </c>
      <c r="G41" s="261"/>
      <c r="H41" s="73">
        <v>0</v>
      </c>
      <c r="I41" s="74">
        <f t="shared" si="7"/>
        <v>0</v>
      </c>
      <c r="J41" s="74">
        <f t="shared" si="5"/>
        <v>0</v>
      </c>
      <c r="K41" s="73"/>
      <c r="L41" s="74"/>
      <c r="M41" s="75"/>
      <c r="N41" s="59"/>
    </row>
    <row r="42" spans="1:14" ht="20.100000000000001" customHeight="1">
      <c r="A42" s="59"/>
      <c r="B42" s="79"/>
      <c r="C42" s="70" t="s">
        <v>170</v>
      </c>
      <c r="D42" s="71">
        <v>80</v>
      </c>
      <c r="E42" s="78"/>
      <c r="F42" s="260">
        <f t="shared" si="6"/>
        <v>20</v>
      </c>
      <c r="G42" s="261"/>
      <c r="H42" s="73">
        <v>0</v>
      </c>
      <c r="I42" s="74">
        <f t="shared" si="7"/>
        <v>0</v>
      </c>
      <c r="J42" s="74">
        <f t="shared" si="5"/>
        <v>0</v>
      </c>
      <c r="K42" s="73"/>
      <c r="L42" s="74"/>
      <c r="M42" s="75"/>
      <c r="N42" s="59"/>
    </row>
    <row r="43" spans="1:14" ht="20.100000000000001" customHeight="1">
      <c r="A43" s="59"/>
      <c r="B43" s="79"/>
      <c r="C43" s="70" t="s">
        <v>170</v>
      </c>
      <c r="D43" s="71">
        <v>100</v>
      </c>
      <c r="E43" s="77" t="s">
        <v>171</v>
      </c>
      <c r="F43" s="260">
        <f t="shared" si="6"/>
        <v>20</v>
      </c>
      <c r="G43" s="261"/>
      <c r="H43" s="73">
        <v>0</v>
      </c>
      <c r="I43" s="74">
        <f t="shared" si="7"/>
        <v>0</v>
      </c>
      <c r="J43" s="74">
        <f t="shared" si="5"/>
        <v>0</v>
      </c>
      <c r="K43" s="73"/>
      <c r="L43" s="74"/>
      <c r="M43" s="75"/>
      <c r="N43" s="59"/>
    </row>
    <row r="44" spans="1:14" ht="20.100000000000001" customHeight="1">
      <c r="A44" s="59"/>
      <c r="B44" s="79"/>
      <c r="C44" s="70" t="s">
        <v>170</v>
      </c>
      <c r="D44" s="71">
        <v>100</v>
      </c>
      <c r="E44" s="77" t="s">
        <v>172</v>
      </c>
      <c r="F44" s="260">
        <f t="shared" si="6"/>
        <v>0</v>
      </c>
      <c r="G44" s="261"/>
      <c r="H44" s="73">
        <v>0</v>
      </c>
      <c r="I44" s="74">
        <f t="shared" si="7"/>
        <v>0</v>
      </c>
      <c r="J44" s="74">
        <f t="shared" si="5"/>
        <v>0</v>
      </c>
      <c r="K44" s="73"/>
      <c r="L44" s="74"/>
      <c r="M44" s="75"/>
      <c r="N44" s="59"/>
    </row>
    <row r="45" spans="1:14" ht="20.100000000000001" customHeight="1">
      <c r="A45" s="59"/>
      <c r="B45" s="79"/>
      <c r="C45" s="70" t="s">
        <v>170</v>
      </c>
      <c r="D45" s="71">
        <v>226</v>
      </c>
      <c r="E45" s="77" t="s">
        <v>171</v>
      </c>
      <c r="F45" s="260">
        <f t="shared" si="6"/>
        <v>126</v>
      </c>
      <c r="G45" s="261"/>
      <c r="H45" s="73">
        <v>0</v>
      </c>
      <c r="I45" s="74">
        <f t="shared" si="7"/>
        <v>0</v>
      </c>
      <c r="J45" s="74">
        <f t="shared" si="5"/>
        <v>0</v>
      </c>
      <c r="K45" s="73"/>
      <c r="L45" s="74"/>
      <c r="M45" s="75"/>
      <c r="N45" s="59"/>
    </row>
    <row r="46" spans="1:14" ht="20.100000000000001" customHeight="1">
      <c r="A46" s="59"/>
      <c r="B46" s="79"/>
      <c r="C46" s="70" t="s">
        <v>170</v>
      </c>
      <c r="D46" s="71">
        <v>226</v>
      </c>
      <c r="E46" s="77" t="s">
        <v>172</v>
      </c>
      <c r="F46" s="260">
        <f t="shared" si="6"/>
        <v>0</v>
      </c>
      <c r="G46" s="261"/>
      <c r="H46" s="73">
        <v>0</v>
      </c>
      <c r="I46" s="74">
        <f t="shared" si="7"/>
        <v>0</v>
      </c>
      <c r="J46" s="74">
        <f t="shared" si="5"/>
        <v>0</v>
      </c>
      <c r="K46" s="73"/>
      <c r="L46" s="74"/>
      <c r="M46" s="75"/>
      <c r="N46" s="59"/>
    </row>
    <row r="47" spans="1:14" ht="20.100000000000001" customHeight="1">
      <c r="A47" s="59"/>
      <c r="B47" s="79"/>
      <c r="C47" s="70" t="s">
        <v>170</v>
      </c>
      <c r="D47" s="71">
        <v>240</v>
      </c>
      <c r="E47" s="78"/>
      <c r="F47" s="260">
        <f t="shared" si="6"/>
        <v>14</v>
      </c>
      <c r="G47" s="261"/>
      <c r="H47" s="73">
        <v>0</v>
      </c>
      <c r="I47" s="74">
        <f t="shared" si="7"/>
        <v>0</v>
      </c>
      <c r="J47" s="74">
        <f t="shared" si="5"/>
        <v>0</v>
      </c>
      <c r="K47" s="73"/>
      <c r="L47" s="74"/>
      <c r="M47" s="75"/>
      <c r="N47" s="59"/>
    </row>
    <row r="48" spans="1:14" ht="20.100000000000001" customHeight="1">
      <c r="A48" s="59"/>
      <c r="B48" s="79"/>
      <c r="C48" s="70" t="s">
        <v>170</v>
      </c>
      <c r="D48" s="71">
        <v>260</v>
      </c>
      <c r="E48" s="77"/>
      <c r="F48" s="260">
        <f t="shared" si="6"/>
        <v>20</v>
      </c>
      <c r="G48" s="261"/>
      <c r="H48" s="73">
        <v>0</v>
      </c>
      <c r="I48" s="74">
        <f t="shared" si="7"/>
        <v>0</v>
      </c>
      <c r="J48" s="74">
        <f t="shared" si="5"/>
        <v>0</v>
      </c>
      <c r="K48" s="73"/>
      <c r="L48" s="74"/>
      <c r="M48" s="75"/>
      <c r="N48" s="59"/>
    </row>
    <row r="49" spans="1:14" ht="20.100000000000001" customHeight="1">
      <c r="A49" s="59"/>
      <c r="B49" s="79"/>
      <c r="C49" s="70" t="s">
        <v>170</v>
      </c>
      <c r="D49" s="71">
        <v>274</v>
      </c>
      <c r="E49" s="77" t="s">
        <v>171</v>
      </c>
      <c r="F49" s="260">
        <f t="shared" si="6"/>
        <v>14</v>
      </c>
      <c r="G49" s="261"/>
      <c r="H49" s="73">
        <v>0</v>
      </c>
      <c r="I49" s="74">
        <f t="shared" si="7"/>
        <v>0</v>
      </c>
      <c r="J49" s="74">
        <f t="shared" si="5"/>
        <v>0</v>
      </c>
      <c r="K49" s="73"/>
      <c r="L49" s="74"/>
      <c r="M49" s="75"/>
      <c r="N49" s="59"/>
    </row>
    <row r="50" spans="1:14" ht="20.100000000000001" customHeight="1">
      <c r="A50" s="59"/>
      <c r="B50" s="79"/>
      <c r="C50" s="70" t="s">
        <v>170</v>
      </c>
      <c r="D50" s="71">
        <v>274</v>
      </c>
      <c r="E50" s="77" t="s">
        <v>172</v>
      </c>
      <c r="F50" s="260">
        <f t="shared" si="6"/>
        <v>0</v>
      </c>
      <c r="G50" s="261"/>
      <c r="H50" s="73">
        <v>6.6</v>
      </c>
      <c r="I50" s="74">
        <f t="shared" si="7"/>
        <v>3.3</v>
      </c>
      <c r="J50" s="74">
        <f t="shared" si="5"/>
        <v>0</v>
      </c>
      <c r="K50" s="73"/>
      <c r="L50" s="74"/>
      <c r="M50" s="75"/>
      <c r="N50" s="59"/>
    </row>
    <row r="51" spans="1:14" ht="20.100000000000001" customHeight="1">
      <c r="A51" s="59"/>
      <c r="B51" s="79"/>
      <c r="C51" s="70" t="s">
        <v>170</v>
      </c>
      <c r="D51" s="71">
        <v>300</v>
      </c>
      <c r="E51" s="78"/>
      <c r="F51" s="260">
        <f t="shared" si="6"/>
        <v>26</v>
      </c>
      <c r="G51" s="261"/>
      <c r="H51" s="73">
        <v>6.6</v>
      </c>
      <c r="I51" s="74">
        <f t="shared" si="7"/>
        <v>6.6</v>
      </c>
      <c r="J51" s="74">
        <f t="shared" si="5"/>
        <v>171.6</v>
      </c>
      <c r="K51" s="73"/>
      <c r="L51" s="74"/>
      <c r="M51" s="75"/>
      <c r="N51" s="59"/>
    </row>
    <row r="52" spans="1:14" ht="20.100000000000001" customHeight="1">
      <c r="A52" s="59"/>
      <c r="B52" s="79"/>
      <c r="C52" s="70" t="s">
        <v>170</v>
      </c>
      <c r="D52" s="71">
        <v>320</v>
      </c>
      <c r="E52" s="78"/>
      <c r="F52" s="260">
        <f t="shared" si="6"/>
        <v>20</v>
      </c>
      <c r="G52" s="261"/>
      <c r="H52" s="73">
        <v>6.6</v>
      </c>
      <c r="I52" s="74">
        <f t="shared" si="7"/>
        <v>6.6</v>
      </c>
      <c r="J52" s="74">
        <f t="shared" si="5"/>
        <v>132</v>
      </c>
      <c r="K52" s="73"/>
      <c r="L52" s="74"/>
      <c r="M52" s="75"/>
      <c r="N52" s="59"/>
    </row>
    <row r="53" spans="1:14" ht="20.100000000000001" customHeight="1">
      <c r="A53" s="59"/>
      <c r="B53" s="79"/>
      <c r="C53" s="70" t="s">
        <v>170</v>
      </c>
      <c r="D53" s="71">
        <v>325</v>
      </c>
      <c r="E53" s="78"/>
      <c r="F53" s="260">
        <f t="shared" si="6"/>
        <v>5</v>
      </c>
      <c r="G53" s="261"/>
      <c r="H53" s="73">
        <v>6.6</v>
      </c>
      <c r="I53" s="74">
        <f t="shared" si="7"/>
        <v>6.6</v>
      </c>
      <c r="J53" s="74">
        <f t="shared" si="5"/>
        <v>33</v>
      </c>
      <c r="K53" s="73"/>
      <c r="L53" s="74"/>
      <c r="M53" s="75"/>
      <c r="N53" s="59"/>
    </row>
    <row r="54" spans="1:14" ht="20.100000000000001" customHeight="1">
      <c r="A54" s="59"/>
      <c r="B54" s="79"/>
      <c r="C54" s="70"/>
      <c r="D54" s="71"/>
      <c r="E54" s="78"/>
      <c r="F54" s="260"/>
      <c r="G54" s="261"/>
      <c r="H54" s="73"/>
      <c r="I54" s="74"/>
      <c r="J54" s="74"/>
      <c r="K54" s="73"/>
      <c r="L54" s="74"/>
      <c r="M54" s="75"/>
      <c r="N54" s="59"/>
    </row>
    <row r="55" spans="1:14" ht="20.100000000000001" customHeight="1">
      <c r="A55" s="59"/>
      <c r="B55" s="79"/>
      <c r="C55" s="70"/>
      <c r="D55" s="71"/>
      <c r="E55" s="78"/>
      <c r="F55" s="260"/>
      <c r="G55" s="261"/>
      <c r="H55" s="73"/>
      <c r="I55" s="74"/>
      <c r="J55" s="74"/>
      <c r="K55" s="73"/>
      <c r="L55" s="74"/>
      <c r="M55" s="75"/>
      <c r="N55" s="59"/>
    </row>
    <row r="56" spans="1:14" ht="20.100000000000001" customHeight="1">
      <c r="A56" s="59"/>
      <c r="B56" s="79"/>
      <c r="C56" s="70"/>
      <c r="D56" s="71"/>
      <c r="E56" s="77"/>
      <c r="F56" s="260"/>
      <c r="G56" s="261"/>
      <c r="H56" s="73"/>
      <c r="I56" s="74"/>
      <c r="J56" s="74"/>
      <c r="K56" s="73"/>
      <c r="L56" s="74"/>
      <c r="M56" s="75"/>
      <c r="N56" s="59"/>
    </row>
    <row r="57" spans="1:14" ht="20.100000000000001" customHeight="1">
      <c r="A57" s="59"/>
      <c r="B57" s="79"/>
      <c r="C57" s="70"/>
      <c r="D57" s="71"/>
      <c r="E57" s="77"/>
      <c r="F57" s="260"/>
      <c r="G57" s="261"/>
      <c r="H57" s="73"/>
      <c r="I57" s="74"/>
      <c r="J57" s="74"/>
      <c r="K57" s="73"/>
      <c r="L57" s="74"/>
      <c r="M57" s="75"/>
      <c r="N57" s="59"/>
    </row>
    <row r="58" spans="1:14" ht="20.100000000000001" customHeight="1">
      <c r="A58" s="59"/>
      <c r="B58" s="79"/>
      <c r="C58" s="70"/>
      <c r="D58" s="71"/>
      <c r="E58" s="78"/>
      <c r="F58" s="260"/>
      <c r="G58" s="261"/>
      <c r="H58" s="73"/>
      <c r="I58" s="74"/>
      <c r="J58" s="74"/>
      <c r="K58" s="73"/>
      <c r="L58" s="74"/>
      <c r="M58" s="75"/>
      <c r="N58" s="59"/>
    </row>
    <row r="59" spans="1:14" ht="20.100000000000001" customHeight="1" thickBot="1">
      <c r="A59" s="59"/>
      <c r="B59" s="262" t="s">
        <v>223</v>
      </c>
      <c r="C59" s="263"/>
      <c r="D59" s="263"/>
      <c r="E59" s="264"/>
      <c r="F59" s="265"/>
      <c r="G59" s="266"/>
      <c r="H59" s="257">
        <f>ROUND(SUM(J37:J58),2)</f>
        <v>620.4</v>
      </c>
      <c r="I59" s="258"/>
      <c r="J59" s="259"/>
      <c r="K59" s="257"/>
      <c r="L59" s="258"/>
      <c r="M59" s="259"/>
      <c r="N59" s="59"/>
    </row>
    <row r="60" spans="1:14">
      <c r="A60" s="59"/>
      <c r="B60" s="59"/>
      <c r="C60" s="59"/>
      <c r="D60" s="59"/>
      <c r="E60" s="59"/>
      <c r="F60" s="59"/>
      <c r="G60" s="59"/>
      <c r="H60" s="59"/>
      <c r="I60" s="80"/>
      <c r="J60" s="59"/>
      <c r="K60" s="59"/>
      <c r="L60" s="80"/>
      <c r="M60" s="59"/>
      <c r="N60" s="59"/>
    </row>
    <row r="61" spans="1:14">
      <c r="A61" s="59"/>
      <c r="B61" s="59"/>
      <c r="C61" s="59"/>
      <c r="D61" s="59"/>
      <c r="E61" s="59"/>
      <c r="F61" s="59"/>
      <c r="G61" s="59"/>
      <c r="H61" s="59"/>
      <c r="I61" s="80"/>
      <c r="J61" s="59"/>
      <c r="K61" s="59"/>
      <c r="L61" s="80"/>
      <c r="M61" s="59"/>
      <c r="N61" s="59"/>
    </row>
  </sheetData>
  <mergeCells count="69">
    <mergeCell ref="B7:M7"/>
    <mergeCell ref="F8:G8"/>
    <mergeCell ref="F9:G9"/>
    <mergeCell ref="F10:G10"/>
    <mergeCell ref="A1:N1"/>
    <mergeCell ref="A2:N2"/>
    <mergeCell ref="C3:M3"/>
    <mergeCell ref="B4:E6"/>
    <mergeCell ref="F4:G5"/>
    <mergeCell ref="H4:J4"/>
    <mergeCell ref="K4:M4"/>
    <mergeCell ref="F6:G6"/>
    <mergeCell ref="F11:G11"/>
    <mergeCell ref="F12:G12"/>
    <mergeCell ref="F14:G14"/>
    <mergeCell ref="F13:G13"/>
    <mergeCell ref="F15:G15"/>
    <mergeCell ref="F27:G27"/>
    <mergeCell ref="F17:G17"/>
    <mergeCell ref="F16:G16"/>
    <mergeCell ref="F18:G18"/>
    <mergeCell ref="F20:G20"/>
    <mergeCell ref="F21:G21"/>
    <mergeCell ref="F19:G19"/>
    <mergeCell ref="F22:G22"/>
    <mergeCell ref="F23:G23"/>
    <mergeCell ref="F24:G24"/>
    <mergeCell ref="F25:G25"/>
    <mergeCell ref="F26:G26"/>
    <mergeCell ref="F28:G28"/>
    <mergeCell ref="F29:G29"/>
    <mergeCell ref="F30:G30"/>
    <mergeCell ref="B32:E34"/>
    <mergeCell ref="F32:G33"/>
    <mergeCell ref="F34:G34"/>
    <mergeCell ref="B31:E31"/>
    <mergeCell ref="F31:G31"/>
    <mergeCell ref="B35:M35"/>
    <mergeCell ref="F36:G36"/>
    <mergeCell ref="F37:G37"/>
    <mergeCell ref="F38:G38"/>
    <mergeCell ref="K31:M31"/>
    <mergeCell ref="H32:J32"/>
    <mergeCell ref="K32:M32"/>
    <mergeCell ref="H31:J31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49:G49"/>
    <mergeCell ref="F50:G50"/>
    <mergeCell ref="F51:G51"/>
    <mergeCell ref="F52:G52"/>
    <mergeCell ref="F53:G53"/>
    <mergeCell ref="B59:E59"/>
    <mergeCell ref="F59:G59"/>
    <mergeCell ref="H59:J59"/>
    <mergeCell ref="K59:M59"/>
    <mergeCell ref="F54:G54"/>
    <mergeCell ref="F55:G55"/>
    <mergeCell ref="F56:G56"/>
    <mergeCell ref="F57:G57"/>
    <mergeCell ref="F58:G58"/>
  </mergeCells>
  <phoneticPr fontId="3" type="noConversion"/>
  <printOptions horizontalCentered="1"/>
  <pageMargins left="0.78740157480314965" right="0.47244094488188981" top="0.78740157480314965" bottom="0.78740157480314965" header="0.39370078740157483" footer="0.39370078740157483"/>
  <pageSetup paperSize="9" scale="90" pageOrder="overThenDown" orientation="portrait" r:id="rId1"/>
  <headerFooter alignWithMargins="0">
    <oddHeader>&amp;R
&amp;"標楷體,標準"
第&amp;P頁，共&amp;N頁</oddHeader>
    <oddFooter>&amp;L&amp;"標楷體,標準"計算：&amp;C&amp;"標楷體,標準"表3-&amp;P&amp;R&amp;"標楷體,標準"松陽工程顧問有限公司</oddFooter>
  </headerFooter>
  <rowBreaks count="1" manualBreakCount="1">
    <brk id="31" max="12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/>
  <dimension ref="A1:N52"/>
  <sheetViews>
    <sheetView view="pageBreakPreview" zoomScale="115" zoomScaleNormal="115" zoomScaleSheetLayoutView="115" workbookViewId="0">
      <pane ySplit="3" topLeftCell="A4" activePane="bottomLeft" state="frozen"/>
      <selection pane="bottomLeft" activeCell="E9" sqref="E9:J9"/>
    </sheetView>
  </sheetViews>
  <sheetFormatPr defaultColWidth="9" defaultRowHeight="16.5"/>
  <cols>
    <col min="1" max="1" width="6.25" style="3" customWidth="1"/>
    <col min="2" max="2" width="8.625" style="12" customWidth="1"/>
    <col min="3" max="3" width="13.125" style="13" customWidth="1"/>
    <col min="4" max="4" width="5.625" style="14" customWidth="1"/>
    <col min="5" max="6" width="7.625" style="15" customWidth="1"/>
    <col min="7" max="7" width="7.625" style="16" customWidth="1"/>
    <col min="8" max="8" width="7.625" style="17" customWidth="1"/>
    <col min="9" max="10" width="7.625" style="18" customWidth="1"/>
    <col min="11" max="11" width="5.625" style="30" customWidth="1"/>
    <col min="12" max="12" width="10.625" style="18" customWidth="1"/>
    <col min="13" max="13" width="4" style="19" customWidth="1"/>
    <col min="14" max="14" width="4" style="6" customWidth="1"/>
    <col min="15" max="16384" width="9" style="3"/>
  </cols>
  <sheetData>
    <row r="1" spans="1:14" s="1" customFormat="1" ht="15" customHeight="1">
      <c r="B1" s="240" t="str">
        <f>數量計算總表!A1</f>
        <v>OOO單位</v>
      </c>
      <c r="C1" s="240"/>
      <c r="D1" s="240"/>
      <c r="E1" s="240"/>
      <c r="F1" s="240"/>
      <c r="G1" s="240"/>
      <c r="H1" s="240"/>
      <c r="I1" s="240"/>
      <c r="J1" s="240"/>
      <c r="K1" s="240"/>
      <c r="L1" s="240"/>
      <c r="M1" s="240"/>
      <c r="N1" s="7"/>
    </row>
    <row r="2" spans="1:14" s="2" customFormat="1" ht="15" customHeight="1">
      <c r="B2" s="240"/>
      <c r="C2" s="240"/>
      <c r="D2" s="240"/>
      <c r="E2" s="240"/>
      <c r="F2" s="240"/>
      <c r="G2" s="240"/>
      <c r="H2" s="240"/>
      <c r="I2" s="240"/>
      <c r="J2" s="240"/>
      <c r="K2" s="240"/>
      <c r="L2" s="240"/>
      <c r="M2" s="240"/>
      <c r="N2" s="8"/>
    </row>
    <row r="3" spans="1:14" ht="21.95" customHeight="1">
      <c r="B3" s="242" t="s">
        <v>81</v>
      </c>
      <c r="C3" s="297"/>
      <c r="D3" s="297"/>
      <c r="E3" s="297"/>
      <c r="F3" s="297"/>
      <c r="G3" s="297"/>
      <c r="H3" s="297"/>
      <c r="I3" s="297"/>
      <c r="J3" s="297"/>
      <c r="K3" s="297"/>
      <c r="L3" s="297"/>
      <c r="M3" s="297"/>
      <c r="N3" s="9"/>
    </row>
    <row r="4" spans="1:14" s="4" customFormat="1" ht="20.100000000000001" customHeight="1" thickBot="1">
      <c r="B4" s="243" t="str">
        <f>數量計算總表!A4</f>
        <v>工程名稱：OOOO工程</v>
      </c>
      <c r="C4" s="243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11"/>
    </row>
    <row r="5" spans="1:14" s="4" customFormat="1" ht="20.100000000000001" customHeight="1" thickBot="1">
      <c r="A5" s="180" t="s">
        <v>275</v>
      </c>
      <c r="B5" s="188" t="s">
        <v>266</v>
      </c>
      <c r="C5" s="189"/>
      <c r="D5" s="189"/>
      <c r="E5" s="189"/>
      <c r="F5" s="189"/>
      <c r="G5" s="189"/>
      <c r="H5" s="189"/>
      <c r="I5" s="189"/>
      <c r="J5" s="189"/>
      <c r="K5" s="190"/>
      <c r="L5" s="181"/>
      <c r="M5" s="181"/>
      <c r="N5" s="11"/>
    </row>
    <row r="6" spans="1:14" s="5" customFormat="1" ht="20.100000000000001" customHeight="1" thickBot="1">
      <c r="A6" s="182">
        <v>1</v>
      </c>
      <c r="B6" s="299" t="s">
        <v>263</v>
      </c>
      <c r="C6" s="300"/>
      <c r="D6" s="183" t="s">
        <v>66</v>
      </c>
      <c r="E6" s="301" t="s">
        <v>270</v>
      </c>
      <c r="F6" s="301"/>
      <c r="G6" s="301"/>
      <c r="H6" s="301"/>
      <c r="I6" s="301"/>
      <c r="J6" s="301"/>
      <c r="K6" s="184" t="s">
        <v>66</v>
      </c>
      <c r="L6" s="185">
        <v>3780</v>
      </c>
      <c r="M6" s="186" t="s">
        <v>269</v>
      </c>
      <c r="N6" s="10"/>
    </row>
    <row r="7" spans="1:14" ht="20.100000000000001" customHeight="1" thickBot="1">
      <c r="A7" s="187">
        <v>2</v>
      </c>
      <c r="B7" s="299" t="s">
        <v>264</v>
      </c>
      <c r="C7" s="300"/>
      <c r="D7" s="183" t="s">
        <v>66</v>
      </c>
      <c r="E7" s="298" t="s">
        <v>267</v>
      </c>
      <c r="F7" s="298"/>
      <c r="G7" s="298"/>
      <c r="H7" s="298"/>
      <c r="I7" s="298"/>
      <c r="J7" s="298"/>
      <c r="K7" s="184" t="s">
        <v>66</v>
      </c>
      <c r="L7" s="185">
        <f>(26*2+25*2)</f>
        <v>102</v>
      </c>
      <c r="M7" s="186" t="s">
        <v>268</v>
      </c>
    </row>
    <row r="8" spans="1:14" ht="20.100000000000001" customHeight="1" thickBot="1">
      <c r="A8" s="187">
        <v>3</v>
      </c>
      <c r="B8" s="299" t="s">
        <v>261</v>
      </c>
      <c r="C8" s="300"/>
      <c r="D8" s="183" t="s">
        <v>66</v>
      </c>
      <c r="E8" s="298" t="s">
        <v>271</v>
      </c>
      <c r="F8" s="298"/>
      <c r="G8" s="298"/>
      <c r="H8" s="298"/>
      <c r="I8" s="298"/>
      <c r="J8" s="298"/>
      <c r="K8" s="184" t="s">
        <v>66</v>
      </c>
      <c r="L8" s="185">
        <v>3856</v>
      </c>
      <c r="M8" s="186" t="s">
        <v>67</v>
      </c>
    </row>
    <row r="9" spans="1:14" ht="20.100000000000001" customHeight="1" thickBot="1">
      <c r="A9" s="187">
        <v>4</v>
      </c>
      <c r="B9" s="299" t="s">
        <v>262</v>
      </c>
      <c r="C9" s="300"/>
      <c r="D9" s="183" t="s">
        <v>66</v>
      </c>
      <c r="E9" s="298" t="s">
        <v>272</v>
      </c>
      <c r="F9" s="298"/>
      <c r="G9" s="298"/>
      <c r="H9" s="298"/>
      <c r="I9" s="298"/>
      <c r="J9" s="298"/>
      <c r="K9" s="184" t="s">
        <v>66</v>
      </c>
      <c r="L9" s="185">
        <v>1110</v>
      </c>
      <c r="M9" s="186" t="s">
        <v>269</v>
      </c>
    </row>
    <row r="10" spans="1:14" ht="20.100000000000001" customHeight="1" thickBot="1">
      <c r="A10" s="187">
        <v>5</v>
      </c>
      <c r="B10" s="299" t="s">
        <v>273</v>
      </c>
      <c r="C10" s="300"/>
      <c r="D10" s="183" t="s">
        <v>66</v>
      </c>
      <c r="E10" s="298" t="s">
        <v>272</v>
      </c>
      <c r="F10" s="298"/>
      <c r="G10" s="298"/>
      <c r="H10" s="298"/>
      <c r="I10" s="298"/>
      <c r="J10" s="298"/>
      <c r="K10" s="184" t="s">
        <v>66</v>
      </c>
      <c r="L10" s="185">
        <v>1110</v>
      </c>
      <c r="M10" s="186" t="s">
        <v>269</v>
      </c>
    </row>
    <row r="11" spans="1:14" ht="20.100000000000001" customHeight="1" thickBot="1">
      <c r="A11" s="187"/>
      <c r="B11" s="199"/>
      <c r="C11" s="200"/>
      <c r="D11" s="193"/>
      <c r="E11" s="194"/>
      <c r="F11" s="194"/>
      <c r="G11" s="194"/>
      <c r="H11" s="194"/>
      <c r="I11" s="194"/>
      <c r="J11" s="195"/>
      <c r="K11" s="196"/>
      <c r="L11" s="197"/>
      <c r="M11" s="198"/>
    </row>
    <row r="12" spans="1:14" ht="21.95" customHeight="1" thickBot="1">
      <c r="A12" s="187" t="s">
        <v>276</v>
      </c>
      <c r="B12" s="188" t="s">
        <v>274</v>
      </c>
      <c r="C12" s="189"/>
      <c r="D12" s="189"/>
      <c r="E12" s="189"/>
      <c r="F12" s="189"/>
      <c r="G12" s="189"/>
      <c r="H12" s="189"/>
      <c r="I12" s="189"/>
      <c r="J12" s="190"/>
      <c r="K12" s="188"/>
      <c r="L12" s="188"/>
      <c r="M12" s="188"/>
      <c r="N12" s="9"/>
    </row>
    <row r="13" spans="1:14" s="5" customFormat="1" ht="20.100000000000001" customHeight="1" thickBot="1">
      <c r="A13" s="182">
        <v>1</v>
      </c>
      <c r="B13" s="304" t="s">
        <v>257</v>
      </c>
      <c r="C13" s="304"/>
      <c r="D13" s="183" t="s">
        <v>66</v>
      </c>
      <c r="E13" s="301" t="s">
        <v>292</v>
      </c>
      <c r="F13" s="301"/>
      <c r="G13" s="301"/>
      <c r="H13" s="301"/>
      <c r="I13" s="301"/>
      <c r="J13" s="301"/>
      <c r="K13" s="184" t="s">
        <v>66</v>
      </c>
      <c r="L13" s="185">
        <f>20+16</f>
        <v>36</v>
      </c>
      <c r="M13" s="186" t="s">
        <v>268</v>
      </c>
      <c r="N13" s="10"/>
    </row>
    <row r="14" spans="1:14" ht="20.100000000000001" customHeight="1" thickBot="1">
      <c r="A14" s="187">
        <v>2</v>
      </c>
      <c r="B14" s="304" t="s">
        <v>257</v>
      </c>
      <c r="C14" s="304"/>
      <c r="D14" s="183" t="s">
        <v>66</v>
      </c>
      <c r="E14" s="298" t="s">
        <v>293</v>
      </c>
      <c r="F14" s="298"/>
      <c r="G14" s="298"/>
      <c r="H14" s="298"/>
      <c r="I14" s="298"/>
      <c r="J14" s="298"/>
      <c r="K14" s="184" t="s">
        <v>66</v>
      </c>
      <c r="L14" s="185">
        <f>15*2+13.3*2+13*2+11.3*2</f>
        <v>105.19999999999999</v>
      </c>
      <c r="M14" s="186" t="s">
        <v>268</v>
      </c>
    </row>
    <row r="15" spans="1:14" ht="20.100000000000001" customHeight="1" thickBot="1">
      <c r="A15" s="187">
        <v>3</v>
      </c>
      <c r="B15" s="304" t="s">
        <v>258</v>
      </c>
      <c r="C15" s="304"/>
      <c r="D15" s="183" t="s">
        <v>66</v>
      </c>
      <c r="E15" s="298" t="s">
        <v>294</v>
      </c>
      <c r="F15" s="298"/>
      <c r="G15" s="298"/>
      <c r="H15" s="298"/>
      <c r="I15" s="298"/>
      <c r="J15" s="298"/>
      <c r="K15" s="184" t="s">
        <v>66</v>
      </c>
      <c r="L15" s="185">
        <f>10*8*2+13*11.3*3*2</f>
        <v>1041.4000000000001</v>
      </c>
      <c r="M15" s="186" t="s">
        <v>67</v>
      </c>
    </row>
    <row r="16" spans="1:14" ht="20.100000000000001" customHeight="1" thickBot="1">
      <c r="A16" s="187">
        <v>4</v>
      </c>
      <c r="B16" s="304" t="s">
        <v>259</v>
      </c>
      <c r="C16" s="304"/>
      <c r="D16" s="183" t="s">
        <v>66</v>
      </c>
      <c r="E16" s="298" t="s">
        <v>295</v>
      </c>
      <c r="F16" s="298"/>
      <c r="G16" s="298"/>
      <c r="H16" s="298"/>
      <c r="I16" s="298"/>
      <c r="J16" s="298"/>
      <c r="K16" s="184" t="s">
        <v>66</v>
      </c>
      <c r="L16" s="185">
        <f>9*9*2</f>
        <v>162</v>
      </c>
      <c r="M16" s="186" t="s">
        <v>67</v>
      </c>
    </row>
    <row r="17" spans="1:14" ht="20.100000000000001" customHeight="1" thickBot="1">
      <c r="A17" s="187">
        <v>5</v>
      </c>
      <c r="B17" s="191" t="s">
        <v>296</v>
      </c>
      <c r="C17" s="192"/>
      <c r="D17" s="183" t="s">
        <v>66</v>
      </c>
      <c r="E17" s="301">
        <v>1</v>
      </c>
      <c r="F17" s="301"/>
      <c r="G17" s="301"/>
      <c r="H17" s="301"/>
      <c r="I17" s="301"/>
      <c r="J17" s="301"/>
      <c r="K17" s="184" t="s">
        <v>66</v>
      </c>
      <c r="L17" s="185">
        <v>1</v>
      </c>
      <c r="M17" s="186" t="s">
        <v>94</v>
      </c>
    </row>
    <row r="18" spans="1:14" ht="20.100000000000001" customHeight="1" thickBot="1">
      <c r="A18" s="187"/>
      <c r="B18" s="191"/>
      <c r="C18" s="192"/>
      <c r="D18" s="193"/>
      <c r="E18" s="194"/>
      <c r="F18" s="194"/>
      <c r="G18" s="194"/>
      <c r="H18" s="194"/>
      <c r="I18" s="194"/>
      <c r="J18" s="195"/>
      <c r="K18" s="196"/>
      <c r="L18" s="197"/>
      <c r="M18" s="198"/>
    </row>
    <row r="19" spans="1:14" ht="21.95" customHeight="1" thickBot="1">
      <c r="A19" s="187" t="s">
        <v>277</v>
      </c>
      <c r="B19" s="188" t="s">
        <v>280</v>
      </c>
      <c r="C19" s="189"/>
      <c r="D19" s="189"/>
      <c r="E19" s="189"/>
      <c r="F19" s="189"/>
      <c r="G19" s="189"/>
      <c r="H19" s="189"/>
      <c r="I19" s="189"/>
      <c r="J19" s="190"/>
      <c r="K19" s="188"/>
      <c r="L19" s="188"/>
      <c r="M19" s="188"/>
      <c r="N19" s="9"/>
    </row>
    <row r="20" spans="1:14" ht="21.95" customHeight="1" thickBot="1">
      <c r="A20" s="187">
        <v>1</v>
      </c>
      <c r="B20" s="188" t="s">
        <v>281</v>
      </c>
      <c r="C20" s="189"/>
      <c r="D20" s="183" t="s">
        <v>66</v>
      </c>
      <c r="E20" s="189">
        <v>1</v>
      </c>
      <c r="F20" s="189"/>
      <c r="G20" s="189"/>
      <c r="H20" s="189"/>
      <c r="I20" s="189"/>
      <c r="J20" s="190"/>
      <c r="K20" s="184" t="s">
        <v>66</v>
      </c>
      <c r="L20" s="185">
        <v>1</v>
      </c>
      <c r="M20" s="186" t="s">
        <v>30</v>
      </c>
      <c r="N20" s="9"/>
    </row>
    <row r="21" spans="1:14" ht="21.95" customHeight="1" thickBot="1">
      <c r="A21" s="187">
        <v>2</v>
      </c>
      <c r="B21" s="188" t="s">
        <v>282</v>
      </c>
      <c r="C21" s="189"/>
      <c r="D21" s="183" t="s">
        <v>66</v>
      </c>
      <c r="E21" s="189">
        <v>9</v>
      </c>
      <c r="F21" s="189"/>
      <c r="G21" s="189"/>
      <c r="H21" s="189"/>
      <c r="I21" s="189"/>
      <c r="J21" s="190"/>
      <c r="K21" s="184" t="s">
        <v>66</v>
      </c>
      <c r="L21" s="185">
        <v>9</v>
      </c>
      <c r="M21" s="186" t="s">
        <v>30</v>
      </c>
      <c r="N21" s="9"/>
    </row>
    <row r="22" spans="1:14" ht="21.95" customHeight="1" thickBot="1">
      <c r="A22" s="187">
        <v>3</v>
      </c>
      <c r="B22" s="188" t="s">
        <v>283</v>
      </c>
      <c r="C22" s="189"/>
      <c r="D22" s="183" t="s">
        <v>66</v>
      </c>
      <c r="E22" s="189" t="s">
        <v>285</v>
      </c>
      <c r="F22" s="189"/>
      <c r="G22" s="189"/>
      <c r="H22" s="189"/>
      <c r="I22" s="189"/>
      <c r="J22" s="190"/>
      <c r="K22" s="184" t="s">
        <v>66</v>
      </c>
      <c r="L22" s="185">
        <v>372</v>
      </c>
      <c r="M22" s="186" t="s">
        <v>268</v>
      </c>
      <c r="N22" s="9"/>
    </row>
    <row r="23" spans="1:14" ht="21.95" customHeight="1" thickBot="1">
      <c r="A23" s="187">
        <v>4</v>
      </c>
      <c r="B23" s="188" t="s">
        <v>284</v>
      </c>
      <c r="C23" s="189"/>
      <c r="D23" s="183" t="s">
        <v>66</v>
      </c>
      <c r="E23" s="189" t="s">
        <v>285</v>
      </c>
      <c r="F23" s="189"/>
      <c r="G23" s="189"/>
      <c r="H23" s="189"/>
      <c r="I23" s="189"/>
      <c r="J23" s="190"/>
      <c r="K23" s="184" t="s">
        <v>66</v>
      </c>
      <c r="L23" s="185">
        <v>372</v>
      </c>
      <c r="M23" s="186" t="s">
        <v>268</v>
      </c>
      <c r="N23" s="9"/>
    </row>
    <row r="24" spans="1:14" ht="21.95" customHeight="1" thickBot="1">
      <c r="A24" s="187"/>
      <c r="B24" s="188"/>
      <c r="C24" s="189"/>
      <c r="D24" s="181"/>
      <c r="E24" s="189"/>
      <c r="F24" s="189"/>
      <c r="G24" s="189"/>
      <c r="H24" s="189"/>
      <c r="I24" s="189"/>
      <c r="J24" s="190"/>
      <c r="K24" s="188"/>
      <c r="L24" s="188"/>
      <c r="M24" s="188"/>
      <c r="N24" s="9"/>
    </row>
    <row r="25" spans="1:14" ht="21.95" customHeight="1" thickBot="1">
      <c r="A25" s="187" t="s">
        <v>278</v>
      </c>
      <c r="B25" s="188" t="s">
        <v>286</v>
      </c>
      <c r="C25" s="189"/>
      <c r="D25" s="189"/>
      <c r="E25" s="189"/>
      <c r="F25" s="189"/>
      <c r="G25" s="189"/>
      <c r="H25" s="189"/>
      <c r="I25" s="189"/>
      <c r="J25" s="190"/>
      <c r="K25" s="188"/>
      <c r="L25" s="188"/>
      <c r="M25" s="188"/>
      <c r="N25" s="9"/>
    </row>
    <row r="26" spans="1:14" ht="21.95" customHeight="1" thickBot="1">
      <c r="A26" s="187">
        <v>1</v>
      </c>
      <c r="B26" s="188" t="s">
        <v>287</v>
      </c>
      <c r="C26" s="189"/>
      <c r="D26" s="183" t="s">
        <v>66</v>
      </c>
      <c r="E26" s="189">
        <v>4</v>
      </c>
      <c r="F26" s="189"/>
      <c r="G26" s="189"/>
      <c r="H26" s="189"/>
      <c r="I26" s="189"/>
      <c r="J26" s="190"/>
      <c r="K26" s="184" t="s">
        <v>66</v>
      </c>
      <c r="L26" s="185">
        <v>4</v>
      </c>
      <c r="M26" s="186" t="s">
        <v>30</v>
      </c>
      <c r="N26" s="9"/>
    </row>
    <row r="27" spans="1:14" ht="21.95" customHeight="1" thickBot="1">
      <c r="A27" s="187">
        <v>2</v>
      </c>
      <c r="B27" s="188" t="s">
        <v>288</v>
      </c>
      <c r="C27" s="189"/>
      <c r="D27" s="183" t="s">
        <v>66</v>
      </c>
      <c r="E27" s="189" t="s">
        <v>289</v>
      </c>
      <c r="F27" s="189"/>
      <c r="G27" s="189"/>
      <c r="H27" s="189"/>
      <c r="I27" s="189"/>
      <c r="J27" s="190"/>
      <c r="K27" s="184" t="s">
        <v>66</v>
      </c>
      <c r="L27" s="185">
        <v>20</v>
      </c>
      <c r="M27" s="186" t="s">
        <v>44</v>
      </c>
      <c r="N27" s="9"/>
    </row>
    <row r="28" spans="1:14" ht="21.95" customHeight="1" thickBot="1">
      <c r="A28" s="187"/>
      <c r="B28" s="188"/>
      <c r="C28" s="189"/>
      <c r="D28" s="183"/>
      <c r="E28" s="189"/>
      <c r="F28" s="189"/>
      <c r="G28" s="189"/>
      <c r="H28" s="189"/>
      <c r="I28" s="189"/>
      <c r="J28" s="190"/>
      <c r="K28" s="184"/>
      <c r="L28" s="185"/>
      <c r="M28" s="186"/>
      <c r="N28" s="9"/>
    </row>
    <row r="29" spans="1:14" ht="20.100000000000001" customHeight="1" thickBot="1">
      <c r="A29" s="187" t="s">
        <v>279</v>
      </c>
      <c r="B29" s="305" t="s">
        <v>291</v>
      </c>
      <c r="C29" s="305"/>
      <c r="D29" s="183"/>
      <c r="E29" s="306"/>
      <c r="F29" s="306"/>
      <c r="G29" s="306"/>
      <c r="H29" s="306"/>
      <c r="I29" s="306"/>
      <c r="J29" s="306"/>
      <c r="K29" s="184"/>
      <c r="L29" s="185"/>
      <c r="M29" s="186"/>
    </row>
    <row r="30" spans="1:14" s="5" customFormat="1" ht="20.100000000000001" customHeight="1" thickBot="1">
      <c r="A30" s="182">
        <v>1</v>
      </c>
      <c r="B30" s="305" t="s">
        <v>110</v>
      </c>
      <c r="C30" s="305"/>
      <c r="D30" s="183" t="s">
        <v>66</v>
      </c>
      <c r="E30" s="301" t="s">
        <v>225</v>
      </c>
      <c r="F30" s="301"/>
      <c r="G30" s="301"/>
      <c r="H30" s="301"/>
      <c r="I30" s="301"/>
      <c r="J30" s="301"/>
      <c r="K30" s="184" t="s">
        <v>66</v>
      </c>
      <c r="L30" s="185">
        <f>3+1+4+1</f>
        <v>9</v>
      </c>
      <c r="M30" s="186" t="s">
        <v>79</v>
      </c>
      <c r="N30" s="10"/>
    </row>
    <row r="31" spans="1:14" ht="20.100000000000001" customHeight="1" thickBot="1">
      <c r="A31" s="187">
        <v>2</v>
      </c>
      <c r="B31" s="305" t="s">
        <v>72</v>
      </c>
      <c r="C31" s="305"/>
      <c r="D31" s="183" t="s">
        <v>66</v>
      </c>
      <c r="E31" s="298" t="s">
        <v>224</v>
      </c>
      <c r="F31" s="298"/>
      <c r="G31" s="298"/>
      <c r="H31" s="298"/>
      <c r="I31" s="298"/>
      <c r="J31" s="298"/>
      <c r="K31" s="184" t="s">
        <v>66</v>
      </c>
      <c r="L31" s="185">
        <f>(1119.6+1098.9+902.5)*0.15</f>
        <v>468.15</v>
      </c>
      <c r="M31" s="186" t="s">
        <v>67</v>
      </c>
    </row>
    <row r="32" spans="1:14" ht="20.100000000000001" customHeight="1" thickBot="1">
      <c r="A32" s="187">
        <v>3</v>
      </c>
      <c r="B32" s="305" t="s">
        <v>124</v>
      </c>
      <c r="C32" s="305"/>
      <c r="D32" s="183" t="s">
        <v>66</v>
      </c>
      <c r="E32" s="298" t="s">
        <v>226</v>
      </c>
      <c r="F32" s="298"/>
      <c r="G32" s="298"/>
      <c r="H32" s="298"/>
      <c r="I32" s="298"/>
      <c r="J32" s="298"/>
      <c r="K32" s="184" t="s">
        <v>66</v>
      </c>
      <c r="L32" s="185">
        <f>365*0.1*2</f>
        <v>73</v>
      </c>
      <c r="M32" s="186" t="s">
        <v>67</v>
      </c>
    </row>
    <row r="33" spans="1:14" ht="20.100000000000001" customHeight="1" thickBot="1">
      <c r="A33" s="187">
        <v>4</v>
      </c>
      <c r="B33" s="305" t="s">
        <v>73</v>
      </c>
      <c r="C33" s="305"/>
      <c r="D33" s="183" t="s">
        <v>66</v>
      </c>
      <c r="E33" s="298" t="s">
        <v>227</v>
      </c>
      <c r="F33" s="298"/>
      <c r="G33" s="298"/>
      <c r="H33" s="298"/>
      <c r="I33" s="298"/>
      <c r="J33" s="298"/>
      <c r="K33" s="184" t="s">
        <v>66</v>
      </c>
      <c r="L33" s="185">
        <f>(6+1+2)*8.75</f>
        <v>78.75</v>
      </c>
      <c r="M33" s="186" t="s">
        <v>67</v>
      </c>
    </row>
    <row r="34" spans="1:14" ht="20.100000000000001" customHeight="1" thickBot="1">
      <c r="A34" s="187"/>
      <c r="B34" s="305"/>
      <c r="C34" s="305"/>
      <c r="D34" s="183"/>
      <c r="E34" s="306" t="s">
        <v>78</v>
      </c>
      <c r="F34" s="306"/>
      <c r="G34" s="306"/>
      <c r="H34" s="306"/>
      <c r="I34" s="306"/>
      <c r="J34" s="306"/>
      <c r="K34" s="184" t="s">
        <v>66</v>
      </c>
      <c r="L34" s="185">
        <f>SUM(L31:L33)</f>
        <v>619.9</v>
      </c>
      <c r="M34" s="186" t="s">
        <v>67</v>
      </c>
    </row>
    <row r="35" spans="1:14" ht="21.95" customHeight="1" thickBot="1">
      <c r="A35" s="187" t="s">
        <v>290</v>
      </c>
      <c r="B35" s="188" t="s">
        <v>274</v>
      </c>
      <c r="C35" s="189"/>
      <c r="D35" s="189"/>
      <c r="E35" s="189"/>
      <c r="F35" s="189"/>
      <c r="G35" s="189"/>
      <c r="H35" s="189"/>
      <c r="I35" s="189"/>
      <c r="J35" s="190"/>
      <c r="K35" s="188"/>
      <c r="L35" s="188"/>
      <c r="M35" s="188"/>
      <c r="N35" s="9"/>
    </row>
    <row r="36" spans="1:14" s="5" customFormat="1" ht="20.100000000000001" customHeight="1" thickBot="1">
      <c r="A36" s="182">
        <v>1</v>
      </c>
      <c r="B36" s="304" t="s">
        <v>257</v>
      </c>
      <c r="C36" s="304"/>
      <c r="D36" s="183" t="s">
        <v>66</v>
      </c>
      <c r="E36" s="301" t="s">
        <v>225</v>
      </c>
      <c r="F36" s="301"/>
      <c r="G36" s="301"/>
      <c r="H36" s="301"/>
      <c r="I36" s="301"/>
      <c r="J36" s="301"/>
      <c r="K36" s="184" t="s">
        <v>66</v>
      </c>
      <c r="L36" s="185">
        <f>3+1+4+1</f>
        <v>9</v>
      </c>
      <c r="M36" s="186" t="s">
        <v>79</v>
      </c>
      <c r="N36" s="10"/>
    </row>
    <row r="37" spans="1:14" ht="20.100000000000001" customHeight="1" thickBot="1">
      <c r="A37" s="187">
        <v>2</v>
      </c>
      <c r="B37" s="304" t="s">
        <v>257</v>
      </c>
      <c r="C37" s="304"/>
      <c r="D37" s="183" t="s">
        <v>66</v>
      </c>
      <c r="E37" s="298" t="s">
        <v>224</v>
      </c>
      <c r="F37" s="298"/>
      <c r="G37" s="298"/>
      <c r="H37" s="298"/>
      <c r="I37" s="298"/>
      <c r="J37" s="298"/>
      <c r="K37" s="184" t="s">
        <v>66</v>
      </c>
      <c r="L37" s="185">
        <f>(1119.6+1098.9+902.5)*0.15</f>
        <v>468.15</v>
      </c>
      <c r="M37" s="186" t="s">
        <v>67</v>
      </c>
    </row>
    <row r="38" spans="1:14" ht="20.100000000000001" customHeight="1" thickBot="1">
      <c r="A38" s="187">
        <v>3</v>
      </c>
      <c r="B38" s="304" t="s">
        <v>258</v>
      </c>
      <c r="C38" s="304"/>
      <c r="D38" s="183" t="s">
        <v>66</v>
      </c>
      <c r="E38" s="298" t="s">
        <v>226</v>
      </c>
      <c r="F38" s="298"/>
      <c r="G38" s="298"/>
      <c r="H38" s="298"/>
      <c r="I38" s="298"/>
      <c r="J38" s="298"/>
      <c r="K38" s="184" t="s">
        <v>66</v>
      </c>
      <c r="L38" s="185">
        <f>365*0.1*2</f>
        <v>73</v>
      </c>
      <c r="M38" s="186" t="s">
        <v>67</v>
      </c>
    </row>
    <row r="39" spans="1:14" ht="20.100000000000001" customHeight="1" thickBot="1">
      <c r="A39" s="187">
        <v>4</v>
      </c>
      <c r="B39" s="304" t="s">
        <v>259</v>
      </c>
      <c r="C39" s="304"/>
      <c r="D39" s="183" t="s">
        <v>66</v>
      </c>
      <c r="E39" s="298" t="s">
        <v>227</v>
      </c>
      <c r="F39" s="298"/>
      <c r="G39" s="298"/>
      <c r="H39" s="298"/>
      <c r="I39" s="298"/>
      <c r="J39" s="298"/>
      <c r="K39" s="184" t="s">
        <v>66</v>
      </c>
      <c r="L39" s="185">
        <f>(6+1+2)*8.75</f>
        <v>78.75</v>
      </c>
      <c r="M39" s="186" t="s">
        <v>67</v>
      </c>
    </row>
    <row r="40" spans="1:14" ht="20.100000000000001" customHeight="1">
      <c r="B40" s="302"/>
      <c r="C40" s="303"/>
      <c r="D40" s="35"/>
      <c r="E40" s="35"/>
      <c r="F40" s="35"/>
      <c r="G40" s="35"/>
      <c r="H40" s="45"/>
      <c r="I40" s="32"/>
      <c r="J40" s="32"/>
      <c r="K40" s="33"/>
      <c r="L40" s="32"/>
      <c r="M40" s="45"/>
    </row>
    <row r="41" spans="1:14" ht="20.100000000000001" customHeight="1">
      <c r="B41" s="46"/>
      <c r="C41" s="36"/>
      <c r="D41" s="31"/>
      <c r="E41" s="31"/>
      <c r="F41" s="31"/>
      <c r="G41" s="31"/>
      <c r="H41" s="45"/>
      <c r="I41" s="32"/>
      <c r="J41" s="32"/>
      <c r="K41" s="33"/>
      <c r="L41" s="32"/>
      <c r="M41" s="45"/>
    </row>
    <row r="42" spans="1:14" ht="20.100000000000001" customHeight="1">
      <c r="B42" s="37"/>
      <c r="C42" s="38"/>
      <c r="D42" s="34"/>
      <c r="E42" s="34"/>
      <c r="F42" s="34"/>
      <c r="G42" s="34"/>
      <c r="H42" s="45"/>
      <c r="I42" s="32"/>
      <c r="J42" s="32"/>
      <c r="K42" s="33"/>
      <c r="L42" s="32"/>
      <c r="M42" s="45"/>
    </row>
    <row r="43" spans="1:14" ht="20.100000000000001" customHeight="1">
      <c r="B43" s="37"/>
      <c r="C43" s="38"/>
      <c r="D43" s="35"/>
      <c r="E43" s="35"/>
      <c r="F43" s="35"/>
      <c r="G43" s="35"/>
      <c r="H43" s="45"/>
      <c r="I43" s="32"/>
      <c r="J43" s="32"/>
      <c r="K43" s="33"/>
      <c r="L43" s="32"/>
      <c r="M43" s="45"/>
    </row>
    <row r="44" spans="1:14" ht="20.100000000000001" customHeight="1">
      <c r="B44" s="37"/>
      <c r="C44" s="38"/>
      <c r="D44" s="35"/>
      <c r="E44" s="35"/>
      <c r="F44" s="35"/>
      <c r="G44" s="35"/>
      <c r="H44" s="45"/>
      <c r="I44" s="32"/>
      <c r="J44" s="32"/>
      <c r="K44" s="33"/>
      <c r="L44" s="32"/>
      <c r="M44" s="45"/>
    </row>
    <row r="45" spans="1:14" ht="20.100000000000001" customHeight="1">
      <c r="B45" s="37"/>
      <c r="C45" s="38"/>
      <c r="D45" s="35"/>
      <c r="E45" s="35"/>
      <c r="F45" s="35"/>
      <c r="G45" s="35"/>
      <c r="H45" s="45"/>
      <c r="I45" s="32"/>
      <c r="J45" s="32"/>
      <c r="K45" s="33"/>
      <c r="L45" s="32"/>
      <c r="M45" s="45"/>
    </row>
    <row r="46" spans="1:14" ht="20.100000000000001" customHeight="1">
      <c r="B46" s="46"/>
      <c r="C46" s="36"/>
      <c r="D46" s="31"/>
      <c r="E46" s="31"/>
      <c r="F46" s="31"/>
      <c r="G46" s="31"/>
      <c r="H46" s="45"/>
      <c r="I46" s="32"/>
      <c r="J46" s="32"/>
      <c r="K46" s="33"/>
      <c r="L46" s="32"/>
      <c r="M46" s="45"/>
    </row>
    <row r="47" spans="1:14" ht="20.100000000000001" customHeight="1">
      <c r="B47" s="37"/>
      <c r="C47" s="38"/>
      <c r="D47" s="34"/>
      <c r="E47" s="34"/>
      <c r="F47" s="34"/>
      <c r="G47" s="34"/>
      <c r="H47" s="45"/>
      <c r="I47" s="32"/>
      <c r="J47" s="32"/>
      <c r="K47" s="33"/>
      <c r="L47" s="32"/>
      <c r="M47" s="45"/>
    </row>
    <row r="48" spans="1:14" ht="20.100000000000001" customHeight="1">
      <c r="B48" s="37"/>
      <c r="C48" s="38"/>
      <c r="D48" s="34"/>
      <c r="E48" s="34"/>
      <c r="F48" s="34"/>
      <c r="G48" s="34"/>
      <c r="H48" s="45"/>
      <c r="I48" s="32"/>
      <c r="J48" s="32"/>
      <c r="K48" s="33"/>
      <c r="L48" s="32"/>
      <c r="M48" s="45"/>
    </row>
    <row r="49" spans="2:13" ht="20.100000000000001" customHeight="1">
      <c r="B49" s="37"/>
      <c r="C49" s="38"/>
      <c r="D49" s="34"/>
      <c r="E49" s="34"/>
      <c r="F49" s="34"/>
      <c r="G49" s="34"/>
      <c r="H49" s="45"/>
      <c r="I49" s="32"/>
      <c r="J49" s="32"/>
      <c r="K49" s="33"/>
      <c r="L49" s="32"/>
      <c r="M49" s="45"/>
    </row>
    <row r="50" spans="2:13" ht="20.100000000000001" customHeight="1">
      <c r="B50" s="37"/>
      <c r="C50" s="38"/>
      <c r="D50" s="34"/>
      <c r="E50" s="34"/>
      <c r="F50" s="34"/>
      <c r="G50" s="34"/>
      <c r="H50" s="45"/>
      <c r="I50" s="32"/>
      <c r="J50" s="32"/>
      <c r="K50" s="33"/>
      <c r="L50" s="32"/>
      <c r="M50" s="45"/>
    </row>
    <row r="51" spans="2:13" ht="20.100000000000001" customHeight="1">
      <c r="B51" s="39"/>
      <c r="C51" s="40"/>
      <c r="D51" s="41"/>
      <c r="E51" s="16"/>
      <c r="F51" s="16"/>
      <c r="H51" s="42"/>
      <c r="I51" s="43"/>
      <c r="J51" s="43"/>
      <c r="K51" s="44"/>
      <c r="L51" s="43"/>
      <c r="M51" s="45"/>
    </row>
    <row r="52" spans="2:13">
      <c r="B52" s="39"/>
      <c r="C52" s="40"/>
      <c r="D52" s="41"/>
      <c r="E52" s="16"/>
      <c r="F52" s="16"/>
      <c r="H52" s="42"/>
      <c r="I52" s="43"/>
      <c r="J52" s="43"/>
      <c r="K52" s="44"/>
      <c r="L52" s="43"/>
      <c r="M52" s="45"/>
    </row>
  </sheetData>
  <mergeCells count="43">
    <mergeCell ref="B33:C33"/>
    <mergeCell ref="E33:J33"/>
    <mergeCell ref="B34:C34"/>
    <mergeCell ref="E34:J34"/>
    <mergeCell ref="B32:C32"/>
    <mergeCell ref="E32:J32"/>
    <mergeCell ref="B36:C36"/>
    <mergeCell ref="E36:J36"/>
    <mergeCell ref="B37:C37"/>
    <mergeCell ref="E37:J37"/>
    <mergeCell ref="B38:C38"/>
    <mergeCell ref="E38:J38"/>
    <mergeCell ref="B30:C30"/>
    <mergeCell ref="E30:J30"/>
    <mergeCell ref="B31:C31"/>
    <mergeCell ref="E31:J31"/>
    <mergeCell ref="E15:J15"/>
    <mergeCell ref="B16:C16"/>
    <mergeCell ref="E16:J16"/>
    <mergeCell ref="B29:C29"/>
    <mergeCell ref="E29:J29"/>
    <mergeCell ref="E17:J17"/>
    <mergeCell ref="B8:C8"/>
    <mergeCell ref="E8:J8"/>
    <mergeCell ref="B6:C6"/>
    <mergeCell ref="E6:J6"/>
    <mergeCell ref="B40:C40"/>
    <mergeCell ref="B9:C9"/>
    <mergeCell ref="B10:C10"/>
    <mergeCell ref="E9:J9"/>
    <mergeCell ref="E10:J10"/>
    <mergeCell ref="B13:C13"/>
    <mergeCell ref="E13:J13"/>
    <mergeCell ref="B14:C14"/>
    <mergeCell ref="E14:J14"/>
    <mergeCell ref="B15:C15"/>
    <mergeCell ref="B39:C39"/>
    <mergeCell ref="E39:J39"/>
    <mergeCell ref="B1:M2"/>
    <mergeCell ref="B3:M3"/>
    <mergeCell ref="B4:M4"/>
    <mergeCell ref="E7:J7"/>
    <mergeCell ref="B7:C7"/>
  </mergeCells>
  <phoneticPr fontId="3" type="noConversion"/>
  <printOptions horizontalCentered="1"/>
  <pageMargins left="0.62992125984251968" right="0.27559055118110237" top="0.35433070866141736" bottom="0.78740157480314965" header="0.6692913385826772" footer="0.43307086614173229"/>
  <pageSetup paperSize="9" orientation="portrait" r:id="rId1"/>
  <headerFooter alignWithMargins="0">
    <oddHeader xml:space="preserve">&amp;R
</oddHeader>
    <oddFooter>&amp;L&amp;"標楷體,標準"計算:&amp;C&amp;"標楷體,標準"&amp;P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具名範圍</vt:lpstr>
      </vt:variant>
      <vt:variant>
        <vt:i4>16</vt:i4>
      </vt:variant>
    </vt:vector>
  </HeadingPairs>
  <TitlesOfParts>
    <vt:vector size="25" baseType="lpstr">
      <vt:lpstr>VBA_setting</vt:lpstr>
      <vt:lpstr>數量計算總表</vt:lpstr>
      <vt:lpstr>表1_橋梁工程數量統計表</vt:lpstr>
      <vt:lpstr>表2_道路排水工程數量統計表 </vt:lpstr>
      <vt:lpstr>材料整理</vt:lpstr>
      <vt:lpstr>表3_元件數量計算表</vt:lpstr>
      <vt:lpstr>表4_土方數量計算表</vt:lpstr>
      <vt:lpstr>表5_道路面積數量計算表</vt:lpstr>
      <vt:lpstr>表6_標線數量計算表</vt:lpstr>
      <vt:lpstr>elementsMaterialSheetParam</vt:lpstr>
      <vt:lpstr>materialsQuantitySheetParam</vt:lpstr>
      <vt:lpstr>表1_橋梁工程數量統計表!Print_Area</vt:lpstr>
      <vt:lpstr>'表2_道路排水工程數量統計表 '!Print_Area</vt:lpstr>
      <vt:lpstr>表3_元件數量計算表!Print_Area</vt:lpstr>
      <vt:lpstr>表4_土方數量計算表!Print_Area</vt:lpstr>
      <vt:lpstr>表5_道路面積數量計算表!Print_Area</vt:lpstr>
      <vt:lpstr>表6_標線數量計算表!Print_Area</vt:lpstr>
      <vt:lpstr>數量計算總表!Print_Area</vt:lpstr>
      <vt:lpstr>表1_橋梁工程數量統計表!Print_Titles</vt:lpstr>
      <vt:lpstr>'表2_道路排水工程數量統計表 '!Print_Titles</vt:lpstr>
      <vt:lpstr>表3_元件數量計算表!Print_Titles</vt:lpstr>
      <vt:lpstr>表5_道路面積數量計算表!Print_Titles</vt:lpstr>
      <vt:lpstr>表6_標線數量計算表!Print_Titles</vt:lpstr>
      <vt:lpstr>數量計算總表!Print_Titles</vt:lpstr>
      <vt:lpstr>workNoParam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cp:lastPrinted>2022-10-26T02:47:15Z</cp:lastPrinted>
  <dcterms:created xsi:type="dcterms:W3CDTF">1995-09-04T09:06:05Z</dcterms:created>
  <dcterms:modified xsi:type="dcterms:W3CDTF">2023-04-18T06:28:15Z</dcterms:modified>
</cp:coreProperties>
</file>