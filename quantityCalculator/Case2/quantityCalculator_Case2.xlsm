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0F069CFF-D14C-4595-9516-10E31430CD3E}" xr6:coauthVersionLast="47" xr6:coauthVersionMax="47" xr10:uidLastSave="{00000000-0000-0000-0000-000000000000}"/>
  <bookViews>
    <workbookView xWindow="-120" yWindow="-120" windowWidth="29040" windowHeight="15840" tabRatio="789" firstSheet="1" activeTab="4" xr2:uid="{00000000-000D-0000-FFFF-FFFF00000000}"/>
  </bookViews>
  <sheets>
    <sheet name="數量計算總表" sheetId="2322" r:id="rId1"/>
    <sheet name="表1_橋梁工程數量統計表" sheetId="2359" r:id="rId2"/>
    <sheet name="表2_道路排水工程數量統計表 " sheetId="2360" r:id="rId3"/>
    <sheet name="材料整理" sheetId="2415" r:id="rId4"/>
    <sheet name="表3_元件數量計算表" sheetId="2358" r:id="rId5"/>
    <sheet name="表4_土方數量計算表" sheetId="2357" r:id="rId6"/>
    <sheet name="表5_道路面積數量計算表" sheetId="2361" r:id="rId7"/>
    <sheet name="表6_標線數量計算表" sheetId="2332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</externalReferences>
  <definedNames>
    <definedName name="\0" localSheetId="6">#REF!</definedName>
    <definedName name="\0">#REF!</definedName>
    <definedName name="\a" localSheetId="6">#REF!</definedName>
    <definedName name="\a">#REF!</definedName>
    <definedName name="\aa" localSheetId="6">#REF!</definedName>
    <definedName name="\aa">#REF!</definedName>
    <definedName name="\b" localSheetId="6">#REF!</definedName>
    <definedName name="\b">#REF!</definedName>
    <definedName name="\c" localSheetId="6">#REF!</definedName>
    <definedName name="\c">#REF!</definedName>
    <definedName name="\d" localSheetId="6">#REF!</definedName>
    <definedName name="\d">#REF!</definedName>
    <definedName name="\e" localSheetId="6">#REF!</definedName>
    <definedName name="\e">#REF!</definedName>
    <definedName name="\f" localSheetId="6">#REF!</definedName>
    <definedName name="\f">#REF!</definedName>
    <definedName name="\g" localSheetId="6">#REF!</definedName>
    <definedName name="\g">#REF!</definedName>
    <definedName name="\h" localSheetId="6">#REF!</definedName>
    <definedName name="\h">#REF!</definedName>
    <definedName name="\i" localSheetId="6">#REF!</definedName>
    <definedName name="\i">#REF!</definedName>
    <definedName name="\j" localSheetId="6">#REF!</definedName>
    <definedName name="\j">#REF!</definedName>
    <definedName name="\k" localSheetId="6">#REF!</definedName>
    <definedName name="\k">#REF!</definedName>
    <definedName name="\l" localSheetId="6">#REF!</definedName>
    <definedName name="\l">#REF!</definedName>
    <definedName name="\m" localSheetId="6">#REF!</definedName>
    <definedName name="\m">#REF!</definedName>
    <definedName name="\n" localSheetId="6">#REF!</definedName>
    <definedName name="\n">#REF!</definedName>
    <definedName name="\o" localSheetId="6">#REF!</definedName>
    <definedName name="\o">#REF!</definedName>
    <definedName name="\p" localSheetId="6">#REF!</definedName>
    <definedName name="\p">#REF!</definedName>
    <definedName name="\q" localSheetId="6">#REF!</definedName>
    <definedName name="\q">#REF!</definedName>
    <definedName name="\r">#N/A</definedName>
    <definedName name="\s" localSheetId="6">#REF!</definedName>
    <definedName name="\s">#REF!</definedName>
    <definedName name="\t">#N/A</definedName>
    <definedName name="\z" localSheetId="6">#REF!</definedName>
    <definedName name="\z">#REF!</definedName>
    <definedName name="_?" localSheetId="6">'[1]R&amp;C&amp;T'!#REF!</definedName>
    <definedName name="_?">'[1]R&amp;C&amp;T'!#REF!</definedName>
    <definedName name="______ast1" localSheetId="6">#REF!</definedName>
    <definedName name="______ast1">#REF!</definedName>
    <definedName name="______key2" localSheetId="6" hidden="1">'[2]單價分析表(1-11)'!#REF!</definedName>
    <definedName name="______key2" hidden="1">'[2]單價分析表(1-11)'!#REF!</definedName>
    <definedName name="______su1" localSheetId="6">#REF!</definedName>
    <definedName name="______su1">#REF!</definedName>
    <definedName name="______su2" localSheetId="6">#REF!</definedName>
    <definedName name="______su2">#REF!</definedName>
    <definedName name="______su3" localSheetId="6">#REF!</definedName>
    <definedName name="______su3">#REF!</definedName>
    <definedName name="______su4" localSheetId="6">#REF!</definedName>
    <definedName name="______su4">#REF!</definedName>
    <definedName name="______土__坪__" localSheetId="6">#REF!</definedName>
    <definedName name="______土__坪__">#REF!</definedName>
    <definedName name="_____a4" localSheetId="6">#REF!</definedName>
    <definedName name="_____a4">#REF!</definedName>
    <definedName name="_____a6" localSheetId="6">#REF!</definedName>
    <definedName name="_____a6">#REF!</definedName>
    <definedName name="_____ast1" localSheetId="6">#REF!</definedName>
    <definedName name="_____ast1">#REF!</definedName>
    <definedName name="_____ke1" localSheetId="6" hidden="1">'[3]單價分析表(1-11)'!#REF!</definedName>
    <definedName name="_____ke1" hidden="1">'[3]單價分析表(1-11)'!#REF!</definedName>
    <definedName name="_____key2" localSheetId="6" hidden="1">'[2]單價分析表(1-11)'!#REF!</definedName>
    <definedName name="_____key2" hidden="1">'[2]單價分析表(1-11)'!#REF!</definedName>
    <definedName name="_____key222" localSheetId="6" hidden="1">'[4]單價分析表(1-11)'!#REF!</definedName>
    <definedName name="_____key222" hidden="1">'[4]單價分析表(1-11)'!#REF!</definedName>
    <definedName name="_____kk1" localSheetId="6" hidden="1">'[5]單價分析表(1-11)'!#REF!</definedName>
    <definedName name="_____kk1" hidden="1">'[5]單價分析表(1-11)'!#REF!</definedName>
    <definedName name="_____ss1" localSheetId="6" hidden="1">'[5]單價分析表(1-11)'!#REF!</definedName>
    <definedName name="_____ss1" hidden="1">'[5]單價分析表(1-11)'!#REF!</definedName>
    <definedName name="_____ste1" localSheetId="6">#REF!</definedName>
    <definedName name="_____ste1">#REF!</definedName>
    <definedName name="_____su1" localSheetId="6">#REF!</definedName>
    <definedName name="_____su1">#REF!</definedName>
    <definedName name="_____su2" localSheetId="6">#REF!</definedName>
    <definedName name="_____su2">#REF!</definedName>
    <definedName name="_____su3" localSheetId="6">#REF!</definedName>
    <definedName name="_____su3">#REF!</definedName>
    <definedName name="_____su4" localSheetId="6">#REF!</definedName>
    <definedName name="_____su4">#REF!</definedName>
    <definedName name="_____tt1" localSheetId="6">[6]工程預算書!#REF!</definedName>
    <definedName name="_____tt1">[6]工程預算書!#REF!</definedName>
    <definedName name="_____tt2" localSheetId="6">[6]工程預算書!#REF!</definedName>
    <definedName name="_____tt2">[6]工程預算書!#REF!</definedName>
    <definedName name="_____挖______土" localSheetId="6">#REF!</definedName>
    <definedName name="_____挖______土">#REF!</definedName>
    <definedName name="_____填_______" localSheetId="6">#REF!</definedName>
    <definedName name="_____填_______">#REF!</definedName>
    <definedName name="____a1" localSheetId="6" hidden="1">'[7]單價分析表(1-11)'!#REF!</definedName>
    <definedName name="____a1" hidden="1">'[7]單價分析表(1-11)'!#REF!</definedName>
    <definedName name="____a2" localSheetId="6">[8]工程預算書!#REF!</definedName>
    <definedName name="____a2">[8]工程預算書!#REF!</definedName>
    <definedName name="____a3" localSheetId="6">[9]工程預算書!#REF!</definedName>
    <definedName name="____a3">[9]工程預算書!#REF!</definedName>
    <definedName name="____a4" localSheetId="6">#REF!</definedName>
    <definedName name="____a4">#REF!</definedName>
    <definedName name="____a6" localSheetId="6">#REF!</definedName>
    <definedName name="____a6">#REF!</definedName>
    <definedName name="____ast1" localSheetId="6">#REF!</definedName>
    <definedName name="____ast1">#REF!</definedName>
    <definedName name="____BEN1" localSheetId="6">#REF!</definedName>
    <definedName name="____BEN1">#REF!</definedName>
    <definedName name="____cr1" localSheetId="6">[10]工程預算書!#REF!</definedName>
    <definedName name="____cr1">[10]工程預算書!#REF!</definedName>
    <definedName name="____GEA1" localSheetId="6">#REF!</definedName>
    <definedName name="____GEA1">#REF!</definedName>
    <definedName name="____GGA1" localSheetId="6">#REF!</definedName>
    <definedName name="____GGA1">#REF!</definedName>
    <definedName name="____GGG1" localSheetId="6">#REF!</definedName>
    <definedName name="____GGG1">#REF!</definedName>
    <definedName name="____GGG2" localSheetId="6">#REF!</definedName>
    <definedName name="____GGG2">#REF!</definedName>
    <definedName name="____GGG3" localSheetId="6">#REF!</definedName>
    <definedName name="____GGG3">#REF!</definedName>
    <definedName name="____GGG4" localSheetId="6">#REF!</definedName>
    <definedName name="____GGG4">#REF!</definedName>
    <definedName name="____ke1" localSheetId="6" hidden="1">'[3]單價分析表(1-11)'!#REF!</definedName>
    <definedName name="____ke1" hidden="1">'[3]單價分析表(1-11)'!#REF!</definedName>
    <definedName name="____key2" localSheetId="6" hidden="1">'[11]單價分析表(1-11)'!#REF!</definedName>
    <definedName name="____key2" hidden="1">'[11]單價分析表(1-11)'!#REF!</definedName>
    <definedName name="____key222" localSheetId="6" hidden="1">'[4]單價分析表(1-11)'!#REF!</definedName>
    <definedName name="____key222" hidden="1">'[4]單價分析表(1-11)'!#REF!</definedName>
    <definedName name="____kk1" localSheetId="6" hidden="1">'[5]單價分析表(1-11)'!#REF!</definedName>
    <definedName name="____kk1" hidden="1">'[5]單價分析表(1-11)'!#REF!</definedName>
    <definedName name="____ss1" localSheetId="6" hidden="1">'[5]單價分析表(1-11)'!#REF!</definedName>
    <definedName name="____ss1" hidden="1">'[5]單價分析表(1-11)'!#REF!</definedName>
    <definedName name="____ste1" localSheetId="6">#REF!</definedName>
    <definedName name="____ste1">#REF!</definedName>
    <definedName name="____su1" localSheetId="6">#REF!</definedName>
    <definedName name="____su1">#REF!</definedName>
    <definedName name="____su2" localSheetId="6">#REF!</definedName>
    <definedName name="____su2">#REF!</definedName>
    <definedName name="____su3" localSheetId="6">#REF!</definedName>
    <definedName name="____su3">#REF!</definedName>
    <definedName name="____su4" localSheetId="6">#REF!</definedName>
    <definedName name="____su4">#REF!</definedName>
    <definedName name="____TE1" localSheetId="6">#REF!</definedName>
    <definedName name="____TE1">#REF!</definedName>
    <definedName name="____TE2" localSheetId="6">#REF!</definedName>
    <definedName name="____TE2">#REF!</definedName>
    <definedName name="____TE3" localSheetId="6">#REF!</definedName>
    <definedName name="____TE3">#REF!</definedName>
    <definedName name="____TE4" localSheetId="6">#REF!</definedName>
    <definedName name="____TE4">#REF!</definedName>
    <definedName name="____TE5" localSheetId="6">#REF!</definedName>
    <definedName name="____TE5">#REF!</definedName>
    <definedName name="____tt1" localSheetId="6">[6]工程預算書!#REF!</definedName>
    <definedName name="____tt1">[6]工程預算書!#REF!</definedName>
    <definedName name="____tt2" localSheetId="6">[6]工程預算書!#REF!</definedName>
    <definedName name="____tt2">[6]工程預算書!#REF!</definedName>
    <definedName name="____TTT1" localSheetId="6">#REF!</definedName>
    <definedName name="____TTT1">#REF!</definedName>
    <definedName name="____UUU1" localSheetId="6">#REF!</definedName>
    <definedName name="____UUU1">#REF!</definedName>
    <definedName name="____UUU2" localSheetId="6">#REF!</definedName>
    <definedName name="____UUU2">#REF!</definedName>
    <definedName name="___1S" localSheetId="6" hidden="1">'[12]單價分析表(1-11)'!#REF!</definedName>
    <definedName name="___1S" hidden="1">'[12]單價分析表(1-11)'!#REF!</definedName>
    <definedName name="___a1" localSheetId="6" hidden="1">'[7]單價分析表(1-11)'!#REF!</definedName>
    <definedName name="___a1" hidden="1">'[7]單價分析表(1-11)'!#REF!</definedName>
    <definedName name="___a2" localSheetId="6">[8]工程預算書!#REF!</definedName>
    <definedName name="___a2">[8]工程預算書!#REF!</definedName>
    <definedName name="___a3" localSheetId="6">[9]工程預算書!#REF!</definedName>
    <definedName name="___a3">[9]工程預算書!#REF!</definedName>
    <definedName name="___a4" localSheetId="6">#REF!</definedName>
    <definedName name="___a4">#REF!</definedName>
    <definedName name="___a6" localSheetId="6">#REF!</definedName>
    <definedName name="___a6">#REF!</definedName>
    <definedName name="___ast1" localSheetId="6">#REF!</definedName>
    <definedName name="___ast1">#REF!</definedName>
    <definedName name="___CON140" localSheetId="6">#REF!</definedName>
    <definedName name="___CON140">#REF!</definedName>
    <definedName name="___CON210" localSheetId="6">#REF!</definedName>
    <definedName name="___CON210">#REF!</definedName>
    <definedName name="___cr1" localSheetId="6">[10]工程預算書!#REF!</definedName>
    <definedName name="___cr1">[10]工程預算書!#REF!</definedName>
    <definedName name="___CRS1" localSheetId="6">#REF!</definedName>
    <definedName name="___CRS1">#REF!</definedName>
    <definedName name="___GEA1" localSheetId="6">#REF!</definedName>
    <definedName name="___GEA1">#REF!</definedName>
    <definedName name="___GGA1" localSheetId="6">#REF!</definedName>
    <definedName name="___GGA1">#REF!</definedName>
    <definedName name="___GGG1" localSheetId="6">#REF!</definedName>
    <definedName name="___GGG1">#REF!</definedName>
    <definedName name="___GGG2" localSheetId="6">#REF!</definedName>
    <definedName name="___GGG2">#REF!</definedName>
    <definedName name="___k1" localSheetId="6">[13]單價2!#REF!</definedName>
    <definedName name="___k1">[13]單價2!#REF!</definedName>
    <definedName name="___ke1" localSheetId="6" hidden="1">'[3]單價分析表(1-11)'!#REF!</definedName>
    <definedName name="___ke1" hidden="1">'[3]單價分析表(1-11)'!#REF!</definedName>
    <definedName name="___key2" localSheetId="6" hidden="1">'[11]單價分析表(1-11)'!#REF!</definedName>
    <definedName name="___key2" hidden="1">'[11]單價分析表(1-11)'!#REF!</definedName>
    <definedName name="___key222" localSheetId="6" hidden="1">'[4]單價分析表(1-11)'!#REF!</definedName>
    <definedName name="___key222" hidden="1">'[4]單價分析表(1-11)'!#REF!</definedName>
    <definedName name="___kk1" localSheetId="6" hidden="1">'[5]單價分析表(1-11)'!#REF!</definedName>
    <definedName name="___kk1" hidden="1">'[5]單價分析表(1-11)'!#REF!</definedName>
    <definedName name="___MC70" localSheetId="6">#REF!</definedName>
    <definedName name="___MC70">#REF!</definedName>
    <definedName name="___MID2" localSheetId="6">[14]Sheet1!#REF!</definedName>
    <definedName name="___MID2">[14]Sheet1!#REF!</definedName>
    <definedName name="___MID3" localSheetId="6">[14]Sheet1!#REF!</definedName>
    <definedName name="___MID3">[14]Sheet1!#REF!</definedName>
    <definedName name="___pc140" localSheetId="6">#REF!</definedName>
    <definedName name="___pc140">#REF!</definedName>
    <definedName name="___pc210" localSheetId="6">#REF!</definedName>
    <definedName name="___pc210">#REF!</definedName>
    <definedName name="___ss1" localSheetId="6" hidden="1">'[5]單價分析表(1-11)'!#REF!</definedName>
    <definedName name="___ss1" hidden="1">'[5]單價分析表(1-11)'!#REF!</definedName>
    <definedName name="___ste1" localSheetId="6">#REF!</definedName>
    <definedName name="___ste1">#REF!</definedName>
    <definedName name="___su1" localSheetId="6">#REF!</definedName>
    <definedName name="___su1">#REF!</definedName>
    <definedName name="___su2" localSheetId="6">#REF!</definedName>
    <definedName name="___su2">#REF!</definedName>
    <definedName name="___su3" localSheetId="6">#REF!</definedName>
    <definedName name="___su3">#REF!</definedName>
    <definedName name="___su4" localSheetId="6">#REF!</definedName>
    <definedName name="___su4">#REF!</definedName>
    <definedName name="___SW01" localSheetId="6">[14]Sheet1!#REF!</definedName>
    <definedName name="___SW01">[14]Sheet1!#REF!</definedName>
    <definedName name="___SW02" localSheetId="6">[14]Sheet1!#REF!</definedName>
    <definedName name="___SW02">[14]Sheet1!#REF!</definedName>
    <definedName name="___TAC1" localSheetId="6">#REF!</definedName>
    <definedName name="___TAC1">#REF!</definedName>
    <definedName name="___TAC2" localSheetId="6">#REF!</definedName>
    <definedName name="___TAC2">#REF!</definedName>
    <definedName name="___TE1" localSheetId="6">#REF!</definedName>
    <definedName name="___TE1">#REF!</definedName>
    <definedName name="___TE2" localSheetId="6">#REF!</definedName>
    <definedName name="___TE2">#REF!</definedName>
    <definedName name="___TE3" localSheetId="6">#REF!</definedName>
    <definedName name="___TE3">#REF!</definedName>
    <definedName name="___TE4" localSheetId="6">#REF!</definedName>
    <definedName name="___TE4">#REF!</definedName>
    <definedName name="___TE5" localSheetId="6">#REF!</definedName>
    <definedName name="___TE5">#REF!</definedName>
    <definedName name="___tt1" localSheetId="6">[6]工程預算書!#REF!</definedName>
    <definedName name="___tt1">[6]工程預算書!#REF!</definedName>
    <definedName name="___tt2" localSheetId="6">[6]工程預算書!#REF!</definedName>
    <definedName name="___tt2">[6]工程預算書!#REF!</definedName>
    <definedName name="___TTT1" localSheetId="6">#REF!</definedName>
    <definedName name="___TTT1">#REF!</definedName>
    <definedName name="___UUU1" localSheetId="6">#REF!</definedName>
    <definedName name="___UUU1">#REF!</definedName>
    <definedName name="___UUU2" localSheetId="6">#REF!</definedName>
    <definedName name="___UUU2">#REF!</definedName>
    <definedName name="__1_?" localSheetId="6">'[1]R&amp;C&amp;T'!#REF!</definedName>
    <definedName name="__1_?">'[1]R&amp;C&amp;T'!#REF!</definedName>
    <definedName name="__10cr1_" localSheetId="6">[10]工程預算書!#REF!</definedName>
    <definedName name="__10cr1_">[10]工程預算書!#REF!</definedName>
    <definedName name="__1S" localSheetId="6" hidden="1">'[12]單價分析表(1-11)'!#REF!</definedName>
    <definedName name="__1S" hidden="1">'[12]單價分析表(1-11)'!#REF!</definedName>
    <definedName name="__2_0" localSheetId="6">[15]單價2!#REF!</definedName>
    <definedName name="__2_0">[15]單價2!#REF!</definedName>
    <definedName name="__3_0_S" localSheetId="6" hidden="1">'[12]單價分析表(1-11)'!#REF!</definedName>
    <definedName name="__3_0_S" hidden="1">'[12]單價分析表(1-11)'!#REF!</definedName>
    <definedName name="__4_0_0SU" localSheetId="6">[15]單價2!#REF!</definedName>
    <definedName name="__4_0_0SU">[15]單價2!#REF!</definedName>
    <definedName name="__4S1_" localSheetId="6">#REF!</definedName>
    <definedName name="__4S1_">#REF!</definedName>
    <definedName name="__5S2_" localSheetId="6">#REF!</definedName>
    <definedName name="__5S2_">#REF!</definedName>
    <definedName name="__6S3_" localSheetId="6">#REF!</definedName>
    <definedName name="__6S3_">#REF!</definedName>
    <definedName name="__9a6_" localSheetId="6">#REF!</definedName>
    <definedName name="__9a6_">#REF!</definedName>
    <definedName name="__a1" localSheetId="6" hidden="1">'[7]單價分析表(1-11)'!#REF!</definedName>
    <definedName name="__a1" hidden="1">'[7]單價分析表(1-11)'!#REF!</definedName>
    <definedName name="__a2" localSheetId="6">[8]工程預算書!#REF!</definedName>
    <definedName name="__a2">[8]工程預算書!#REF!</definedName>
    <definedName name="__a3" localSheetId="6">[9]工程預算書!#REF!</definedName>
    <definedName name="__a3">[9]工程預算書!#REF!</definedName>
    <definedName name="__a4" localSheetId="6">#REF!</definedName>
    <definedName name="__a4">#REF!</definedName>
    <definedName name="__a6" localSheetId="6">#REF!</definedName>
    <definedName name="__a6">#REF!</definedName>
    <definedName name="__aaa1" localSheetId="6">#REF!</definedName>
    <definedName name="__aaa1">#REF!</definedName>
    <definedName name="__aaa2" localSheetId="6">#REF!</definedName>
    <definedName name="__aaa2">#REF!</definedName>
    <definedName name="__ast1" localSheetId="6">#REF!</definedName>
    <definedName name="__ast1">#REF!</definedName>
    <definedName name="__bbb1" localSheetId="6">#REF!</definedName>
    <definedName name="__bbb1">#REF!</definedName>
    <definedName name="__BEN1" localSheetId="6">#REF!</definedName>
    <definedName name="__BEN1">#REF!</definedName>
    <definedName name="__CCC3" localSheetId="6">#REF!</definedName>
    <definedName name="__CCC3">#REF!</definedName>
    <definedName name="__CON140" localSheetId="6">#REF!</definedName>
    <definedName name="__CON140">#REF!</definedName>
    <definedName name="__CON210" localSheetId="6">#REF!</definedName>
    <definedName name="__CON210">#REF!</definedName>
    <definedName name="__cr1" localSheetId="6">[10]工程預算書!#REF!</definedName>
    <definedName name="__cr1">[10]工程預算書!#REF!</definedName>
    <definedName name="__CRS1" localSheetId="6">#REF!</definedName>
    <definedName name="__CRS1">#REF!</definedName>
    <definedName name="__GEA1" localSheetId="6">#REF!</definedName>
    <definedName name="__GEA1">#REF!</definedName>
    <definedName name="__gea2" localSheetId="6">#REF!</definedName>
    <definedName name="__gea2">#REF!</definedName>
    <definedName name="__GGA1" localSheetId="6">#REF!</definedName>
    <definedName name="__GGA1">#REF!</definedName>
    <definedName name="__GGG1" localSheetId="6">#REF!</definedName>
    <definedName name="__GGG1">#REF!</definedName>
    <definedName name="__GGG2" localSheetId="6">#REF!</definedName>
    <definedName name="__GGG2">#REF!</definedName>
    <definedName name="__GGG3" localSheetId="6">#REF!</definedName>
    <definedName name="__GGG3">#REF!</definedName>
    <definedName name="__GGG4" localSheetId="6">#REF!</definedName>
    <definedName name="__GGG4">#REF!</definedName>
    <definedName name="__k1" localSheetId="6">[13]單價2!#REF!</definedName>
    <definedName name="__k1">[13]單價2!#REF!</definedName>
    <definedName name="__ke1" localSheetId="6" hidden="1">'[3]單價分析表(1-11)'!#REF!</definedName>
    <definedName name="__ke1" hidden="1">'[3]單價分析表(1-11)'!#REF!</definedName>
    <definedName name="__key2" localSheetId="6" hidden="1">'[11]單價分析表(1-11)'!#REF!</definedName>
    <definedName name="__key2" hidden="1">'[11]單價分析表(1-11)'!#REF!</definedName>
    <definedName name="__key222" localSheetId="6" hidden="1">'[4]單價分析表(1-11)'!#REF!</definedName>
    <definedName name="__key222" hidden="1">'[4]單價分析表(1-11)'!#REF!</definedName>
    <definedName name="__kk1" localSheetId="6" hidden="1">'[5]單價分析表(1-11)'!#REF!</definedName>
    <definedName name="__kk1" hidden="1">'[5]單價分析表(1-11)'!#REF!</definedName>
    <definedName name="__kkk7" localSheetId="6">#REF!</definedName>
    <definedName name="__kkk7">#REF!</definedName>
    <definedName name="__lA1" localSheetId="6">#REF!</definedName>
    <definedName name="__lA1">#REF!</definedName>
    <definedName name="__MC70" localSheetId="6">#REF!</definedName>
    <definedName name="__MC70">#REF!</definedName>
    <definedName name="__pc140" localSheetId="6">#REF!</definedName>
    <definedName name="__pc140">#REF!</definedName>
    <definedName name="__PC2000" localSheetId="6">#REF!</definedName>
    <definedName name="__PC2000">#REF!</definedName>
    <definedName name="__pc210" localSheetId="6">#REF!</definedName>
    <definedName name="__pc210">#REF!</definedName>
    <definedName name="__PC3000" localSheetId="6">#REF!</definedName>
    <definedName name="__PC3000">#REF!</definedName>
    <definedName name="__ppt2">[16]總表!$Y$63:$AE$181</definedName>
    <definedName name="__pre1">[16]總表!$L$19:$L$56</definedName>
    <definedName name="__pre2">[17]總表!$S$19:$S$56</definedName>
    <definedName name="__pre3">[17]總表!$Z$19:$Z$56</definedName>
    <definedName name="__ss1" localSheetId="6" hidden="1">'[5]單價分析表(1-11)'!#REF!</definedName>
    <definedName name="__ss1" hidden="1">'[5]單價分析表(1-11)'!#REF!</definedName>
    <definedName name="__ste1" localSheetId="6">#REF!</definedName>
    <definedName name="__ste1">#REF!</definedName>
    <definedName name="__su1" localSheetId="6">#REF!</definedName>
    <definedName name="__su1">#REF!</definedName>
    <definedName name="__su2" localSheetId="6">#REF!</definedName>
    <definedName name="__su2">#REF!</definedName>
    <definedName name="__su3" localSheetId="6">#REF!</definedName>
    <definedName name="__su3">#REF!</definedName>
    <definedName name="__su4" localSheetId="6">#REF!</definedName>
    <definedName name="__su4">#REF!</definedName>
    <definedName name="__TAC1" localSheetId="6">#REF!</definedName>
    <definedName name="__TAC1">#REF!</definedName>
    <definedName name="__TAC2" localSheetId="6">#REF!</definedName>
    <definedName name="__TAC2">#REF!</definedName>
    <definedName name="__TE1" localSheetId="6">#REF!</definedName>
    <definedName name="__TE1">#REF!</definedName>
    <definedName name="__TE2" localSheetId="6">#REF!</definedName>
    <definedName name="__TE2">#REF!</definedName>
    <definedName name="__TE3" localSheetId="6">#REF!</definedName>
    <definedName name="__TE3">#REF!</definedName>
    <definedName name="__TE4" localSheetId="6">#REF!</definedName>
    <definedName name="__TE4">#REF!</definedName>
    <definedName name="__TE5" localSheetId="6">#REF!</definedName>
    <definedName name="__TE5">#REF!</definedName>
    <definedName name="__tt1" localSheetId="6">[6]工程預算書!#REF!</definedName>
    <definedName name="__tt1">[6]工程預算書!#REF!</definedName>
    <definedName name="__tt2" localSheetId="6">[6]工程預算書!#REF!</definedName>
    <definedName name="__tt2">[6]工程預算書!#REF!</definedName>
    <definedName name="__TTT1" localSheetId="6">#REF!</definedName>
    <definedName name="__TTT1">#REF!</definedName>
    <definedName name="__TTT21" localSheetId="6">#REF!</definedName>
    <definedName name="__TTT21">#REF!</definedName>
    <definedName name="__UUU1" localSheetId="6">#REF!</definedName>
    <definedName name="__UUU1">#REF!</definedName>
    <definedName name="__UUU2" localSheetId="6">#REF!</definedName>
    <definedName name="__UUU2">#REF!</definedName>
    <definedName name="__UUU21" localSheetId="6">#REF!</definedName>
    <definedName name="__UUU21">#REF!</definedName>
    <definedName name="__UUU22" localSheetId="6">#REF!</definedName>
    <definedName name="__UUU22">#REF!</definedName>
    <definedName name="_1" localSheetId="6">#REF!</definedName>
    <definedName name="_1">#REF!</definedName>
    <definedName name="_1_?" localSheetId="6">'[1]R&amp;C&amp;T'!#REF!</definedName>
    <definedName name="_1_?">'[1]R&amp;C&amp;T'!#REF!</definedName>
    <definedName name="_104e1_" localSheetId="6">[18]預算明細!#REF!</definedName>
    <definedName name="_104e1_">[18]預算明細!#REF!</definedName>
    <definedName name="_10b6_" localSheetId="6">[18]預算明細!#REF!</definedName>
    <definedName name="_10b6_">[18]預算明細!#REF!</definedName>
    <definedName name="_10cr1_" localSheetId="6">[10]工程預算書!#REF!</definedName>
    <definedName name="_10cr1_">[10]工程預算書!#REF!</definedName>
    <definedName name="_110e2_" localSheetId="6">[19]預算明細!#REF!</definedName>
    <definedName name="_110e2_">[19]預算明細!#REF!</definedName>
    <definedName name="_111111" localSheetId="6">#REF!</definedName>
    <definedName name="_111111">#REF!</definedName>
    <definedName name="_11111111111" localSheetId="6">#REF!</definedName>
    <definedName name="_11111111111">#REF!</definedName>
    <definedName name="_116e3_" localSheetId="6">[18]預算明細!#REF!</definedName>
    <definedName name="_116e3_">[18]預算明細!#REF!</definedName>
    <definedName name="_11a6_" localSheetId="6">#REF!</definedName>
    <definedName name="_11a6_">#REF!</definedName>
    <definedName name="_11b7_" localSheetId="6">[18]預算明細!#REF!</definedName>
    <definedName name="_11b7_">[18]預算明細!#REF!</definedName>
    <definedName name="_11k1_" localSheetId="6">[13]單價2!#REF!</definedName>
    <definedName name="_11k1_">[13]單價2!#REF!</definedName>
    <definedName name="_12_0_0SU" localSheetId="6">[15]單價2!#REF!</definedName>
    <definedName name="_12_0_0SU">[15]單價2!#REF!</definedName>
    <definedName name="_120cm∮水泥管及埋設" localSheetId="6">#REF!</definedName>
    <definedName name="_120cm∮水泥管及埋設">#REF!</definedName>
    <definedName name="_122e4_" localSheetId="6">[18]預算明細!#REF!</definedName>
    <definedName name="_122e4_">[18]預算明細!#REF!</definedName>
    <definedName name="_123" localSheetId="6">#REF!</definedName>
    <definedName name="_123">#REF!</definedName>
    <definedName name="_1234" localSheetId="6">#REF!</definedName>
    <definedName name="_1234">#REF!</definedName>
    <definedName name="_128f1_" localSheetId="6">[20]預算明細!#REF!</definedName>
    <definedName name="_128f1_">[20]預算明細!#REF!</definedName>
    <definedName name="_12cr1_" localSheetId="6">[10]工程預算書!#REF!</definedName>
    <definedName name="_12cr1_">[10]工程預算書!#REF!</definedName>
    <definedName name="_12d4_" localSheetId="6">[18]預算明細!#REF!</definedName>
    <definedName name="_12d4_">[18]預算明細!#REF!</definedName>
    <definedName name="_12S3_" localSheetId="6">#REF!</definedName>
    <definedName name="_12S3_">#REF!</definedName>
    <definedName name="_13_0" localSheetId="6">[15]單價2!#REF!</definedName>
    <definedName name="_13_0">[15]單價2!#REF!</definedName>
    <definedName name="_134F32_" localSheetId="6">[18]預算明細!#REF!</definedName>
    <definedName name="_134F32_">[18]預算明細!#REF!</definedName>
    <definedName name="_13d5_" localSheetId="6">[18]預算明細!#REF!</definedName>
    <definedName name="_13d5_">[18]預算明細!#REF!</definedName>
    <definedName name="_13k1_" localSheetId="6">[13]單價2!#REF!</definedName>
    <definedName name="_13k1_">[13]單價2!#REF!</definedName>
    <definedName name="_140_kg_cm2混凝土" localSheetId="6">#REF!</definedName>
    <definedName name="_140_kg_cm2混凝土">#REF!</definedName>
    <definedName name="_140f5_" localSheetId="6">[18]預算明細!#REF!</definedName>
    <definedName name="_140f5_">[18]預算明細!#REF!</definedName>
    <definedName name="_140kg_cm2預拌混凝土及澆置" localSheetId="6">#REF!</definedName>
    <definedName name="_140kg_cm2預拌混凝土及澆置">#REF!</definedName>
    <definedName name="_146g4_" localSheetId="6">[19]預算明細!#REF!</definedName>
    <definedName name="_146g4_">[19]預算明細!#REF!</definedName>
    <definedName name="_14e1_" localSheetId="6">[18]預算明細!#REF!</definedName>
    <definedName name="_14e1_">[18]預算明細!#REF!</definedName>
    <definedName name="_150cm∮水泥管及埋設" localSheetId="6">#REF!</definedName>
    <definedName name="_150cm∮水泥管及埋設">#REF!</definedName>
    <definedName name="_152g6_" localSheetId="6">[18]預算明細!#REF!</definedName>
    <definedName name="_152g6_">[18]預算明細!#REF!</definedName>
    <definedName name="_158h5_" localSheetId="6">[19]預算明細!#REF!</definedName>
    <definedName name="_158h5_">[19]預算明細!#REF!</definedName>
    <definedName name="_15a1_" localSheetId="6" hidden="1">'[7]單價分析表(1-11)'!#REF!</definedName>
    <definedName name="_15a1_" hidden="1">'[7]單價分析表(1-11)'!#REF!</definedName>
    <definedName name="_15e2_" localSheetId="6">[19]預算明細!#REF!</definedName>
    <definedName name="_15e2_">[19]預算明細!#REF!</definedName>
    <definedName name="_164h7_" localSheetId="6">[18]預算明細!#REF!</definedName>
    <definedName name="_164h7_">[18]預算明細!#REF!</definedName>
    <definedName name="_168k1_" localSheetId="6">[13]單價2!#REF!</definedName>
    <definedName name="_168k1_">[13]單價2!#REF!</definedName>
    <definedName name="_16e3_" localSheetId="6">[18]預算明細!#REF!</definedName>
    <definedName name="_16e3_">[18]預算明細!#REF!</definedName>
    <definedName name="_174q1_" localSheetId="6">#REF!</definedName>
    <definedName name="_174q1_">#REF!</definedName>
    <definedName name="_175kg_cm2預拌混凝土及澆置" localSheetId="6">#REF!</definedName>
    <definedName name="_175kg_cm2預拌混凝土及澆置">#REF!</definedName>
    <definedName name="_17e4_" localSheetId="6">[18]預算明細!#REF!</definedName>
    <definedName name="_17e4_">[18]預算明細!#REF!</definedName>
    <definedName name="_180q778_" localSheetId="6">[20]預算明細!#REF!</definedName>
    <definedName name="_180q778_">[20]預算明細!#REF!</definedName>
    <definedName name="_183S1_" localSheetId="6">#REF!</definedName>
    <definedName name="_183S1_">#REF!</definedName>
    <definedName name="_186S2_" localSheetId="6">#REF!</definedName>
    <definedName name="_186S2_">#REF!</definedName>
    <definedName name="_189S3_" localSheetId="6">#REF!</definedName>
    <definedName name="_189S3_">#REF!</definedName>
    <definedName name="_18a2_" localSheetId="6">[8]工程預算書!#REF!</definedName>
    <definedName name="_18a2_">[8]工程預算書!#REF!</definedName>
    <definedName name="_18f1_" localSheetId="6">[20]預算明細!#REF!</definedName>
    <definedName name="_18f1_">[20]預算明細!#REF!</definedName>
    <definedName name="_195v6_" localSheetId="6">[18]預算明細!#REF!</definedName>
    <definedName name="_195v6_">[18]預算明細!#REF!</definedName>
    <definedName name="_19F32_" localSheetId="6">[18]預算明細!#REF!</definedName>
    <definedName name="_19F32_">[18]預算明細!#REF!</definedName>
    <definedName name="_1A16500_" localSheetId="6">[21]B1!#REF!</definedName>
    <definedName name="_1A16500_">[21]B1!#REF!</definedName>
    <definedName name="_1S" localSheetId="6" hidden="1">'[12]單價分析表(1-11)'!#REF!</definedName>
    <definedName name="_1S" hidden="1">'[12]單價分析表(1-11)'!#REF!</definedName>
    <definedName name="_2_0" localSheetId="6">[15]單價2!#REF!</definedName>
    <definedName name="_2_0">[15]單價2!#REF!</definedName>
    <definedName name="_2_0_S" localSheetId="6" hidden="1">'[12]單價分析表(1-11)'!#REF!</definedName>
    <definedName name="_2_0_S" hidden="1">'[12]單價分析表(1-11)'!#REF!</definedName>
    <definedName name="_201w1_" localSheetId="6">[19]預算明細!#REF!</definedName>
    <definedName name="_201w1_">[19]預算明細!#REF!</definedName>
    <definedName name="_207w2_" localSheetId="6">[18]預算明細!#REF!</definedName>
    <definedName name="_207w2_">[18]預算明細!#REF!</definedName>
    <definedName name="_20CM厚以下排填石" localSheetId="6">#REF!</definedName>
    <definedName name="_20CM厚以下排填石">#REF!</definedName>
    <definedName name="_20f5_" localSheetId="6">[18]預算明細!#REF!</definedName>
    <definedName name="_20f5_">[18]預算明細!#REF!</definedName>
    <definedName name="_210_KG_CM2混凝土" localSheetId="6">#REF!</definedName>
    <definedName name="_210_KG_CM2混凝土">#REF!</definedName>
    <definedName name="_210kg_cm2預拌混凝土及澆置" localSheetId="6">#REF!</definedName>
    <definedName name="_210kg_cm2預拌混凝土及澆置">#REF!</definedName>
    <definedName name="_213w3_" localSheetId="6">[18]預算明細!#REF!</definedName>
    <definedName name="_213w3_">[18]預算明細!#REF!</definedName>
    <definedName name="_219w4_" localSheetId="6">[18]預算明細!#REF!</definedName>
    <definedName name="_219w4_">[18]預算明細!#REF!</definedName>
    <definedName name="_21a3_" localSheetId="6">[9]工程預算書!#REF!</definedName>
    <definedName name="_21a3_">[9]工程預算書!#REF!</definedName>
    <definedName name="_21g4_" localSheetId="6">[19]預算明細!#REF!</definedName>
    <definedName name="_21g4_">[19]預算明細!#REF!</definedName>
    <definedName name="_225x4_" localSheetId="6">[18]預算明細!#REF!</definedName>
    <definedName name="_225x4_">[18]預算明細!#REF!</definedName>
    <definedName name="_22g6_" localSheetId="6">[18]預算明細!#REF!</definedName>
    <definedName name="_22g6_">[18]預算明細!#REF!</definedName>
    <definedName name="_231z3_" localSheetId="6">[18]預算明細!#REF!</definedName>
    <definedName name="_231z3_">[18]預算明細!#REF!</definedName>
    <definedName name="_23h5_" localSheetId="6">[19]預算明細!#REF!</definedName>
    <definedName name="_23h5_">[19]預算明細!#REF!</definedName>
    <definedName name="_245kg_cm2預拌混凝土及澆置" localSheetId="6">#REF!</definedName>
    <definedName name="_245kg_cm2預拌混凝土及澆置">#REF!</definedName>
    <definedName name="_24h7_" localSheetId="6">[18]預算明細!#REF!</definedName>
    <definedName name="_24h7_">[18]預算明細!#REF!</definedName>
    <definedName name="_25_0_S" localSheetId="6" hidden="1">'[12]單價分析表(1-11)'!#REF!</definedName>
    <definedName name="_25_0_S" hidden="1">'[12]單價分析表(1-11)'!#REF!</definedName>
    <definedName name="_25a4_" localSheetId="6">#REF!</definedName>
    <definedName name="_25a4_">#REF!</definedName>
    <definedName name="_25q1_" localSheetId="6">#REF!</definedName>
    <definedName name="_25q1_">#REF!</definedName>
    <definedName name="_26_0_S" localSheetId="6" hidden="1">'[12]單價分析表(1-11)'!#REF!</definedName>
    <definedName name="_26_0_S" hidden="1">'[12]單價分析表(1-11)'!#REF!</definedName>
    <definedName name="_26q778_" localSheetId="6">[20]預算明細!#REF!</definedName>
    <definedName name="_26q778_">[20]預算明細!#REF!</definedName>
    <definedName name="_280kg_cm2預拌混凝土及澆置" localSheetId="6">#REF!</definedName>
    <definedName name="_280kg_cm2預拌混凝土及澆置">#REF!</definedName>
    <definedName name="_28S1_" localSheetId="6">#REF!</definedName>
    <definedName name="_28S1_">#REF!</definedName>
    <definedName name="_29a6_" localSheetId="6">#REF!</definedName>
    <definedName name="_29a6_">#REF!</definedName>
    <definedName name="_2mm厚熱拌塑膠反光標線" localSheetId="6">#REF!</definedName>
    <definedName name="_2mm厚熱拌塑膠反光標線">#REF!</definedName>
    <definedName name="_2S" localSheetId="6" hidden="1">'[12]單價分析表(1-11)'!#REF!</definedName>
    <definedName name="_2S" hidden="1">'[12]單價分析表(1-11)'!#REF!</definedName>
    <definedName name="_3_0_S" localSheetId="6" hidden="1">'[12]單價分析表(1-11)'!#REF!</definedName>
    <definedName name="_3_0_S" hidden="1">'[12]單價分析表(1-11)'!#REF!</definedName>
    <definedName name="_30_0_0SU" localSheetId="6">[15]單價2!#REF!</definedName>
    <definedName name="_30_0_0SU">[15]單價2!#REF!</definedName>
    <definedName name="_30cm∮水泥管及埋設" localSheetId="6">#REF!</definedName>
    <definedName name="_30cm∮水泥管及埋設">#REF!</definedName>
    <definedName name="_30S2_" localSheetId="6">#REF!</definedName>
    <definedName name="_30S2_">#REF!</definedName>
    <definedName name="_32cr1_" localSheetId="6">[10]工程預算書!#REF!</definedName>
    <definedName name="_32cr1_">[10]工程預算書!#REF!</definedName>
    <definedName name="_32S3_" localSheetId="6">#REF!</definedName>
    <definedName name="_32S3_">#REF!</definedName>
    <definedName name="_33v6_" localSheetId="6">[18]預算明細!#REF!</definedName>
    <definedName name="_33v6_">[18]預算明細!#REF!</definedName>
    <definedName name="_34w1_" localSheetId="6">[19]預算明細!#REF!</definedName>
    <definedName name="_34w1_">[19]預算明細!#REF!</definedName>
    <definedName name="_35k1_" localSheetId="6">[13]單價2!#REF!</definedName>
    <definedName name="_35k1_">[13]單價2!#REF!</definedName>
    <definedName name="_35w2_" localSheetId="6">[18]預算明細!#REF!</definedName>
    <definedName name="_35w2_">[18]預算明細!#REF!</definedName>
    <definedName name="_36a1_" localSheetId="6">#REF!</definedName>
    <definedName name="_36a1_">#REF!</definedName>
    <definedName name="_36w3_" localSheetId="6">[18]預算明細!#REF!</definedName>
    <definedName name="_36w3_">[18]預算明細!#REF!</definedName>
    <definedName name="_37w4_" localSheetId="6">[18]預算明細!#REF!</definedName>
    <definedName name="_37w4_">[18]預算明細!#REF!</definedName>
    <definedName name="_38x4_" localSheetId="6">[18]預算明細!#REF!</definedName>
    <definedName name="_38x4_">[18]預算明細!#REF!</definedName>
    <definedName name="_39z3_" localSheetId="6">[18]預算明細!#REF!</definedName>
    <definedName name="_39z3_">[18]預算明細!#REF!</definedName>
    <definedName name="_3a1_" localSheetId="6" hidden="1">'[7]單價分析表(1-11)'!#REF!</definedName>
    <definedName name="_3a1_" hidden="1">'[7]單價分析表(1-11)'!#REF!</definedName>
    <definedName name="_3S" localSheetId="6" hidden="1">'[12]單價分析表(1-11)'!#REF!</definedName>
    <definedName name="_3S" hidden="1">'[12]單價分析表(1-11)'!#REF!</definedName>
    <definedName name="_4_0_0SU" localSheetId="6">[15]單價2!#REF!</definedName>
    <definedName name="_4_0_0SU">[15]單價2!#REF!</definedName>
    <definedName name="_42a111_" localSheetId="6">[20]預算明細!#REF!</definedName>
    <definedName name="_42a111_">[20]預算明細!#REF!</definedName>
    <definedName name="_44a1111_" localSheetId="6">#REF!</definedName>
    <definedName name="_44a1111_">#REF!</definedName>
    <definedName name="_4a111_" localSheetId="6">[20]預算明細!#REF!</definedName>
    <definedName name="_4a111_">[20]預算明細!#REF!</definedName>
    <definedName name="_4a2_" localSheetId="6">[8]工程預算書!#REF!</definedName>
    <definedName name="_4a2_">[8]工程預算書!#REF!</definedName>
    <definedName name="_4S1_" localSheetId="6">#REF!</definedName>
    <definedName name="_4S1_">#REF!</definedName>
    <definedName name="_50a12_" localSheetId="6">[20]預算明細!#REF!</definedName>
    <definedName name="_50a12_">[20]預算明細!#REF!</definedName>
    <definedName name="_50cm∮水泥管及埋設" localSheetId="6">#REF!</definedName>
    <definedName name="_50cm∮水泥管及埋設">#REF!</definedName>
    <definedName name="_56a2_" localSheetId="6">[18]預算明細!#REF!</definedName>
    <definedName name="_56a2_">[18]預算明細!#REF!</definedName>
    <definedName name="_5a1_" localSheetId="6" hidden="1">'[7]單價分析表(1-11)'!#REF!</definedName>
    <definedName name="_5a1_" hidden="1">'[7]單價分析表(1-11)'!#REF!</definedName>
    <definedName name="_5a1111_" localSheetId="6">#REF!</definedName>
    <definedName name="_5a1111_">#REF!</definedName>
    <definedName name="_5a3_" localSheetId="6">[9]工程預算書!#REF!</definedName>
    <definedName name="_5a3_">[9]工程預算書!#REF!</definedName>
    <definedName name="_5k1_" localSheetId="6">[13]單價2!#REF!</definedName>
    <definedName name="_5k1_">[13]單價2!#REF!</definedName>
    <definedName name="_5S2_" localSheetId="6">#REF!</definedName>
    <definedName name="_5S2_">#REF!</definedName>
    <definedName name="_6_?" localSheetId="6">'[1]R&amp;C&amp;T'!#REF!</definedName>
    <definedName name="_6_?">'[1]R&amp;C&amp;T'!#REF!</definedName>
    <definedName name="_6_0" localSheetId="6">[15]單價2!#REF!</definedName>
    <definedName name="_6_0">[15]單價2!#REF!</definedName>
    <definedName name="_62a3_" localSheetId="6">[18]預算明細!#REF!</definedName>
    <definedName name="_62a3_">[18]預算明細!#REF!</definedName>
    <definedName name="_68a4_" localSheetId="6">[19]預算明細!#REF!</definedName>
    <definedName name="_68a4_">[19]預算明細!#REF!</definedName>
    <definedName name="_6a12_" localSheetId="6">[20]預算明細!#REF!</definedName>
    <definedName name="_6a12_">[20]預算明細!#REF!</definedName>
    <definedName name="_6a2_" localSheetId="6">[8]工程預算書!#REF!</definedName>
    <definedName name="_6a2_">[8]工程預算書!#REF!</definedName>
    <definedName name="_6a4_" localSheetId="6">#REF!</definedName>
    <definedName name="_6a4_">#REF!</definedName>
    <definedName name="_6S1_" localSheetId="6">#REF!</definedName>
    <definedName name="_6S1_">#REF!</definedName>
    <definedName name="_6S3_" localSheetId="6">#REF!</definedName>
    <definedName name="_6S3_">#REF!</definedName>
    <definedName name="_71aa1_" localSheetId="6" hidden="1">'[22]單價分析表(1-11)'!#REF!</definedName>
    <definedName name="_71aa1_" hidden="1">'[22]單價分析表(1-11)'!#REF!</definedName>
    <definedName name="_77b6_" localSheetId="6">[18]預算明細!#REF!</definedName>
    <definedName name="_77b6_">[18]預算明細!#REF!</definedName>
    <definedName name="_7a2_" localSheetId="6">[18]預算明細!#REF!</definedName>
    <definedName name="_7a2_">[18]預算明細!#REF!</definedName>
    <definedName name="_7a3_" localSheetId="6">[9]工程預算書!#REF!</definedName>
    <definedName name="_7a3_">[9]工程預算書!#REF!</definedName>
    <definedName name="_7a4_" localSheetId="6">#REF!</definedName>
    <definedName name="_7a4_">#REF!</definedName>
    <definedName name="_7a6_" localSheetId="6">#REF!</definedName>
    <definedName name="_7a6_">#REF!</definedName>
    <definedName name="_80cm連續壁施工費_L_35" localSheetId="6">[23]單價分析!#REF!</definedName>
    <definedName name="_80cm連續壁施工費_L_35">[23]單價分析!#REF!</definedName>
    <definedName name="_83b7_" localSheetId="6">[18]預算明細!#REF!</definedName>
    <definedName name="_83b7_">[18]預算明細!#REF!</definedName>
    <definedName name="_89d4_" localSheetId="6">[18]預算明細!#REF!</definedName>
    <definedName name="_89d4_">[18]預算明細!#REF!</definedName>
    <definedName name="_8a3_" localSheetId="6">[18]預算明細!#REF!</definedName>
    <definedName name="_8a3_">[18]預算明細!#REF!</definedName>
    <definedName name="_8a4_" localSheetId="6">#REF!</definedName>
    <definedName name="_8a4_">#REF!</definedName>
    <definedName name="_8cr1_" localSheetId="6">[10]工程預算書!#REF!</definedName>
    <definedName name="_8cr1_">[10]工程預算書!#REF!</definedName>
    <definedName name="_9_0_S" localSheetId="6" hidden="1">'[12]單價分析表(1-11)'!#REF!</definedName>
    <definedName name="_9_0_S" hidden="1">'[12]單價分析表(1-11)'!#REF!</definedName>
    <definedName name="_90cm∮水泥管及埋設" localSheetId="6">#REF!</definedName>
    <definedName name="_90cm∮水泥管及埋設">#REF!</definedName>
    <definedName name="_95d5_" localSheetId="6">[18]預算明細!#REF!</definedName>
    <definedName name="_95d5_">[18]預算明細!#REF!</definedName>
    <definedName name="_98dd1_" localSheetId="6" hidden="1">'[22]單價分析表(1-11)'!#REF!</definedName>
    <definedName name="_98dd1_" hidden="1">'[22]單價分析表(1-11)'!#REF!</definedName>
    <definedName name="_9a4_" localSheetId="6">#REF!</definedName>
    <definedName name="_9a4_">#REF!</definedName>
    <definedName name="_9a6_" localSheetId="6">#REF!</definedName>
    <definedName name="_9a6_">#REF!</definedName>
    <definedName name="_9S" localSheetId="6" hidden="1">'[12]單價分析表(1-11)'!#REF!</definedName>
    <definedName name="_9S" hidden="1">'[12]單價分析表(1-11)'!#REF!</definedName>
    <definedName name="_9S2_" localSheetId="6">#REF!</definedName>
    <definedName name="_9S2_">#REF!</definedName>
    <definedName name="_a1" localSheetId="6" hidden="1">'[7]單價分析表(1-11)'!#REF!</definedName>
    <definedName name="_a1" hidden="1">'[7]單價分析表(1-11)'!#REF!</definedName>
    <definedName name="_a2" localSheetId="6">[8]工程預算書!#REF!</definedName>
    <definedName name="_a2">[8]工程預算書!#REF!</definedName>
    <definedName name="_a3" localSheetId="6">[9]工程預算書!#REF!</definedName>
    <definedName name="_a3">[9]工程預算書!#REF!</definedName>
    <definedName name="_a4" localSheetId="6">#REF!</definedName>
    <definedName name="_a4">#REF!</definedName>
    <definedName name="_a6" localSheetId="6">#REF!</definedName>
    <definedName name="_a6">#REF!</definedName>
    <definedName name="_aaa1" localSheetId="6">#REF!</definedName>
    <definedName name="_aaa1">#REF!</definedName>
    <definedName name="_aaa2" localSheetId="6">#REF!</definedName>
    <definedName name="_aaa2">#REF!</definedName>
    <definedName name="_ast1" localSheetId="6">#REF!</definedName>
    <definedName name="_ast1">#REF!</definedName>
    <definedName name="_asw1" localSheetId="2">[0]!SetDate()</definedName>
    <definedName name="_asw1" localSheetId="6">[0]!SetDate()</definedName>
    <definedName name="_asw1">[0]!SetDate()</definedName>
    <definedName name="_bbb1" localSheetId="6">#REF!</definedName>
    <definedName name="_bbb1">#REF!</definedName>
    <definedName name="_BEN1" localSheetId="6">#REF!</definedName>
    <definedName name="_BEN1">#REF!</definedName>
    <definedName name="_c1" localSheetId="6">[24]計算工作表!#REF!</definedName>
    <definedName name="_c1">[24]計算工作表!#REF!</definedName>
    <definedName name="_CCC3" localSheetId="6">#REF!</definedName>
    <definedName name="_CCC3">#REF!</definedName>
    <definedName name="_CON140" localSheetId="6">#REF!</definedName>
    <definedName name="_CON140">#REF!</definedName>
    <definedName name="_CON210" localSheetId="6">#REF!</definedName>
    <definedName name="_CON210">#REF!</definedName>
    <definedName name="_cr1" localSheetId="6">[10]工程預算書!#REF!</definedName>
    <definedName name="_cr1">[10]工程預算書!#REF!</definedName>
    <definedName name="_CRS1" localSheetId="6">#REF!</definedName>
    <definedName name="_CRS1">#REF!</definedName>
    <definedName name="_FFF3" localSheetId="6">#REF!</definedName>
    <definedName name="_FFF3">#REF!</definedName>
    <definedName name="_Fill" localSheetId="6" hidden="1">#REF!</definedName>
    <definedName name="_Fill" hidden="1">#REF!</definedName>
    <definedName name="_xlnm._FilterDatabase" localSheetId="3" hidden="1">材料整理!$E$1:$E$111</definedName>
    <definedName name="_xlnm._FilterDatabase" localSheetId="4" hidden="1">表3_元件數量計算表!$B$6:$B$93</definedName>
    <definedName name="_xlnm._FilterDatabase" localSheetId="6" hidden="1">#REF!</definedName>
    <definedName name="_xlnm._FilterDatabase" hidden="1">#REF!</definedName>
    <definedName name="_g1" localSheetId="6">[24]計算工作表!#REF!</definedName>
    <definedName name="_g1">[24]計算工作表!#REF!</definedName>
    <definedName name="_g2" localSheetId="6">[24]計算工作表!#REF!</definedName>
    <definedName name="_g2">[24]計算工作表!#REF!</definedName>
    <definedName name="_GEA1" localSheetId="6">#REF!</definedName>
    <definedName name="_GEA1">#REF!</definedName>
    <definedName name="_gea2" localSheetId="6">#REF!</definedName>
    <definedName name="_gea2">#REF!</definedName>
    <definedName name="_GGA1" localSheetId="6">#REF!</definedName>
    <definedName name="_GGA1">#REF!</definedName>
    <definedName name="_GGG1" localSheetId="6">#REF!</definedName>
    <definedName name="_GGG1">#REF!</definedName>
    <definedName name="_GGG2" localSheetId="6">#REF!</definedName>
    <definedName name="_GGG2">#REF!</definedName>
    <definedName name="_GGG21" localSheetId="6">#REF!</definedName>
    <definedName name="_GGG21">#REF!</definedName>
    <definedName name="_GGG3" localSheetId="6">#REF!</definedName>
    <definedName name="_GGG3">#REF!</definedName>
    <definedName name="_GGG4" localSheetId="6">#REF!</definedName>
    <definedName name="_GGG4">#REF!</definedName>
    <definedName name="_GGG5" localSheetId="6">#REF!</definedName>
    <definedName name="_GGG5">#REF!</definedName>
    <definedName name="_j123" localSheetId="6">[24]計算工作表!#REF!</definedName>
    <definedName name="_j123">[24]計算工作表!#REF!</definedName>
    <definedName name="_j129" localSheetId="6">[24]計算工作表!#REF!</definedName>
    <definedName name="_j129">[24]計算工作表!#REF!</definedName>
    <definedName name="_k1" localSheetId="6">[13]單價2!#REF!</definedName>
    <definedName name="_k1">[13]單價2!#REF!</definedName>
    <definedName name="_ke1" localSheetId="6" hidden="1">'[3]單價分析表(1-11)'!#REF!</definedName>
    <definedName name="_ke1" hidden="1">'[3]單價分析表(1-11)'!#REF!</definedName>
    <definedName name="_Key1" localSheetId="6" hidden="1">'[3]單價分析表(1-11)'!#REF!</definedName>
    <definedName name="_Key1" hidden="1">'[3]單價分析表(1-11)'!#REF!</definedName>
    <definedName name="_Key2" hidden="1">[25]AC!$O$13</definedName>
    <definedName name="_key222" localSheetId="6" hidden="1">'[4]單價分析表(1-11)'!#REF!</definedName>
    <definedName name="_key222" hidden="1">'[4]單價分析表(1-11)'!#REF!</definedName>
    <definedName name="_key3" localSheetId="6" hidden="1">'[26]單價分析表(1-11)'!#REF!</definedName>
    <definedName name="_key3" hidden="1">'[26]單價分析表(1-11)'!#REF!</definedName>
    <definedName name="_key333" localSheetId="6" hidden="1">'[26]單價分析表(1-11)'!#REF!</definedName>
    <definedName name="_key333" hidden="1">'[26]單價分析表(1-11)'!#REF!</definedName>
    <definedName name="_kk1" localSheetId="6" hidden="1">'[5]單價分析表(1-11)'!#REF!</definedName>
    <definedName name="_kk1" hidden="1">'[5]單價分析表(1-11)'!#REF!</definedName>
    <definedName name="_kkk7" localSheetId="6">#REF!</definedName>
    <definedName name="_kkk7">#REF!</definedName>
    <definedName name="_lA1" localSheetId="6">#REF!</definedName>
    <definedName name="_lA1">#REF!</definedName>
    <definedName name="_MC70" localSheetId="6">#REF!</definedName>
    <definedName name="_MC70">#REF!</definedName>
    <definedName name="_MID2" localSheetId="6">[27]Sheet1!#REF!</definedName>
    <definedName name="_MID2">[27]Sheet1!#REF!</definedName>
    <definedName name="_MID3" localSheetId="6">[27]Sheet1!#REF!</definedName>
    <definedName name="_MID3">[27]Sheet1!#REF!</definedName>
    <definedName name="_Order1" hidden="1">255</definedName>
    <definedName name="_Order2" hidden="1">1</definedName>
    <definedName name="_pc140" localSheetId="6">#REF!</definedName>
    <definedName name="_pc140">#REF!</definedName>
    <definedName name="_PC2000" localSheetId="6">#REF!</definedName>
    <definedName name="_PC2000">#REF!</definedName>
    <definedName name="_pc210" localSheetId="6">#REF!</definedName>
    <definedName name="_pc210">#REF!</definedName>
    <definedName name="_PC3000" localSheetId="6">#REF!</definedName>
    <definedName name="_PC3000">#REF!</definedName>
    <definedName name="_ppt2">[16]總表!$Y$63:$AE$181</definedName>
    <definedName name="_pre1">[16]總表!$L$19:$L$56</definedName>
    <definedName name="_pre2">[17]總表!$S$19:$S$56</definedName>
    <definedName name="_pre3">[17]總表!$Z$19:$Z$56</definedName>
    <definedName name="_qq1" localSheetId="2">[0]!SetDate()</definedName>
    <definedName name="_qq1" localSheetId="6">[0]!SetDate()</definedName>
    <definedName name="_qq1">[0]!SetDate()</definedName>
    <definedName name="_qq2" localSheetId="2">[0]!SetDate()</definedName>
    <definedName name="_qq2" localSheetId="6">[0]!SetDate()</definedName>
    <definedName name="_qq2">[0]!SetDate()</definedName>
    <definedName name="_qq3" localSheetId="2">[0]!SetDate()</definedName>
    <definedName name="_qq3" localSheetId="6">[0]!SetDate()</definedName>
    <definedName name="_qq3">[0]!SetDate()</definedName>
    <definedName name="_qq5" localSheetId="2">[0]!SetDate()</definedName>
    <definedName name="_qq5" localSheetId="6">[0]!SetDate()</definedName>
    <definedName name="_qq5">[0]!SetDate()</definedName>
    <definedName name="_Regression_Int" hidden="1">1</definedName>
    <definedName name="_Regression_Out" localSheetId="6" hidden="1">#REF!</definedName>
    <definedName name="_Regression_Out" hidden="1">#REF!</definedName>
    <definedName name="_Regression_X" localSheetId="6" hidden="1">#REF!</definedName>
    <definedName name="_Regression_X" hidden="1">#REF!</definedName>
    <definedName name="_Regression_Y" localSheetId="6" hidden="1">#REF!</definedName>
    <definedName name="_Regression_Y" hidden="1">#REF!</definedName>
    <definedName name="_S1" localSheetId="6">#REF!</definedName>
    <definedName name="_S1">#REF!</definedName>
    <definedName name="_S2" localSheetId="6">#REF!</definedName>
    <definedName name="_S2">#REF!</definedName>
    <definedName name="_S3" localSheetId="6">#REF!</definedName>
    <definedName name="_S3">#REF!</definedName>
    <definedName name="_s4" localSheetId="6">[24]計算工作表!#REF!</definedName>
    <definedName name="_s4">[24]計算工作表!#REF!</definedName>
    <definedName name="_Sort" localSheetId="6" hidden="1">'[3]單價分析表(1-11)'!#REF!</definedName>
    <definedName name="_Sort" hidden="1">'[3]單價分析表(1-11)'!#REF!</definedName>
    <definedName name="_sort2" localSheetId="6" hidden="1">'[2]單價分析表(1-11)'!#REF!</definedName>
    <definedName name="_sort2" hidden="1">'[2]單價分析表(1-11)'!#REF!</definedName>
    <definedName name="_ss1" localSheetId="6" hidden="1">'[5]單價分析表(1-11)'!#REF!</definedName>
    <definedName name="_ss1" hidden="1">'[5]單價分析表(1-11)'!#REF!</definedName>
    <definedName name="_ste1" localSheetId="6">#REF!</definedName>
    <definedName name="_ste1">#REF!</definedName>
    <definedName name="_su1" localSheetId="6">#REF!</definedName>
    <definedName name="_su1">#REF!</definedName>
    <definedName name="_su2" localSheetId="6">#REF!</definedName>
    <definedName name="_su2">#REF!</definedName>
    <definedName name="_su3" localSheetId="6">#REF!</definedName>
    <definedName name="_su3">#REF!</definedName>
    <definedName name="_su4" localSheetId="6">#REF!</definedName>
    <definedName name="_su4">#REF!</definedName>
    <definedName name="_SW01" localSheetId="6">[27]Sheet1!#REF!</definedName>
    <definedName name="_SW01">[27]Sheet1!#REF!</definedName>
    <definedName name="_SW02" localSheetId="6">[27]Sheet1!#REF!</definedName>
    <definedName name="_SW02">[27]Sheet1!#REF!</definedName>
    <definedName name="_Table1_In1" localSheetId="6" hidden="1">#REF!</definedName>
    <definedName name="_Table1_In1" hidden="1">#REF!</definedName>
    <definedName name="_Table1_Out" localSheetId="6" hidden="1">#REF!</definedName>
    <definedName name="_Table1_Out" hidden="1">#REF!</definedName>
    <definedName name="_TAC1" localSheetId="6">#REF!</definedName>
    <definedName name="_TAC1">#REF!</definedName>
    <definedName name="_TAC2" localSheetId="6">#REF!</definedName>
    <definedName name="_TAC2">#REF!</definedName>
    <definedName name="_TE1" localSheetId="6">#REF!</definedName>
    <definedName name="_TE1">#REF!</definedName>
    <definedName name="_TE2" localSheetId="6">#REF!</definedName>
    <definedName name="_TE2">#REF!</definedName>
    <definedName name="_TE3" localSheetId="6">#REF!</definedName>
    <definedName name="_TE3">#REF!</definedName>
    <definedName name="_TE4" localSheetId="6">#REF!</definedName>
    <definedName name="_TE4">#REF!</definedName>
    <definedName name="_TE5" localSheetId="6">#REF!</definedName>
    <definedName name="_TE5">#REF!</definedName>
    <definedName name="_tt1" localSheetId="6">[6]工程預算書!#REF!</definedName>
    <definedName name="_tt1">[6]工程預算書!#REF!</definedName>
    <definedName name="_tt2" localSheetId="6">[6]工程預算書!#REF!</definedName>
    <definedName name="_tt2">[6]工程預算書!#REF!</definedName>
    <definedName name="_TTT1" localSheetId="6">#REF!</definedName>
    <definedName name="_TTT1">#REF!</definedName>
    <definedName name="_TTT21" localSheetId="6">#REF!</definedName>
    <definedName name="_TTT21">#REF!</definedName>
    <definedName name="_UUU1" localSheetId="6">#REF!</definedName>
    <definedName name="_UUU1">#REF!</definedName>
    <definedName name="_UUU2" localSheetId="6">#REF!</definedName>
    <definedName name="_UUU2">#REF!</definedName>
    <definedName name="_UUU21" localSheetId="6">#REF!</definedName>
    <definedName name="_UUU21">#REF!</definedName>
    <definedName name="_UUU22" localSheetId="6">#REF!</definedName>
    <definedName name="_UUU22">#REF!</definedName>
    <definedName name="_w1" localSheetId="6">[24]計算工作表!#REF!</definedName>
    <definedName name="_w1">[24]計算工作表!#REF!</definedName>
    <definedName name="∮10cm鄰房補強微型椿_L_10M" localSheetId="6">[23]單價分析!#REF!</definedName>
    <definedName name="∮10cm鄰房補強微型椿_L_10M">[23]單價分析!#REF!</definedName>
    <definedName name="A" localSheetId="6">#REF!</definedName>
    <definedName name="A">#REF!</definedName>
    <definedName name="a.wkr.pro" localSheetId="1">[28]預算明細表!#REF!</definedName>
    <definedName name="a.wkr.pro" localSheetId="2">[28]預算明細表!#REF!</definedName>
    <definedName name="a.wkr.pro" localSheetId="4">[28]預算明細表!#REF!</definedName>
    <definedName name="a.wkr.pro" localSheetId="5">[28]預算明細表!#REF!</definedName>
    <definedName name="a.wkr.pro" localSheetId="6">[28]預算明細表!#REF!</definedName>
    <definedName name="a.wkr.pro" localSheetId="7">[28]預算明細表!#REF!</definedName>
    <definedName name="a.wkr.pro">[28]預算明細表!#REF!</definedName>
    <definedName name="A1?" localSheetId="6">#REF!</definedName>
    <definedName name="A1?">#REF!</definedName>
    <definedName name="A1_">#N/A</definedName>
    <definedName name="AA" localSheetId="6">[1]U!#REF!</definedName>
    <definedName name="AA">[1]U!#REF!</definedName>
    <definedName name="aaa" localSheetId="6">#REF!</definedName>
    <definedName name="aaa">#REF!</definedName>
    <definedName name="aaaa" localSheetId="6" hidden="1">'[12]單價分析表(1-11)'!#REF!</definedName>
    <definedName name="aaaa" hidden="1">'[12]單價分析表(1-11)'!#REF!</definedName>
    <definedName name="aaaaa25" localSheetId="6">#REF!</definedName>
    <definedName name="aaaaa25">#REF!</definedName>
    <definedName name="AAFY" localSheetId="6">[17]總表!#REF!</definedName>
    <definedName name="AAFY">[17]總表!#REF!</definedName>
    <definedName name="acc.a.eva" localSheetId="1">#REF!</definedName>
    <definedName name="acc.a.eva" localSheetId="2">#REF!</definedName>
    <definedName name="acc.a.eva" localSheetId="4">#REF!</definedName>
    <definedName name="acc.a.eva" localSheetId="5">#REF!</definedName>
    <definedName name="acc.a.eva" localSheetId="6">#REF!</definedName>
    <definedName name="acc.a.eva" localSheetId="7">#REF!</definedName>
    <definedName name="acc.a.eva">#REF!</definedName>
    <definedName name="ACC.A.EVAL" localSheetId="1">#REF!</definedName>
    <definedName name="ACC.A.EVAL" localSheetId="2">#REF!</definedName>
    <definedName name="ACC.A.EVAL" localSheetId="4">#REF!</definedName>
    <definedName name="ACC.A.EVAL" localSheetId="5">#REF!</definedName>
    <definedName name="ACC.A.EVAL" localSheetId="6">#REF!</definedName>
    <definedName name="ACC.A.EVAL" localSheetId="7">#REF!</definedName>
    <definedName name="ACC.A.EVAL">#REF!</definedName>
    <definedName name="acc.ae">[29]結算明細!$I$20</definedName>
    <definedName name="acc.b" localSheetId="1">[30]預算明細表!#REF!</definedName>
    <definedName name="acc.b" localSheetId="2">[30]預算明細表!#REF!</definedName>
    <definedName name="acc.b" localSheetId="4">[30]預算明細表!#REF!</definedName>
    <definedName name="acc.b" localSheetId="5">[30]預算明細表!#REF!</definedName>
    <definedName name="acc.b" localSheetId="6">[30]預算明細表!#REF!</definedName>
    <definedName name="acc.b" localSheetId="7">[30]預算明細表!#REF!</definedName>
    <definedName name="acc.b">[30]預算明細表!#REF!</definedName>
    <definedName name="acc.ce" localSheetId="1">[30]預算明細表!#REF!</definedName>
    <definedName name="acc.ce" localSheetId="2">[30]預算明細表!#REF!</definedName>
    <definedName name="acc.ce" localSheetId="4">[30]預算明細表!#REF!</definedName>
    <definedName name="acc.ce" localSheetId="5">[30]預算明細表!#REF!</definedName>
    <definedName name="acc.ce" localSheetId="6">[30]預算明細表!#REF!</definedName>
    <definedName name="acc.ce" localSheetId="7">[30]預算明細表!#REF!</definedName>
    <definedName name="acc.ce">[30]預算明細表!#REF!</definedName>
    <definedName name="acc.mat" localSheetId="5">[30]預算明細表!#REF!</definedName>
    <definedName name="acc.mat" localSheetId="6">[30]預算明細表!#REF!</definedName>
    <definedName name="acc.mat" localSheetId="7">[30]預算明細表!#REF!</definedName>
    <definedName name="acc.mat">[30]預算明細表!#REF!</definedName>
    <definedName name="acc.stl" localSheetId="1">[30]預算明細表!#REF!</definedName>
    <definedName name="acc.stl" localSheetId="2">[30]預算明細表!#REF!</definedName>
    <definedName name="acc.stl" localSheetId="4">[30]預算明細表!#REF!</definedName>
    <definedName name="acc.stl" localSheetId="5">[30]預算明細表!#REF!</definedName>
    <definedName name="acc.stl" localSheetId="6">[30]預算明細表!#REF!</definedName>
    <definedName name="acc.stl" localSheetId="7">[30]預算明細表!#REF!</definedName>
    <definedName name="acc.stl">[30]預算明細表!#REF!</definedName>
    <definedName name="ACMH" localSheetId="6">#REF!</definedName>
    <definedName name="ACMH">#REF!</definedName>
    <definedName name="ACMI" localSheetId="6">#REF!</definedName>
    <definedName name="ACMI">#REF!</definedName>
    <definedName name="ac表" localSheetId="6">#REF!</definedName>
    <definedName name="ac表">#REF!</definedName>
    <definedName name="AC路面10" localSheetId="6">#REF!</definedName>
    <definedName name="AC路面10">#REF!</definedName>
    <definedName name="ad" localSheetId="6" hidden="1">'[31]單價分析表(1-11)'!#REF!</definedName>
    <definedName name="ad" hidden="1">'[31]單價分析表(1-11)'!#REF!</definedName>
    <definedName name="adytr" localSheetId="6" hidden="1">[32]Sheet2!#REF!</definedName>
    <definedName name="adytr" hidden="1">[32]Sheet2!#REF!</definedName>
    <definedName name="ae" localSheetId="6">#REF!</definedName>
    <definedName name="ae">#REF!</definedName>
    <definedName name="AL" localSheetId="6">#REF!</definedName>
    <definedName name="AL">#REF!</definedName>
    <definedName name="amt.3∮P.V.C.洩水管">'[33]數量(含竣工)'!$E$67</definedName>
    <definedName name="amt.3∮T型排水管">'[33]數量(含竣工)'!$E$68</definedName>
    <definedName name="amt.area1" localSheetId="1">#REF!</definedName>
    <definedName name="amt.area1" localSheetId="2">#REF!</definedName>
    <definedName name="amt.area1" localSheetId="4">#REF!</definedName>
    <definedName name="amt.area1" localSheetId="5">#REF!</definedName>
    <definedName name="amt.area1" localSheetId="6">#REF!</definedName>
    <definedName name="amt.area1" localSheetId="7">#REF!</definedName>
    <definedName name="amt.area1">#REF!</definedName>
    <definedName name="amt.area2" localSheetId="1">#REF!</definedName>
    <definedName name="amt.area2" localSheetId="2">#REF!</definedName>
    <definedName name="amt.area2" localSheetId="4">#REF!</definedName>
    <definedName name="amt.area2" localSheetId="5">#REF!</definedName>
    <definedName name="amt.area2" localSheetId="6">#REF!</definedName>
    <definedName name="amt.area2" localSheetId="7">#REF!</definedName>
    <definedName name="amt.area2">#REF!</definedName>
    <definedName name="amt.avg.dis" localSheetId="1">#REF!</definedName>
    <definedName name="amt.avg.dis" localSheetId="2">#REF!</definedName>
    <definedName name="amt.avg.dis" localSheetId="4">#REF!</definedName>
    <definedName name="amt.avg.dis" localSheetId="5">#REF!</definedName>
    <definedName name="amt.avg.dis" localSheetId="6">#REF!</definedName>
    <definedName name="amt.avg.dis" localSheetId="7">#REF!</definedName>
    <definedName name="amt.avg.dis">#REF!</definedName>
    <definedName name="amt.bckfil" localSheetId="1">#REF!</definedName>
    <definedName name="amt.bckfil" localSheetId="2">#REF!</definedName>
    <definedName name="amt.bckfil" localSheetId="4">#REF!</definedName>
    <definedName name="amt.bckfil" localSheetId="5">#REF!</definedName>
    <definedName name="amt.bckfil" localSheetId="6">#REF!</definedName>
    <definedName name="amt.bckfil" localSheetId="7">#REF!</definedName>
    <definedName name="amt.bckfil">#REF!</definedName>
    <definedName name="amt.brush" localSheetId="1">#REF!</definedName>
    <definedName name="amt.brush" localSheetId="2">#REF!</definedName>
    <definedName name="amt.brush" localSheetId="4">#REF!</definedName>
    <definedName name="amt.brush" localSheetId="5">#REF!</definedName>
    <definedName name="amt.brush" localSheetId="6">#REF!</definedName>
    <definedName name="amt.brush" localSheetId="7">#REF!</definedName>
    <definedName name="amt.brush">#REF!</definedName>
    <definedName name="amt.cem" localSheetId="1">[30]材料表!#REF!</definedName>
    <definedName name="amt.cem" localSheetId="2">[30]材料表!#REF!</definedName>
    <definedName name="amt.cem" localSheetId="4">[30]材料表!#REF!</definedName>
    <definedName name="amt.cem" localSheetId="5">[30]材料表!#REF!</definedName>
    <definedName name="amt.cem" localSheetId="6">[30]材料表!#REF!</definedName>
    <definedName name="amt.cem" localSheetId="7">[30]材料表!#REF!</definedName>
    <definedName name="amt.cem">[30]材料表!#REF!</definedName>
    <definedName name="amt.cobbox2" localSheetId="1">#REF!</definedName>
    <definedName name="amt.cobbox2" localSheetId="2">#REF!</definedName>
    <definedName name="amt.cobbox2" localSheetId="4">#REF!</definedName>
    <definedName name="amt.cobbox2" localSheetId="5">#REF!</definedName>
    <definedName name="amt.cobbox2" localSheetId="6">#REF!</definedName>
    <definedName name="amt.cobbox2" localSheetId="7">#REF!</definedName>
    <definedName name="amt.cobbox2">#REF!</definedName>
    <definedName name="amt.con140" localSheetId="1">#REF!</definedName>
    <definedName name="amt.con140" localSheetId="2">#REF!</definedName>
    <definedName name="amt.con140" localSheetId="4">#REF!</definedName>
    <definedName name="amt.con140" localSheetId="5">#REF!</definedName>
    <definedName name="amt.con140" localSheetId="6">#REF!</definedName>
    <definedName name="amt.con140" localSheetId="7">#REF!</definedName>
    <definedName name="amt.con140">#REF!</definedName>
    <definedName name="amt.con210" localSheetId="1">#REF!</definedName>
    <definedName name="amt.con210" localSheetId="2">#REF!</definedName>
    <definedName name="amt.con210" localSheetId="4">#REF!</definedName>
    <definedName name="amt.con210" localSheetId="5">#REF!</definedName>
    <definedName name="amt.con210" localSheetId="6">#REF!</definedName>
    <definedName name="amt.con210" localSheetId="7">#REF!</definedName>
    <definedName name="amt.con210">#REF!</definedName>
    <definedName name="amt.crs.dtch" localSheetId="1">#REF!</definedName>
    <definedName name="amt.crs.dtch" localSheetId="2">#REF!</definedName>
    <definedName name="amt.crs.dtch" localSheetId="4">#REF!</definedName>
    <definedName name="amt.crs.dtch" localSheetId="5">#REF!</definedName>
    <definedName name="amt.crs.dtch" localSheetId="6">#REF!</definedName>
    <definedName name="amt.crs.dtch" localSheetId="7">#REF!</definedName>
    <definedName name="amt.crs.dtch">#REF!</definedName>
    <definedName name="amt.cut" localSheetId="1">#REF!</definedName>
    <definedName name="amt.cut" localSheetId="2">#REF!</definedName>
    <definedName name="amt.cut" localSheetId="4">#REF!</definedName>
    <definedName name="amt.cut" localSheetId="5">#REF!</definedName>
    <definedName name="amt.cut" localSheetId="6">#REF!</definedName>
    <definedName name="amt.cut" localSheetId="7">#REF!</definedName>
    <definedName name="amt.cut">#REF!</definedName>
    <definedName name="amt.cut1" localSheetId="1">#REF!</definedName>
    <definedName name="amt.cut1" localSheetId="2">#REF!</definedName>
    <definedName name="amt.cut1" localSheetId="4">#REF!</definedName>
    <definedName name="amt.cut1" localSheetId="5">#REF!</definedName>
    <definedName name="amt.cut1" localSheetId="6">#REF!</definedName>
    <definedName name="amt.cut1" localSheetId="7">#REF!</definedName>
    <definedName name="amt.cut1">#REF!</definedName>
    <definedName name="amt.discard" localSheetId="1">#REF!</definedName>
    <definedName name="amt.discard" localSheetId="2">#REF!</definedName>
    <definedName name="amt.discard" localSheetId="4">#REF!</definedName>
    <definedName name="amt.discard" localSheetId="5">#REF!</definedName>
    <definedName name="amt.discard" localSheetId="6">#REF!</definedName>
    <definedName name="amt.discard" localSheetId="7">#REF!</definedName>
    <definedName name="amt.discard">#REF!</definedName>
    <definedName name="amt.dwn.dtch" localSheetId="1">#REF!</definedName>
    <definedName name="amt.dwn.dtch" localSheetId="2">#REF!</definedName>
    <definedName name="amt.dwn.dtch" localSheetId="4">#REF!</definedName>
    <definedName name="amt.dwn.dtch" localSheetId="5">#REF!</definedName>
    <definedName name="amt.dwn.dtch" localSheetId="6">#REF!</definedName>
    <definedName name="amt.dwn.dtch" localSheetId="7">#REF!</definedName>
    <definedName name="amt.dwn.dtch">#REF!</definedName>
    <definedName name="amt.formwk" localSheetId="1">#REF!</definedName>
    <definedName name="amt.formwk" localSheetId="2">#REF!</definedName>
    <definedName name="amt.formwk" localSheetId="4">#REF!</definedName>
    <definedName name="amt.formwk" localSheetId="5">#REF!</definedName>
    <definedName name="amt.formwk" localSheetId="6">#REF!</definedName>
    <definedName name="amt.formwk" localSheetId="7">#REF!</definedName>
    <definedName name="amt.formwk">#REF!</definedName>
    <definedName name="amt.gra1" localSheetId="1">#REF!</definedName>
    <definedName name="amt.gra1" localSheetId="2">#REF!</definedName>
    <definedName name="amt.gra1" localSheetId="4">#REF!</definedName>
    <definedName name="amt.gra1" localSheetId="5">#REF!</definedName>
    <definedName name="amt.gra1" localSheetId="6">#REF!</definedName>
    <definedName name="amt.gra1" localSheetId="7">#REF!</definedName>
    <definedName name="amt.gra1">#REF!</definedName>
    <definedName name="amt.gra2" localSheetId="1">#REF!</definedName>
    <definedName name="amt.gra2" localSheetId="2">#REF!</definedName>
    <definedName name="amt.gra2" localSheetId="4">#REF!</definedName>
    <definedName name="amt.gra2" localSheetId="5">#REF!</definedName>
    <definedName name="amt.gra2" localSheetId="6">#REF!</definedName>
    <definedName name="amt.gra2" localSheetId="7">#REF!</definedName>
    <definedName name="amt.gra2">#REF!</definedName>
    <definedName name="amt.grad" localSheetId="1">#REF!</definedName>
    <definedName name="amt.grad" localSheetId="2">#REF!</definedName>
    <definedName name="amt.grad" localSheetId="4">#REF!</definedName>
    <definedName name="amt.grad" localSheetId="5">#REF!</definedName>
    <definedName name="amt.grad" localSheetId="6">#REF!</definedName>
    <definedName name="amt.grad" localSheetId="7">#REF!</definedName>
    <definedName name="amt.grad">#REF!</definedName>
    <definedName name="amt.grv.fil" localSheetId="1">#REF!</definedName>
    <definedName name="amt.grv.fil" localSheetId="2">#REF!</definedName>
    <definedName name="amt.grv.fil" localSheetId="4">#REF!</definedName>
    <definedName name="amt.grv.fil" localSheetId="5">#REF!</definedName>
    <definedName name="amt.grv.fil" localSheetId="6">#REF!</definedName>
    <definedName name="amt.grv.fil" localSheetId="7">#REF!</definedName>
    <definedName name="amt.grv.fil">#REF!</definedName>
    <definedName name="amt.grv.pav" localSheetId="1">#REF!</definedName>
    <definedName name="amt.grv.pav" localSheetId="2">#REF!</definedName>
    <definedName name="amt.grv.pav" localSheetId="4">#REF!</definedName>
    <definedName name="amt.grv.pav" localSheetId="5">#REF!</definedName>
    <definedName name="amt.grv.pav" localSheetId="6">#REF!</definedName>
    <definedName name="amt.grv.pav" localSheetId="7">#REF!</definedName>
    <definedName name="amt.grv.pav">#REF!</definedName>
    <definedName name="amt.H型鋼">'[33]數量(含竣工)'!$E$57</definedName>
    <definedName name="amt.jet.area" localSheetId="1">#REF!</definedName>
    <definedName name="amt.jet.area" localSheetId="2">#REF!</definedName>
    <definedName name="amt.jet.area" localSheetId="4">#REF!</definedName>
    <definedName name="amt.jet.area" localSheetId="5">#REF!</definedName>
    <definedName name="amt.jet.area" localSheetId="6">#REF!</definedName>
    <definedName name="amt.jet.area" localSheetId="7">#REF!</definedName>
    <definedName name="amt.jet.area">#REF!</definedName>
    <definedName name="amt.keyst1" localSheetId="1">#REF!</definedName>
    <definedName name="amt.keyst1" localSheetId="2">#REF!</definedName>
    <definedName name="amt.keyst1" localSheetId="4">#REF!</definedName>
    <definedName name="amt.keyst1" localSheetId="5">#REF!</definedName>
    <definedName name="amt.keyst1" localSheetId="6">#REF!</definedName>
    <definedName name="amt.keyst1" localSheetId="7">#REF!</definedName>
    <definedName name="amt.keyst1">#REF!</definedName>
    <definedName name="amt.keyst2" localSheetId="1">#REF!</definedName>
    <definedName name="amt.keyst2" localSheetId="2">#REF!</definedName>
    <definedName name="amt.keyst2" localSheetId="4">#REF!</definedName>
    <definedName name="amt.keyst2" localSheetId="5">#REF!</definedName>
    <definedName name="amt.keyst2" localSheetId="6">#REF!</definedName>
    <definedName name="amt.keyst2" localSheetId="7">#REF!</definedName>
    <definedName name="amt.keyst2">#REF!</definedName>
    <definedName name="amt.line" localSheetId="1">#REF!</definedName>
    <definedName name="amt.line" localSheetId="2">#REF!</definedName>
    <definedName name="amt.line" localSheetId="4">#REF!</definedName>
    <definedName name="amt.line" localSheetId="5">#REF!</definedName>
    <definedName name="amt.line" localSheetId="6">#REF!</definedName>
    <definedName name="amt.line" localSheetId="7">#REF!</definedName>
    <definedName name="amt.line">#REF!</definedName>
    <definedName name="amt.paint" localSheetId="1">#REF!</definedName>
    <definedName name="amt.paint" localSheetId="2">#REF!</definedName>
    <definedName name="amt.paint" localSheetId="4">#REF!</definedName>
    <definedName name="amt.paint" localSheetId="5">#REF!</definedName>
    <definedName name="amt.paint" localSheetId="6">#REF!</definedName>
    <definedName name="amt.paint" localSheetId="7">#REF!</definedName>
    <definedName name="amt.paint">#REF!</definedName>
    <definedName name="amt.pave" localSheetId="1">#REF!</definedName>
    <definedName name="amt.pave" localSheetId="2">#REF!</definedName>
    <definedName name="amt.pave" localSheetId="4">#REF!</definedName>
    <definedName name="amt.pave" localSheetId="5">#REF!</definedName>
    <definedName name="amt.pave" localSheetId="6">#REF!</definedName>
    <definedName name="amt.pave" localSheetId="7">#REF!</definedName>
    <definedName name="amt.pave">#REF!</definedName>
    <definedName name="amt.pipe" localSheetId="1">#REF!</definedName>
    <definedName name="amt.pipe" localSheetId="2">#REF!</definedName>
    <definedName name="amt.pipe" localSheetId="4">#REF!</definedName>
    <definedName name="amt.pipe" localSheetId="5">#REF!</definedName>
    <definedName name="amt.pipe" localSheetId="6">#REF!</definedName>
    <definedName name="amt.pipe" localSheetId="7">#REF!</definedName>
    <definedName name="amt.pipe">#REF!</definedName>
    <definedName name="amt.pool" localSheetId="1">#REF!</definedName>
    <definedName name="amt.pool" localSheetId="2">#REF!</definedName>
    <definedName name="amt.pool" localSheetId="4">#REF!</definedName>
    <definedName name="amt.pool" localSheetId="5">#REF!</definedName>
    <definedName name="amt.pool" localSheetId="6">#REF!</definedName>
    <definedName name="amt.pool" localSheetId="7">#REF!</definedName>
    <definedName name="amt.pool">#REF!</definedName>
    <definedName name="amt.sformwk" localSheetId="1">#REF!</definedName>
    <definedName name="amt.sformwk" localSheetId="2">#REF!</definedName>
    <definedName name="amt.sformwk" localSheetId="4">#REF!</definedName>
    <definedName name="amt.sformwk" localSheetId="5">#REF!</definedName>
    <definedName name="amt.sformwk" localSheetId="6">#REF!</definedName>
    <definedName name="amt.sformwk" localSheetId="7">#REF!</definedName>
    <definedName name="amt.sformwk">#REF!</definedName>
    <definedName name="amt.steel" localSheetId="1">#REF!</definedName>
    <definedName name="amt.steel" localSheetId="2">#REF!</definedName>
    <definedName name="amt.steel" localSheetId="4">#REF!</definedName>
    <definedName name="amt.steel" localSheetId="5">#REF!</definedName>
    <definedName name="amt.steel" localSheetId="6">#REF!</definedName>
    <definedName name="amt.steel" localSheetId="7">#REF!</definedName>
    <definedName name="amt.steel">#REF!</definedName>
    <definedName name="amt.sub.riv" localSheetId="1">#REF!</definedName>
    <definedName name="amt.sub.riv" localSheetId="2">#REF!</definedName>
    <definedName name="amt.sub.riv" localSheetId="4">#REF!</definedName>
    <definedName name="amt.sub.riv" localSheetId="5">#REF!</definedName>
    <definedName name="amt.sub.riv" localSheetId="6">#REF!</definedName>
    <definedName name="amt.sub.riv" localSheetId="7">#REF!</definedName>
    <definedName name="amt.sub.riv">#REF!</definedName>
    <definedName name="amt.不織布">'[33]數量(含竣工)'!$E$60</definedName>
    <definedName name="amt.透層">'[33]數量(含竣工)'!$E$42</definedName>
    <definedName name="amt.黏層">'[33]數量(含竣工)'!$E$43</definedName>
    <definedName name="amt.瀝青">'[33]數量(含竣工)'!$E$41</definedName>
    <definedName name="AN" localSheetId="6">#REF!</definedName>
    <definedName name="AN">#REF!</definedName>
    <definedName name="AP" localSheetId="6">#REF!</definedName>
    <definedName name="AP">#REF!</definedName>
    <definedName name="aq" localSheetId="6" hidden="1">'[34]單價分析表(1-11)'!#REF!</definedName>
    <definedName name="aq" hidden="1">'[34]單價分析表(1-11)'!#REF!</definedName>
    <definedName name="AR">#N/A</definedName>
    <definedName name="as" localSheetId="6">[35]單價2!#REF!</definedName>
    <definedName name="as">[35]單價2!#REF!</definedName>
    <definedName name="asa" localSheetId="6">#REF!</definedName>
    <definedName name="asa">#REF!</definedName>
    <definedName name="asas" localSheetId="6">#REF!</definedName>
    <definedName name="asas">#REF!</definedName>
    <definedName name="asg" localSheetId="6">[15]單價2!#REF!</definedName>
    <definedName name="asg">[15]單價2!#REF!</definedName>
    <definedName name="asw" localSheetId="6">[36]預算明細!#REF!</definedName>
    <definedName name="asw">[36]預算明細!#REF!</definedName>
    <definedName name="AT">#N/A</definedName>
    <definedName name="aveD" localSheetId="6">#REF!</definedName>
    <definedName name="aveD">#REF!</definedName>
    <definedName name="aveH" localSheetId="6">#REF!</definedName>
    <definedName name="aveH">#REF!</definedName>
    <definedName name="awcf" localSheetId="2">[0]!SetDate()</definedName>
    <definedName name="awcf" localSheetId="6">[0]!SetDate()</definedName>
    <definedName name="awcf">[0]!SetDate()</definedName>
    <definedName name="awe" localSheetId="2">[0]!SetDate()</definedName>
    <definedName name="awe" localSheetId="6">[0]!SetDate()</definedName>
    <definedName name="awe">[0]!SetDate()</definedName>
    <definedName name="A土方" localSheetId="6">#REF!</definedName>
    <definedName name="A土方">#REF!</definedName>
    <definedName name="A板樁" localSheetId="6">#REF!</definedName>
    <definedName name="A板樁">#REF!</definedName>
    <definedName name="A假設工程" localSheetId="6">#REF!</definedName>
    <definedName name="A假設工程">#REF!</definedName>
    <definedName name="A區資料篩選" localSheetId="2">[37]!A區資料篩選</definedName>
    <definedName name="A區資料篩選" localSheetId="6">[37]!A區資料篩選</definedName>
    <definedName name="A區資料篩選">[37]!A區資料篩選</definedName>
    <definedName name="A塊石" localSheetId="6">#REF!</definedName>
    <definedName name="A塊石">#REF!</definedName>
    <definedName name="A護N" localSheetId="6">#REF!</definedName>
    <definedName name="A護N">#REF!</definedName>
    <definedName name="A護P" localSheetId="6">#REF!</definedName>
    <definedName name="A護P">#REF!</definedName>
    <definedName name="B" localSheetId="6">#REF!</definedName>
    <definedName name="B">#REF!</definedName>
    <definedName name="B1連續壁工程" localSheetId="6">#REF!</definedName>
    <definedName name="B1連續壁工程">#REF!</definedName>
    <definedName name="B2基樁工程" localSheetId="6">#REF!</definedName>
    <definedName name="B2基樁工程">#REF!</definedName>
    <definedName name="B3地盤改良工程" localSheetId="6">#REF!</definedName>
    <definedName name="B3地盤改良工程">#REF!</definedName>
    <definedName name="BASE" localSheetId="6">[14]Sheet1!#REF!</definedName>
    <definedName name="BASE">[14]Sheet1!#REF!</definedName>
    <definedName name="BASEUNIT" localSheetId="6">[14]Sheet1!#REF!</definedName>
    <definedName name="BASEUNIT">[14]Sheet1!#REF!</definedName>
    <definedName name="BB" localSheetId="6">[38]預算明細!#REF!</definedName>
    <definedName name="BB">[38]預算明細!#REF!</definedName>
    <definedName name="bbb" localSheetId="6">#REF!</definedName>
    <definedName name="bbb">#REF!</definedName>
    <definedName name="bbbb4" localSheetId="6">#REF!</definedName>
    <definedName name="bbbb4">#REF!</definedName>
    <definedName name="bc" localSheetId="6">#REF!</definedName>
    <definedName name="bc">#REF!</definedName>
    <definedName name="BN" localSheetId="6">#REF!</definedName>
    <definedName name="BN">#REF!</definedName>
    <definedName name="BP" localSheetId="6">#REF!</definedName>
    <definedName name="BP">#REF!</definedName>
    <definedName name="bp.tck0" localSheetId="5">[39]單價!$H$17</definedName>
    <definedName name="bp.tck0" localSheetId="6">[39]單價!$H$17</definedName>
    <definedName name="bp.tck0">[40]單價!$H$17</definedName>
    <definedName name="bp.tck1" localSheetId="5">[39]單價!$H$14</definedName>
    <definedName name="bp.tck1" localSheetId="6">[39]單價!$H$14</definedName>
    <definedName name="bp.tck1">[40]單價!$H$14</definedName>
    <definedName name="bp.tck3" localSheetId="5">[39]單價!$H$16</definedName>
    <definedName name="bp.tck3" localSheetId="6">[39]單價!$H$16</definedName>
    <definedName name="bp.tck3">[40]單價!$H$16</definedName>
    <definedName name="bp.wker1" localSheetId="5">[39]單價!$H$8</definedName>
    <definedName name="bp.wker1" localSheetId="6">[39]單價!$H$8</definedName>
    <definedName name="bp.wker1">[40]單價!$H$8</definedName>
    <definedName name="bp.wker3" localSheetId="5">[39]單價!$H$10</definedName>
    <definedName name="bp.wker3" localSheetId="6">[39]單價!$H$10</definedName>
    <definedName name="bp.wker3">[40]單價!$H$10</definedName>
    <definedName name="bp.wker4" localSheetId="5">[39]單價!$H$11</definedName>
    <definedName name="bp.wker4" localSheetId="6">[39]單價!$H$11</definedName>
    <definedName name="bp.wker4">[40]單價!$H$11</definedName>
    <definedName name="BROWSER">"按鈕 20"</definedName>
    <definedName name="bv" localSheetId="6">#REF!</definedName>
    <definedName name="bv">#REF!</definedName>
    <definedName name="bxc" localSheetId="6">#REF!</definedName>
    <definedName name="bxc">#REF!</definedName>
    <definedName name="B板樁" localSheetId="6">#REF!</definedName>
    <definedName name="B板樁">#REF!</definedName>
    <definedName name="B區資料篩選" localSheetId="2">[37]!B區資料篩選</definedName>
    <definedName name="B區資料篩選" localSheetId="6">[37]!B區資料篩選</definedName>
    <definedName name="B區資料篩選">[37]!B區資料篩選</definedName>
    <definedName name="B基礎工程" localSheetId="6">#REF!</definedName>
    <definedName name="B基礎工程">#REF!</definedName>
    <definedName name="B塊石" localSheetId="6">#REF!</definedName>
    <definedName name="B塊石">#REF!</definedName>
    <definedName name="B護N" localSheetId="6">#REF!</definedName>
    <definedName name="B護N">#REF!</definedName>
    <definedName name="B護P" localSheetId="6">#REF!</definedName>
    <definedName name="B護P">#REF!</definedName>
    <definedName name="C_1" localSheetId="6">#REF!</definedName>
    <definedName name="C_1">#REF!</definedName>
    <definedName name="C_2" localSheetId="6">#REF!</definedName>
    <definedName name="C_2">#REF!</definedName>
    <definedName name="C_4" localSheetId="6">#REF!</definedName>
    <definedName name="C_4">#REF!</definedName>
    <definedName name="C_A">[41]一工_數量!$M$15</definedName>
    <definedName name="C_B">[41]一工_數量!$M$23</definedName>
    <definedName name="C_C">[41]一工_數量!$M$39</definedName>
    <definedName name="CA_1" localSheetId="6">#REF!</definedName>
    <definedName name="CA_1">#REF!</definedName>
    <definedName name="CA_2" localSheetId="6">#REF!</definedName>
    <definedName name="CA_2">#REF!</definedName>
    <definedName name="CA_4" localSheetId="6">#REF!</definedName>
    <definedName name="CA_4">#REF!</definedName>
    <definedName name="ca_A">[41]一工_數量!$G$15</definedName>
    <definedName name="ca_B">[41]一工_數量!$G$23</definedName>
    <definedName name="ca_C">[41]一工_數量!$G$39</definedName>
    <definedName name="cal1b">[17]計1!$B$7:$B$46</definedName>
    <definedName name="cal1f">[17]計1!$F$7:$F$46</definedName>
    <definedName name="CAL1G">[17]計1!$G$7:$G$46</definedName>
    <definedName name="CAL1I">[17]計1!$I$7:$I$46</definedName>
    <definedName name="cal2b">[17]計2!$B$47:$B$86</definedName>
    <definedName name="cal2f">[17]計2!$F$47:$F$86</definedName>
    <definedName name="CAL2G">[17]計2!$G$47:$G$86</definedName>
    <definedName name="CAL2I">[17]計2!$I$47:$I$86</definedName>
    <definedName name="cal3b">[17]計3!$B$87:$B$126</definedName>
    <definedName name="cal3f">[17]計3!$F$87:$F$126</definedName>
    <definedName name="CAL3G">[17]計3!$G$87:$G$126</definedName>
    <definedName name="CAL3I">[17]計3!$I$87:$I$126</definedName>
    <definedName name="cal4b">[17]計4!$B$127:$B$166</definedName>
    <definedName name="cal4f">[17]計4!$F$127:$F$166</definedName>
    <definedName name="CAL4G">[17]計4!$G$127:$G$166</definedName>
    <definedName name="CAL4I">[17]計4!$I$127:$I$166</definedName>
    <definedName name="CC" localSheetId="6">'[1]R&amp;C&amp;T'!#REF!</definedName>
    <definedName name="CC">'[1]R&amp;C&amp;T'!#REF!</definedName>
    <definedName name="cc_4" localSheetId="6">#REF!</definedName>
    <definedName name="cc_4">#REF!</definedName>
    <definedName name="ccc" localSheetId="6">#REF!</definedName>
    <definedName name="ccc">#REF!</definedName>
    <definedName name="CCL" localSheetId="6">'[1]R&amp;C&amp;T'!#REF!</definedName>
    <definedName name="CCL">'[1]R&amp;C&amp;T'!#REF!</definedName>
    <definedName name="CE" localSheetId="6">'[1]R&amp;C&amp;T'!#REF!</definedName>
    <definedName name="CE">'[1]R&amp;C&amp;T'!#REF!</definedName>
    <definedName name="ce.mat" localSheetId="1">[30]材料表!#REF!</definedName>
    <definedName name="ce.mat" localSheetId="2">[30]材料表!#REF!</definedName>
    <definedName name="ce.mat" localSheetId="4">[30]材料表!#REF!</definedName>
    <definedName name="ce.mat" localSheetId="5">[30]材料表!#REF!</definedName>
    <definedName name="ce.mat" localSheetId="6">[30]材料表!#REF!</definedName>
    <definedName name="ce.mat" localSheetId="7">[30]材料表!#REF!</definedName>
    <definedName name="ce.mat">[30]材料表!#REF!</definedName>
    <definedName name="ce.tran" localSheetId="1">[40]單價!#REF!</definedName>
    <definedName name="ce.tran" localSheetId="2">[40]單價!#REF!</definedName>
    <definedName name="ce.tran" localSheetId="4">[40]單價!#REF!</definedName>
    <definedName name="ce.tran" localSheetId="5">[39]單價!#REF!</definedName>
    <definedName name="ce.tran" localSheetId="6">[39]單價!#REF!</definedName>
    <definedName name="ce.tran" localSheetId="7">[40]單價!#REF!</definedName>
    <definedName name="ce.tran">[40]單價!#REF!</definedName>
    <definedName name="ce.trn.sto" localSheetId="5">[39]單價!$J$32</definedName>
    <definedName name="ce.trn.sto" localSheetId="6">[39]單價!$J$32</definedName>
    <definedName name="ce.trn.sto">[40]單價!$J$32</definedName>
    <definedName name="CEL" localSheetId="6">'[1]R&amp;C&amp;T'!#REF!</definedName>
    <definedName name="CEL">'[1]R&amp;C&amp;T'!#REF!</definedName>
    <definedName name="ChannelSection" localSheetId="2">[14]!ChannelSection</definedName>
    <definedName name="ChannelSection" localSheetId="6">[14]!ChannelSection</definedName>
    <definedName name="ChannelSection">[14]!ChannelSection</definedName>
    <definedName name="chia" localSheetId="6">#REF!</definedName>
    <definedName name="chia">#REF!</definedName>
    <definedName name="chia1" localSheetId="6">#REF!</definedName>
    <definedName name="chia1">#REF!</definedName>
    <definedName name="CL" localSheetId="6">'[1]R&amp;C&amp;T'!#REF!</definedName>
    <definedName name="CL">'[1]R&amp;C&amp;T'!#REF!</definedName>
    <definedName name="CmisExit">"按鈕 3"</definedName>
    <definedName name="CN" localSheetId="6">#REF!</definedName>
    <definedName name="CN">#REF!</definedName>
    <definedName name="conc.140" localSheetId="6">#REF!</definedName>
    <definedName name="conc.140">#REF!</definedName>
    <definedName name="conc.175" localSheetId="6">#REF!</definedName>
    <definedName name="conc.175">#REF!</definedName>
    <definedName name="conc.176" localSheetId="6">#REF!</definedName>
    <definedName name="conc.176">#REF!</definedName>
    <definedName name="conc.210" localSheetId="6">#REF!</definedName>
    <definedName name="conc.210">#REF!</definedName>
    <definedName name="conc.245" localSheetId="6">#REF!</definedName>
    <definedName name="conc.245">#REF!</definedName>
    <definedName name="copy1" localSheetId="6">#REF!</definedName>
    <definedName name="copy1">#REF!</definedName>
    <definedName name="copy2" localSheetId="6">#REF!</definedName>
    <definedName name="copy2">#REF!</definedName>
    <definedName name="CP" localSheetId="6">'[1]R&amp;C&amp;T'!#REF!</definedName>
    <definedName name="CP">'[1]R&amp;C&amp;T'!#REF!</definedName>
    <definedName name="_xlnm.Criteria" localSheetId="6">#REF!</definedName>
    <definedName name="_xlnm.Criteria">#REF!</definedName>
    <definedName name="Criteria_MI" localSheetId="6">#REF!</definedName>
    <definedName name="Criteria_MI">#REF!</definedName>
    <definedName name="CriticalDepth" localSheetId="2">[14]!CriticalDepth</definedName>
    <definedName name="CriticalDepth" localSheetId="6">[14]!CriticalDepth</definedName>
    <definedName name="CriticalDepth">[14]!CriticalDepth</definedName>
    <definedName name="CriticalSlope" localSheetId="2">[14]!CriticalSlope</definedName>
    <definedName name="CriticalSlope" localSheetId="6">[14]!CriticalSlope</definedName>
    <definedName name="CriticalSlope">[14]!CriticalSlope</definedName>
    <definedName name="CRS_1_黏層舖設" localSheetId="6">#REF!</definedName>
    <definedName name="CRS_1_黏層舖設">#REF!</definedName>
    <definedName name="CUTC" localSheetId="6">#REF!</definedName>
    <definedName name="CUTC">#REF!</definedName>
    <definedName name="C水土保持設施" localSheetId="6">#REF!</definedName>
    <definedName name="C水土保持設施">#REF!</definedName>
    <definedName name="C板樁" localSheetId="6">#REF!</definedName>
    <definedName name="C板樁">#REF!</definedName>
    <definedName name="C區資料篩選" localSheetId="2">[37]!C區資料篩選</definedName>
    <definedName name="C區資料篩選" localSheetId="6">[37]!C區資料篩選</definedName>
    <definedName name="C區資料篩選">[37]!C區資料篩選</definedName>
    <definedName name="D" localSheetId="1">#REF!</definedName>
    <definedName name="D" localSheetId="2">#REF!</definedName>
    <definedName name="D" localSheetId="4">#REF!</definedName>
    <definedName name="D" localSheetId="5">#REF!</definedName>
    <definedName name="D" localSheetId="6">#REF!</definedName>
    <definedName name="D" localSheetId="7">#REF!</definedName>
    <definedName name="D">#REF!</definedName>
    <definedName name="D_1" localSheetId="6">#REF!</definedName>
    <definedName name="D_1">#REF!</definedName>
    <definedName name="D_2" localSheetId="6">#REF!</definedName>
    <definedName name="D_2">#REF!</definedName>
    <definedName name="D_4" localSheetId="6">#REF!</definedName>
    <definedName name="D_4">#REF!</definedName>
    <definedName name="D_A">[41]一工_數量!$P$15</definedName>
    <definedName name="D_B">[41]一工_數量!$P$23</definedName>
    <definedName name="D_C">[41]一工_數量!$P$39</definedName>
    <definedName name="D1土方挖運" localSheetId="6">#REF!</definedName>
    <definedName name="D1土方挖運">#REF!</definedName>
    <definedName name="D1鋁門_90_270_中華鋁門香檳色1000型或正字同格品" localSheetId="6">#REF!</definedName>
    <definedName name="D1鋁門_90_270_中華鋁門香檳色1000型或正字同格品">#REF!</definedName>
    <definedName name="D2鋼軌椿" localSheetId="6">#REF!</definedName>
    <definedName name="D2鋼軌椿">#REF!</definedName>
    <definedName name="D3鋼板椿" localSheetId="6">#REF!</definedName>
    <definedName name="D3鋼板椿">#REF!</definedName>
    <definedName name="D4預壘樁" localSheetId="6">#REF!</definedName>
    <definedName name="D4預壘樁">#REF!</definedName>
    <definedName name="D4鋁門_1100_210_中華鋁門香檳色1000型或正字同格品" localSheetId="6">#REF!</definedName>
    <definedName name="D4鋁門_1100_210_中華鋁門香檳色1000型或正字同格品">#REF!</definedName>
    <definedName name="D5預力地錨" localSheetId="6">#REF!</definedName>
    <definedName name="D5預力地錨">#REF!</definedName>
    <definedName name="D6圍令支撐中間樁" localSheetId="6">#REF!</definedName>
    <definedName name="D6圍令支撐中間樁">#REF!</definedName>
    <definedName name="D6鋁門_80_160_鋁門" localSheetId="6">#REF!</definedName>
    <definedName name="D6鋁門_80_160_鋁門">#REF!</definedName>
    <definedName name="D7觀測系統" localSheetId="6">#REF!</definedName>
    <definedName name="D7觀測系統">#REF!</definedName>
    <definedName name="dasf" localSheetId="6">[42]工程預算書!#REF!</definedName>
    <definedName name="dasf">[42]工程預算書!#REF!</definedName>
    <definedName name="data1">[43]基本資料表!$C$3</definedName>
    <definedName name="data110">[44]基本資料表!$B$3</definedName>
    <definedName name="data111">[44]基本資料表!$B$7</definedName>
    <definedName name="data120">[44]基本資料表!$B$3</definedName>
    <definedName name="data121">[44]基本資料表!$B$7</definedName>
    <definedName name="data3">[43]基本資料表!$C$5</definedName>
    <definedName name="data4">[43]基本資料表!$C$15</definedName>
    <definedName name="DATA49" localSheetId="6">[45]基本資料表!#REF!</definedName>
    <definedName name="DATA49">[45]基本資料表!#REF!</definedName>
    <definedName name="data500">[46]基本資料表!$C$6</definedName>
    <definedName name="data6">[43]基本資料表!$C$17</definedName>
    <definedName name="DATA7">[43]基本資料表!$C$18</definedName>
    <definedName name="_xlnm.Database" localSheetId="6">#REF!</definedName>
    <definedName name="_xlnm.Database">#REF!</definedName>
    <definedName name="database1" localSheetId="6">#REF!</definedName>
    <definedName name="database1">#REF!</definedName>
    <definedName name="date" localSheetId="6">#REF!</definedName>
    <definedName name="date">#REF!</definedName>
    <definedName name="DATEA" localSheetId="6">[17]總表!#REF!</definedName>
    <definedName name="DATEA">[17]總表!#REF!</definedName>
    <definedName name="DATEB" localSheetId="6">[17]總表!#REF!</definedName>
    <definedName name="DATEB">[17]總表!#REF!</definedName>
    <definedName name="DATEC" localSheetId="6">[17]總表!#REF!</definedName>
    <definedName name="DATEC">[17]總表!#REF!</definedName>
    <definedName name="DATED" localSheetId="6">[17]總表!#REF!</definedName>
    <definedName name="DATED">[17]總表!#REF!</definedName>
    <definedName name="DATEE" localSheetId="6">[17]總表!#REF!</definedName>
    <definedName name="DATEE">[17]總表!#REF!</definedName>
    <definedName name="DATEF" localSheetId="6">[17]總表!#REF!</definedName>
    <definedName name="DATEF">[17]總表!#REF!</definedName>
    <definedName name="DATEG" localSheetId="6">[17]總表!#REF!</definedName>
    <definedName name="DATEG">[17]總表!#REF!</definedName>
    <definedName name="Db" localSheetId="6">#REF!</definedName>
    <definedName name="Db">#REF!</definedName>
    <definedName name="DD" localSheetId="6">[20]預算明細!#REF!</definedName>
    <definedName name="DD">[20]預算明細!#REF!</definedName>
    <definedName name="ddd" localSheetId="6">#REF!</definedName>
    <definedName name="ddd">#REF!</definedName>
    <definedName name="dddd2" localSheetId="6">#REF!</definedName>
    <definedName name="dddd2">#REF!</definedName>
    <definedName name="df" localSheetId="6">[35]單價2!#REF!</definedName>
    <definedName name="df">[35]單價2!#REF!</definedName>
    <definedName name="dfg" localSheetId="6">#REF!</definedName>
    <definedName name="dfg">#REF!</definedName>
    <definedName name="Discharge" localSheetId="2">[14]!Discharge</definedName>
    <definedName name="Discharge" localSheetId="6">[14]!Discharge</definedName>
    <definedName name="Discharge">[14]!Discharge</definedName>
    <definedName name="DI鋁門_410_270_中華鋁門香檳色1000型或正字同格品" localSheetId="6">#REF!</definedName>
    <definedName name="DI鋁門_410_270_中華鋁門香檳色1000型或正字同格品">#REF!</definedName>
    <definedName name="ds" localSheetId="6" hidden="1">#REF!</definedName>
    <definedName name="ds" hidden="1">#REF!</definedName>
    <definedName name="dsf" localSheetId="6">#REF!</definedName>
    <definedName name="dsf">#REF!</definedName>
    <definedName name="D地下室安全措施" localSheetId="6">#REF!</definedName>
    <definedName name="D地下室安全措施">#REF!</definedName>
    <definedName name="D區資料篩選" localSheetId="2">[37]!D區資料篩選</definedName>
    <definedName name="D區資料篩選" localSheetId="6">[37]!D區資料篩選</definedName>
    <definedName name="D區資料篩選">[37]!D區資料篩選</definedName>
    <definedName name="E" localSheetId="1">#REF!</definedName>
    <definedName name="E" localSheetId="2">#REF!</definedName>
    <definedName name="E" localSheetId="4">#REF!</definedName>
    <definedName name="E" localSheetId="5">#REF!</definedName>
    <definedName name="E" localSheetId="6">#REF!</definedName>
    <definedName name="E" localSheetId="7">#REF!</definedName>
    <definedName name="E">#REF!</definedName>
    <definedName name="E1預拌混凝土" localSheetId="6">#REF!</definedName>
    <definedName name="E1預拌混凝土">#REF!</definedName>
    <definedName name="E2鋼筋加工及彎紮" localSheetId="6">#REF!</definedName>
    <definedName name="E2鋼筋加工及彎紮">#REF!</definedName>
    <definedName name="E3模板工料" localSheetId="6">#REF!</definedName>
    <definedName name="E3模板工料">#REF!</definedName>
    <definedName name="E4鋼構工程" localSheetId="6">#REF!</definedName>
    <definedName name="E4鋼構工程">#REF!</definedName>
    <definedName name="E5鋼筋續接器" localSheetId="6">#REF!</definedName>
    <definedName name="E5鋼筋續接器">#REF!</definedName>
    <definedName name="E6鷹架及組拆" localSheetId="6">#REF!</definedName>
    <definedName name="E6鷹架及組拆">#REF!</definedName>
    <definedName name="eee" localSheetId="6">#REF!</definedName>
    <definedName name="eee">#REF!</definedName>
    <definedName name="eng.airplu" localSheetId="1">[30]預算明細表!#REF!</definedName>
    <definedName name="eng.airplu" localSheetId="2">[30]預算明細表!#REF!</definedName>
    <definedName name="eng.airplu" localSheetId="4">[30]預算明細表!#REF!</definedName>
    <definedName name="eng.airplu" localSheetId="5">[30]預算明細表!#REF!</definedName>
    <definedName name="eng.airplu" localSheetId="6">[30]預算明細表!#REF!</definedName>
    <definedName name="eng.airplu" localSheetId="7">[30]預算明細表!#REF!</definedName>
    <definedName name="eng.airplu">[30]預算明細表!#REF!</definedName>
    <definedName name="er" localSheetId="6">[35]單價2!#REF!</definedName>
    <definedName name="er">[35]單價2!#REF!</definedName>
    <definedName name="ewsda" localSheetId="2">[0]!SetDate()</definedName>
    <definedName name="ewsda" localSheetId="6">[0]!SetDate()</definedName>
    <definedName name="ewsda">[0]!SetDate()</definedName>
    <definedName name="_xlnm.Extract" localSheetId="6">#REF!</definedName>
    <definedName name="_xlnm.Extract">#REF!</definedName>
    <definedName name="Extract_MI" localSheetId="6">#REF!</definedName>
    <definedName name="Extract_MI">#REF!</definedName>
    <definedName name="E結構體工程" localSheetId="6">#REF!</definedName>
    <definedName name="E結構體工程">#REF!</definedName>
    <definedName name="F" localSheetId="1">#REF!</definedName>
    <definedName name="F" localSheetId="2">#REF!</definedName>
    <definedName name="F" localSheetId="4">#REF!</definedName>
    <definedName name="F" localSheetId="5">#REF!</definedName>
    <definedName name="F" localSheetId="6">#REF!</definedName>
    <definedName name="F" localSheetId="7">#REF!</definedName>
    <definedName name="F">#REF!</definedName>
    <definedName name="F160T" localSheetId="6">#REF!</definedName>
    <definedName name="F160T">#REF!</definedName>
    <definedName name="F200T" localSheetId="6">#REF!</definedName>
    <definedName name="F200T">#REF!</definedName>
    <definedName name="F201T" localSheetId="6">#REF!</definedName>
    <definedName name="F201T">#REF!</definedName>
    <definedName name="FA_1" localSheetId="6">#REF!</definedName>
    <definedName name="FA_1">#REF!</definedName>
    <definedName name="FA_2" localSheetId="6">#REF!</definedName>
    <definedName name="FA_2">#REF!</definedName>
    <definedName name="FA_4" localSheetId="6">#REF!</definedName>
    <definedName name="FA_4">#REF!</definedName>
    <definedName name="fa_A">[41]一工_數量!$J$15</definedName>
    <definedName name="fa_B">[41]一工_數量!$J$23</definedName>
    <definedName name="fa_C">[41]一工_數量!$J$39</definedName>
    <definedName name="fc" localSheetId="6">#REF!</definedName>
    <definedName name="fc">#REF!</definedName>
    <definedName name="fegh" localSheetId="2">[0]!SetDate()</definedName>
    <definedName name="fegh" localSheetId="6">[0]!SetDate()</definedName>
    <definedName name="fegh">[0]!SetDate()</definedName>
    <definedName name="FF" localSheetId="6">[47]預算明細!#REF!</definedName>
    <definedName name="FF">[47]預算明細!#REF!</definedName>
    <definedName name="fff" localSheetId="6" hidden="1">#REF!</definedName>
    <definedName name="fff" hidden="1">#REF!</definedName>
    <definedName name="ffff" localSheetId="6">#REF!</definedName>
    <definedName name="ffff">#REF!</definedName>
    <definedName name="fgdfh" localSheetId="6" hidden="1">'[11]單價分析表(1-11)'!#REF!</definedName>
    <definedName name="fgdfh" hidden="1">'[11]單價分析表(1-11)'!#REF!</definedName>
    <definedName name="fgh" localSheetId="6">#REF!</definedName>
    <definedName name="fgh">#REF!</definedName>
    <definedName name="filebox">"編輯方塊 16"</definedName>
    <definedName name="filebrows">"按鈕 17"</definedName>
    <definedName name="FL" localSheetId="6">#REF!</definedName>
    <definedName name="FL">#REF!</definedName>
    <definedName name="FlowVelocity" localSheetId="2">[14]!FlowVelocity</definedName>
    <definedName name="FlowVelocity" localSheetId="6">[14]!FlowVelocity</definedName>
    <definedName name="FlowVelocity">[14]!FlowVelocity</definedName>
    <definedName name="FM" localSheetId="6">#REF!</definedName>
    <definedName name="FM">#REF!</definedName>
    <definedName name="FMPB1" localSheetId="6">#REF!</definedName>
    <definedName name="FMPB1">#REF!</definedName>
    <definedName name="FMPB2" localSheetId="6">#REF!</definedName>
    <definedName name="FMPB2">#REF!</definedName>
    <definedName name="FMPS12" localSheetId="6">#REF!</definedName>
    <definedName name="FMPS12">#REF!</definedName>
    <definedName name="FreeBoardCheck" localSheetId="2">[14]!FreeBoardCheck</definedName>
    <definedName name="FreeBoardCheck" localSheetId="6">[14]!FreeBoardCheck</definedName>
    <definedName name="FreeBoardCheck">[14]!FreeBoardCheck</definedName>
    <definedName name="FroudeNumber" localSheetId="2">[14]!FroudeNumber</definedName>
    <definedName name="FroudeNumber" localSheetId="6">[14]!FroudeNumber</definedName>
    <definedName name="FroudeNumber">[14]!FroudeNumber</definedName>
    <definedName name="fy" localSheetId="6">#REF!</definedName>
    <definedName name="fy">#REF!</definedName>
    <definedName name="G" localSheetId="6">[48]預算明細!#REF!</definedName>
    <definedName name="G">[48]預算明細!#REF!</definedName>
    <definedName name="G___P_">#N/A</definedName>
    <definedName name="gf" localSheetId="6">#REF!</definedName>
    <definedName name="gf">#REF!</definedName>
    <definedName name="gg" localSheetId="6">#REF!</definedName>
    <definedName name="gg">#REF!</definedName>
    <definedName name="ghj" localSheetId="6">#REF!</definedName>
    <definedName name="ghj">#REF!</definedName>
    <definedName name="ghjd" localSheetId="6">#REF!</definedName>
    <definedName name="ghjd">#REF!</definedName>
    <definedName name="ghjhjj" localSheetId="6" hidden="1">'[49]單價分析表(1-11)'!#REF!</definedName>
    <definedName name="ghjhjj" hidden="1">'[49]單價分析表(1-11)'!#REF!</definedName>
    <definedName name="H" localSheetId="6">[50]數量計算!#REF!</definedName>
    <definedName name="H">[50]數量計算!#REF!</definedName>
    <definedName name="H1_" localSheetId="6">#REF!</definedName>
    <definedName name="H1_">#REF!</definedName>
    <definedName name="H2_" localSheetId="6">#REF!</definedName>
    <definedName name="H2_">#REF!</definedName>
    <definedName name="H3_" localSheetId="6">#REF!</definedName>
    <definedName name="H3_">#REF!</definedName>
    <definedName name="hh" localSheetId="6">[51]工程預算書!#REF!</definedName>
    <definedName name="hh">[51]工程預算書!#REF!</definedName>
    <definedName name="hjghjhj" localSheetId="6" hidden="1">'[52]單價分析表(1-11)'!#REF!</definedName>
    <definedName name="hjghjhj" hidden="1">'[52]單價分析表(1-11)'!#REF!</definedName>
    <definedName name="hjjy" localSheetId="2">[0]!SetDate()</definedName>
    <definedName name="hjjy" localSheetId="6">[0]!SetDate()</definedName>
    <definedName name="hjjy">[0]!SetDate()</definedName>
    <definedName name="hjk" localSheetId="6">#REF!</definedName>
    <definedName name="hjk">#REF!</definedName>
    <definedName name="hjkli" localSheetId="6" hidden="1">[32]Sheet2!#REF!</definedName>
    <definedName name="hjkli" hidden="1">[32]Sheet2!#REF!</definedName>
    <definedName name="holiday" localSheetId="6">#REF!</definedName>
    <definedName name="holiday">#REF!</definedName>
    <definedName name="HydraulicDepth" localSheetId="2">[14]!HydraulicDepth</definedName>
    <definedName name="HydraulicDepth" localSheetId="6">[14]!HydraulicDepth</definedName>
    <definedName name="HydraulicDepth">[14]!HydraulicDepth</definedName>
    <definedName name="HydraulicRadius" localSheetId="2">[14]!HydraulicRadius</definedName>
    <definedName name="HydraulicRadius" localSheetId="6">[14]!HydraulicRadius</definedName>
    <definedName name="HydraulicRadius">[14]!HydraulicRadius</definedName>
    <definedName name="i" localSheetId="6">#REF!</definedName>
    <definedName name="i">#REF!</definedName>
    <definedName name="ii" localSheetId="6">[53]預算明細!#REF!</definedName>
    <definedName name="ii">[53]預算明細!#REF!</definedName>
    <definedName name="illl" localSheetId="2">[0]!SetDate()</definedName>
    <definedName name="illl" localSheetId="6">[0]!SetDate()</definedName>
    <definedName name="illl">[0]!SetDate()</definedName>
    <definedName name="ime" localSheetId="2">[0]!SetDate()</definedName>
    <definedName name="ime" localSheetId="6">[0]!SetDate()</definedName>
    <definedName name="ime">[0]!SetDate()</definedName>
    <definedName name="imt" localSheetId="2">[0]!SetDate()</definedName>
    <definedName name="imt" localSheetId="6">[0]!SetDate()</definedName>
    <definedName name="imt">[0]!SetDate()</definedName>
    <definedName name="inputfile">"編輯方塊 16"</definedName>
    <definedName name="item" localSheetId="6">#REF!</definedName>
    <definedName name="item">#REF!</definedName>
    <definedName name="iu" localSheetId="6">[18]預算明細!#REF!</definedName>
    <definedName name="iu">[18]預算明細!#REF!</definedName>
    <definedName name="j" localSheetId="2">[0]!SetDate()</definedName>
    <definedName name="j" localSheetId="6">[0]!SetDate()</definedName>
    <definedName name="j">[0]!SetDate()</definedName>
    <definedName name="jj" localSheetId="6">#REF!</definedName>
    <definedName name="jj">#REF!</definedName>
    <definedName name="jkl" localSheetId="6">#REF!</definedName>
    <definedName name="jkl">#REF!</definedName>
    <definedName name="K" localSheetId="6">#REF!</definedName>
    <definedName name="K">#REF!</definedName>
    <definedName name="K25數量計算" localSheetId="6">#REF!</definedName>
    <definedName name="K25數量計算">#REF!</definedName>
    <definedName name="KE" localSheetId="6" hidden="1">'[54]單價分析表(1-11)'!#REF!</definedName>
    <definedName name="KE" hidden="1">'[54]單價分析表(1-11)'!#REF!</definedName>
    <definedName name="key" localSheetId="6" hidden="1">'[55]單價分析表(1-11)'!#REF!</definedName>
    <definedName name="key" hidden="1">'[55]單價分析表(1-11)'!#REF!</definedName>
    <definedName name="KG_1" localSheetId="6">#REF!</definedName>
    <definedName name="KG_1">#REF!</definedName>
    <definedName name="KG_2" localSheetId="6">#REF!</definedName>
    <definedName name="KG_2">#REF!</definedName>
    <definedName name="KG_4" localSheetId="6">#REF!</definedName>
    <definedName name="KG_4">#REF!</definedName>
    <definedName name="KK" localSheetId="6">[56]預算明細!#REF!</definedName>
    <definedName name="KK">[56]預算明細!#REF!</definedName>
    <definedName name="kkd" localSheetId="2">[0]!SetDate()</definedName>
    <definedName name="kkd" localSheetId="6">[0]!SetDate()</definedName>
    <definedName name="kkd">[0]!SetDate()</definedName>
    <definedName name="kkey1" localSheetId="6" hidden="1">'[57]單價分析表(1-11)'!#REF!</definedName>
    <definedName name="kkey1" hidden="1">'[57]單價分析表(1-11)'!#REF!</definedName>
    <definedName name="kkk" localSheetId="6">#REF!</definedName>
    <definedName name="kkk">#REF!</definedName>
    <definedName name="KLP" localSheetId="6">#REF!</definedName>
    <definedName name="KLP">#REF!</definedName>
    <definedName name="km_土場→翠峰林道" localSheetId="1">#REF!</definedName>
    <definedName name="km_土場→翠峰林道" localSheetId="2">#REF!</definedName>
    <definedName name="km_土場→翠峰林道" localSheetId="4">#REF!</definedName>
    <definedName name="km_土場→翠峰林道" localSheetId="5">#REF!</definedName>
    <definedName name="km_土場→翠峰林道" localSheetId="6">#REF!</definedName>
    <definedName name="km_土場→翠峰林道" localSheetId="7">#REF!</definedName>
    <definedName name="km_土場→翠峰林道">#REF!</definedName>
    <definedName name="km_再連→土場" localSheetId="1">#REF!</definedName>
    <definedName name="km_再連→土場" localSheetId="2">#REF!</definedName>
    <definedName name="km_再連→土場" localSheetId="4">#REF!</definedName>
    <definedName name="km_再連→土場" localSheetId="5">#REF!</definedName>
    <definedName name="km_再連→土場" localSheetId="6">#REF!</definedName>
    <definedName name="km_再連→土場" localSheetId="7">#REF!</definedName>
    <definedName name="km_再連→土場">#REF!</definedName>
    <definedName name="km_羅東→土場" localSheetId="1">#REF!</definedName>
    <definedName name="km_羅東→土場" localSheetId="2">#REF!</definedName>
    <definedName name="km_羅東→土場" localSheetId="4">#REF!</definedName>
    <definedName name="km_羅東→土場" localSheetId="5">#REF!</definedName>
    <definedName name="km_羅東→土場" localSheetId="6">#REF!</definedName>
    <definedName name="km_羅東→土場" localSheetId="7">#REF!</definedName>
    <definedName name="km_羅東→土場">#REF!</definedName>
    <definedName name="km_蘇澳→土場" localSheetId="1">#REF!</definedName>
    <definedName name="km_蘇澳→土場" localSheetId="2">#REF!</definedName>
    <definedName name="km_蘇澳→土場" localSheetId="4">#REF!</definedName>
    <definedName name="km_蘇澳→土場" localSheetId="5">#REF!</definedName>
    <definedName name="km_蘇澳→土場" localSheetId="6">#REF!</definedName>
    <definedName name="km_蘇澳→土場" localSheetId="7">#REF!</definedName>
    <definedName name="km_蘇澳→土場">#REF!</definedName>
    <definedName name="L" localSheetId="6">#REF!</definedName>
    <definedName name="L">#REF!</definedName>
    <definedName name="LINES" localSheetId="6">[14]Sheet1!#REF!</definedName>
    <definedName name="LINES">[14]Sheet1!#REF!</definedName>
    <definedName name="lj" localSheetId="6">#REF!</definedName>
    <definedName name="lj">#REF!</definedName>
    <definedName name="ll" localSheetId="6">[53]預算明細!#REF!</definedName>
    <definedName name="ll">[53]預算明細!#REF!</definedName>
    <definedName name="LR">[58]甲樁OK!$X$4</definedName>
    <definedName name="L型2" localSheetId="6">'[59]計算表 (2)'!#REF!</definedName>
    <definedName name="L型2">'[59]計算表 (2)'!#REF!</definedName>
    <definedName name="M_1">[41]表頭!$R$31</definedName>
    <definedName name="M_2">[41]表頭!$R$32</definedName>
    <definedName name="M_3">[41]表頭!$R$33</definedName>
    <definedName name="M_4">[41]表頭!$R$34</definedName>
    <definedName name="MC_70_透層舖設" localSheetId="6">#REF!</definedName>
    <definedName name="MC_70_透層舖設">#REF!</definedName>
    <definedName name="mch.tran">[33]單價!$J$223</definedName>
    <definedName name="MID">#N/A</definedName>
    <definedName name="MM" localSheetId="6">#REF!</definedName>
    <definedName name="MM">#REF!</definedName>
    <definedName name="na" localSheetId="6">#REF!</definedName>
    <definedName name="na">#REF!</definedName>
    <definedName name="name">[60]表頭!$P$5</definedName>
    <definedName name="nb" localSheetId="6">#REF!</definedName>
    <definedName name="nb">#REF!</definedName>
    <definedName name="nc" localSheetId="6">#REF!</definedName>
    <definedName name="nc">#REF!</definedName>
    <definedName name="nd" localSheetId="6">#REF!</definedName>
    <definedName name="nd">#REF!</definedName>
    <definedName name="newkey2" localSheetId="6" hidden="1">'[11]單價分析表(1-11)'!#REF!</definedName>
    <definedName name="newkey2" hidden="1">'[11]單價分析表(1-11)'!#REF!</definedName>
    <definedName name="NN" localSheetId="6">#REF!</definedName>
    <definedName name="NN">#REF!</definedName>
    <definedName name="nnn" localSheetId="6">[61]預算書!#REF!</definedName>
    <definedName name="nnn">[61]預算書!#REF!</definedName>
    <definedName name="NO.8分析表" localSheetId="6">#REF!</definedName>
    <definedName name="NO.8分析表">#REF!</definedName>
    <definedName name="NormDepth" localSheetId="2">[14]!NormDepth</definedName>
    <definedName name="NormDepth" localSheetId="6">[14]!NormDepth</definedName>
    <definedName name="NormDepth">[14]!NormDepth</definedName>
    <definedName name="nue" localSheetId="2">[0]!SetDate()</definedName>
    <definedName name="nue" localSheetId="6">[0]!SetDate()</definedName>
    <definedName name="nue">[0]!SetDate()</definedName>
    <definedName name="NUM" localSheetId="6">[17]總表!#REF!</definedName>
    <definedName name="NUM">[17]總表!#REF!</definedName>
    <definedName name="number" localSheetId="6">#REF!</definedName>
    <definedName name="number">#REF!</definedName>
    <definedName name="o" localSheetId="6">#REF!</definedName>
    <definedName name="o">#REF!</definedName>
    <definedName name="oa" localSheetId="6">[13]單價2!#REF!</definedName>
    <definedName name="oa">[13]單價2!#REF!</definedName>
    <definedName name="OK" localSheetId="2">[0]!SetDate()</definedName>
    <definedName name="OK" localSheetId="6">[0]!SetDate()</definedName>
    <definedName name="OK">[0]!SetDate()</definedName>
    <definedName name="oo" localSheetId="6" hidden="1">'[12]單價分析表(1-11)'!#REF!</definedName>
    <definedName name="oo" hidden="1">'[12]單價分析表(1-11)'!#REF!</definedName>
    <definedName name="OP" localSheetId="6">#REF!</definedName>
    <definedName name="OP">#REF!</definedName>
    <definedName name="oyk" localSheetId="2">[0]!SetDate()</definedName>
    <definedName name="oyk" localSheetId="6">[0]!SetDate()</definedName>
    <definedName name="oyk">[0]!SetDate()</definedName>
    <definedName name="p" localSheetId="6" hidden="1">'[12]單價分析表(1-11)'!#REF!</definedName>
    <definedName name="p" hidden="1">'[12]單價分析表(1-11)'!#REF!</definedName>
    <definedName name="page" localSheetId="6">#REF!</definedName>
    <definedName name="page">#REF!</definedName>
    <definedName name="PAGE1" localSheetId="6">[62]橋面版鋼筋!#REF!</definedName>
    <definedName name="PAGE1">[62]橋面版鋼筋!#REF!</definedName>
    <definedName name="payment" localSheetId="6">#REF!</definedName>
    <definedName name="payment">#REF!</definedName>
    <definedName name="pca" localSheetId="6">#REF!</definedName>
    <definedName name="pca">#REF!</definedName>
    <definedName name="PC椿N" localSheetId="6">#REF!</definedName>
    <definedName name="PC椿N">#REF!</definedName>
    <definedName name="PC樁12" localSheetId="6">#REF!</definedName>
    <definedName name="PC樁12">#REF!</definedName>
    <definedName name="pfa" localSheetId="6">#REF!</definedName>
    <definedName name="pfa">#REF!</definedName>
    <definedName name="pga" localSheetId="6">#REF!</definedName>
    <definedName name="pga">#REF!</definedName>
    <definedName name="PH" localSheetId="6">#REF!</definedName>
    <definedName name="PH">#REF!</definedName>
    <definedName name="pi" localSheetId="6">#REF!</definedName>
    <definedName name="pi">#REF!</definedName>
    <definedName name="place" localSheetId="6">#REF!</definedName>
    <definedName name="place">#REF!</definedName>
    <definedName name="PLACE2" localSheetId="6">[17]總表!#REF!</definedName>
    <definedName name="PLACE2">[17]總表!#REF!</definedName>
    <definedName name="po" localSheetId="6">[63]工程預算書!#REF!</definedName>
    <definedName name="po">[63]工程預算書!#REF!</definedName>
    <definedName name="poa" localSheetId="6">#REF!</definedName>
    <definedName name="poa">#REF!</definedName>
    <definedName name="pp" localSheetId="6" hidden="1">'[64]單價分析表(1-11)'!#REF!</definedName>
    <definedName name="pp" hidden="1">'[64]單價分析表(1-11)'!#REF!</definedName>
    <definedName name="ppp" localSheetId="6" hidden="1">[32]Sheet2!#REF!</definedName>
    <definedName name="ppp" hidden="1">[32]Sheet2!#REF!</definedName>
    <definedName name="ppt">[16]總表!$Y$63:$AD$197</definedName>
    <definedName name="pre1a">[16]總表!$M$19:$M$56</definedName>
    <definedName name="pre1b">[16]總表!$O$19:$O$56</definedName>
    <definedName name="pre1c">[16]總表!$N$19:$N$56</definedName>
    <definedName name="pre1d">[16]總表!$P$19:$P$56</definedName>
    <definedName name="pre1e">[16]總表!$Q$19:$Q$56</definedName>
    <definedName name="pre1f" localSheetId="6">[17]總表!#REF!</definedName>
    <definedName name="pre1f">[17]總表!#REF!</definedName>
    <definedName name="pre2a">[17]總表!$T$19:$T$56</definedName>
    <definedName name="pre2b">[17]總表!$V$19:$V$56</definedName>
    <definedName name="pre2c">[17]總表!$U$19:$U$56</definedName>
    <definedName name="pre2d">[17]總表!$W$19:$W$56</definedName>
    <definedName name="pre2e">[16]總表!$X$19:$X$56</definedName>
    <definedName name="pre2f" localSheetId="6">[17]總表!#REF!</definedName>
    <definedName name="pre2f">[17]總表!#REF!</definedName>
    <definedName name="pre3a">[17]總表!$AA$19:$AA$56</definedName>
    <definedName name="pre3b">[16]總表!$AC$19:$AC$56</definedName>
    <definedName name="pre3c">[17]總表!$AB$19:$AB$56</definedName>
    <definedName name="pre3d">[17]總表!$AD$19:$AD$56</definedName>
    <definedName name="pre3e">[16]總表!$AE$19:$AE$55</definedName>
    <definedName name="print" localSheetId="6">[62]橋面版鋼筋!#REF!</definedName>
    <definedName name="print">[62]橋面版鋼筋!#REF!</definedName>
    <definedName name="_xlnm.Print_Area" localSheetId="1">表1_橋梁工程數量統計表!$A$3:$O$31</definedName>
    <definedName name="_xlnm.Print_Area" localSheetId="2">'表2_道路排水工程數量統計表 '!$A$3:$T$23</definedName>
    <definedName name="_xlnm.Print_Area" localSheetId="4">表3_元件數量計算表!$A$1:$F$205</definedName>
    <definedName name="_xlnm.Print_Area" localSheetId="5">表4_土方數量計算表!$A$1:$M$36</definedName>
    <definedName name="_xlnm.Print_Area" localSheetId="6">表5_道路面積數量計算表!$A$1:$M$61</definedName>
    <definedName name="_xlnm.Print_Area" localSheetId="7">表6_標線數量計算表!$A$1:$M$43</definedName>
    <definedName name="_xlnm.Print_Area" localSheetId="0">數量計算總表!$A$1:$G$98</definedName>
    <definedName name="_xlnm.Print_Area">#REF!</definedName>
    <definedName name="Print_Area_MI" localSheetId="6">#REF!</definedName>
    <definedName name="Print_Area_MI">#REF!</definedName>
    <definedName name="Print_Area2" localSheetId="6">#REF!</definedName>
    <definedName name="Print_Area2">#REF!</definedName>
    <definedName name="_xlnm.Print_Titles" localSheetId="1">表1_橋梁工程數量統計表!$A:$C</definedName>
    <definedName name="_xlnm.Print_Titles" localSheetId="2">'表2_道路排水工程數量統計表 '!$A:$C</definedName>
    <definedName name="_xlnm.Print_Titles" localSheetId="4">表3_元件數量計算表!$1:$5</definedName>
    <definedName name="_xlnm.Print_Titles" localSheetId="6">表5_道路面積數量計算表!$1:$3</definedName>
    <definedName name="_xlnm.Print_Titles" localSheetId="7">表6_標線數量計算表!$1:$6</definedName>
    <definedName name="_xlnm.Print_Titles" localSheetId="0">數量計算總表!$1:$5</definedName>
    <definedName name="Print_Titles_MI" localSheetId="6">#REF!</definedName>
    <definedName name="Print_Titles_MI">#REF!</definedName>
    <definedName name="PS_1" localSheetId="6">#REF!</definedName>
    <definedName name="PS_1">#REF!</definedName>
    <definedName name="PS_2" localSheetId="6">#REF!</definedName>
    <definedName name="PS_2">#REF!</definedName>
    <definedName name="PS_4" localSheetId="6">#REF!</definedName>
    <definedName name="PS_4">#REF!</definedName>
    <definedName name="PVCP" localSheetId="6">#REF!</definedName>
    <definedName name="PVCP">#REF!</definedName>
    <definedName name="Q" localSheetId="6">#REF!</definedName>
    <definedName name="Q">#REF!</definedName>
    <definedName name="qq" localSheetId="6">#REF!</definedName>
    <definedName name="qq">#REF!</definedName>
    <definedName name="qqq" localSheetId="6">#REF!</definedName>
    <definedName name="qqq">#REF!</definedName>
    <definedName name="QRKS090105" localSheetId="6">#REF!</definedName>
    <definedName name="QRKS090105">#REF!</definedName>
    <definedName name="qsa" localSheetId="6">[65]計算表!#REF!</definedName>
    <definedName name="qsa">[65]計算表!#REF!</definedName>
    <definedName name="qw" localSheetId="6">#REF!</definedName>
    <definedName name="qw">#REF!</definedName>
    <definedName name="qwe" localSheetId="6">#REF!</definedName>
    <definedName name="qwe">#REF!</definedName>
    <definedName name="qww" localSheetId="6">[36]預算明細!#REF!</definedName>
    <definedName name="qww">[36]預算明細!#REF!</definedName>
    <definedName name="Rate1" localSheetId="1">#REF!</definedName>
    <definedName name="Rate1" localSheetId="2">#REF!</definedName>
    <definedName name="Rate1" localSheetId="4">#REF!</definedName>
    <definedName name="Rate1" localSheetId="5">#REF!</definedName>
    <definedName name="Rate1" localSheetId="6">#REF!</definedName>
    <definedName name="Rate1" localSheetId="7">#REF!</definedName>
    <definedName name="Rate1">#REF!</definedName>
    <definedName name="RATIO">[30]預算明細表!$K$44</definedName>
    <definedName name="RE" localSheetId="6">#REF!</definedName>
    <definedName name="RE">#REF!</definedName>
    <definedName name="_xlnm.Recorder" localSheetId="6">#REF!</definedName>
    <definedName name="_xlnm.Recorder">#REF!</definedName>
    <definedName name="resource" localSheetId="6">#REF!</definedName>
    <definedName name="resource">#REF!</definedName>
    <definedName name="RR" localSheetId="6">[47]預算明細!#REF!</definedName>
    <definedName name="RR">[47]預算明細!#REF!</definedName>
    <definedName name="rty" localSheetId="6">#REF!</definedName>
    <definedName name="rty">#REF!</definedName>
    <definedName name="RU0" localSheetId="6">#REF!</definedName>
    <definedName name="RU0">#REF!</definedName>
    <definedName name="s" localSheetId="6" hidden="1">'[11]單價分析表(1-11)'!#REF!</definedName>
    <definedName name="s" hidden="1">'[11]單價分析表(1-11)'!#REF!</definedName>
    <definedName name="sa" localSheetId="6">#REF!</definedName>
    <definedName name="sa">#REF!</definedName>
    <definedName name="sacc" localSheetId="2">[0]!SetDate()</definedName>
    <definedName name="sacc" localSheetId="6">[0]!SetDate()</definedName>
    <definedName name="sacc">[0]!SetDate()</definedName>
    <definedName name="sas" localSheetId="6">[15]單價2!#REF!</definedName>
    <definedName name="sas">[15]單價2!#REF!</definedName>
    <definedName name="setaa">[16]總表!$AC$63:$AC$198</definedName>
    <definedName name="setab">[16]總表!$AD$63:$AD$198</definedName>
    <definedName name="setw">[16]總表!$Y$63:$Y$197</definedName>
    <definedName name="setx">[16]總表!$Z$63:$Z$198</definedName>
    <definedName name="sety">[16]總表!$AA$63:$AA$198</definedName>
    <definedName name="setz">[16]總表!$AB$63:$AB$198</definedName>
    <definedName name="sf" localSheetId="6">#REF!</definedName>
    <definedName name="sf">#REF!</definedName>
    <definedName name="SH" localSheetId="6">#REF!</definedName>
    <definedName name="SH">#REF!</definedName>
    <definedName name="SL" localSheetId="6">#REF!</definedName>
    <definedName name="SL">#REF!</definedName>
    <definedName name="snoop">[66]總表!$CQ$9:$CX$2118</definedName>
    <definedName name="snoopname">[66]總表!$CU$9:$CU$2118</definedName>
    <definedName name="sor" localSheetId="6" hidden="1">'[3]單價分析表(1-11)'!#REF!</definedName>
    <definedName name="sor" hidden="1">'[3]單價分析表(1-11)'!#REF!</definedName>
    <definedName name="sort" localSheetId="6" hidden="1">'[55]單價分析表(1-11)'!#REF!</definedName>
    <definedName name="sort" hidden="1">'[55]單價分析表(1-11)'!#REF!</definedName>
    <definedName name="sort1" localSheetId="6" hidden="1">'[11]單價分析表(1-11)'!#REF!</definedName>
    <definedName name="sort1" hidden="1">'[11]單價分析表(1-11)'!#REF!</definedName>
    <definedName name="sort2" localSheetId="6" hidden="1">'[2]單價分析表(1-11)'!#REF!</definedName>
    <definedName name="sort2" hidden="1">'[2]單價分析表(1-11)'!#REF!</definedName>
    <definedName name="SpecificEnergy" localSheetId="2">[14]!SpecificEnergy</definedName>
    <definedName name="SpecificEnergy" localSheetId="6">[14]!SpecificEnergy</definedName>
    <definedName name="SpecificEnergy">[14]!SpecificEnergy</definedName>
    <definedName name="SRC鋼筋加工及彎紮Fy_4200kg_cm2" localSheetId="6">#REF!</definedName>
    <definedName name="SRC鋼筋加工及彎紮Fy_4200kg_cm2">#REF!</definedName>
    <definedName name="srrt" localSheetId="6" hidden="1">'[4]單價分析表(1-11)'!#REF!</definedName>
    <definedName name="srrt" hidden="1">'[4]單價分析表(1-11)'!#REF!</definedName>
    <definedName name="ss" localSheetId="6">[67]工程預算書!#REF!</definedName>
    <definedName name="ss">[67]工程預算書!#REF!</definedName>
    <definedName name="sss" localSheetId="6" hidden="1">#REF!</definedName>
    <definedName name="sss" hidden="1">#REF!</definedName>
    <definedName name="ssss1" localSheetId="6">#REF!</definedName>
    <definedName name="ssss1">#REF!</definedName>
    <definedName name="st.mat" localSheetId="1">[30]材料表!#REF!</definedName>
    <definedName name="st.mat" localSheetId="2">[30]材料表!#REF!</definedName>
    <definedName name="st.mat" localSheetId="4">[30]材料表!#REF!</definedName>
    <definedName name="st.mat" localSheetId="5">[30]材料表!#REF!</definedName>
    <definedName name="st.mat" localSheetId="6">[30]材料表!#REF!</definedName>
    <definedName name="st.mat" localSheetId="7">[30]材料表!#REF!</definedName>
    <definedName name="st.mat">[30]材料表!#REF!</definedName>
    <definedName name="st.ton" localSheetId="1">[30]預算明細表!#REF!</definedName>
    <definedName name="st.ton" localSheetId="2">[30]預算明細表!#REF!</definedName>
    <definedName name="st.ton" localSheetId="4">[30]預算明細表!#REF!</definedName>
    <definedName name="st.ton" localSheetId="5">[30]預算明細表!#REF!</definedName>
    <definedName name="st.ton" localSheetId="6">[30]預算明細表!#REF!</definedName>
    <definedName name="st.ton" localSheetId="7">[30]預算明細表!#REF!</definedName>
    <definedName name="st.ton">[30]預算明細表!#REF!</definedName>
    <definedName name="StateOfFlow" localSheetId="2">[14]!StateOfFlow</definedName>
    <definedName name="StateOfFlow" localSheetId="6">[14]!StateOfFlow</definedName>
    <definedName name="StateOfFlow">[14]!StateOfFlow</definedName>
    <definedName name="steel" localSheetId="6">#REF!</definedName>
    <definedName name="steel">#REF!</definedName>
    <definedName name="SUB_1" localSheetId="6">#REF!</definedName>
    <definedName name="SUB_1">#REF!</definedName>
    <definedName name="SUB_2" localSheetId="6">#REF!</definedName>
    <definedName name="SUB_2">#REF!</definedName>
    <definedName name="SUB_3" localSheetId="6">#REF!</definedName>
    <definedName name="SUB_3">#REF!</definedName>
    <definedName name="SUB_4" localSheetId="6">#REF!</definedName>
    <definedName name="SUB_4">#REF!</definedName>
    <definedName name="SUM" localSheetId="6">'[68]單價分析表 '!#REF!</definedName>
    <definedName name="SUM">'[68]單價分析表 '!#REF!</definedName>
    <definedName name="sup.cem" localSheetId="5">[30]預算明細表!#REF!</definedName>
    <definedName name="sup.cem" localSheetId="6">[30]預算明細表!#REF!</definedName>
    <definedName name="sup.cem" localSheetId="7">[30]預算明細表!#REF!</definedName>
    <definedName name="sup.cem">[30]預算明細表!#REF!</definedName>
    <definedName name="sw" localSheetId="2">[0]!SetDate()</definedName>
    <definedName name="sw" localSheetId="6">[0]!SetDate()</definedName>
    <definedName name="sw">[0]!SetDate()</definedName>
    <definedName name="T" localSheetId="6">[47]預算明細!#REF!</definedName>
    <definedName name="T">[47]預算明細!#REF!</definedName>
    <definedName name="T_33" localSheetId="6">#REF!</definedName>
    <definedName name="T_33">#REF!</definedName>
    <definedName name="T_34" localSheetId="6">#REF!</definedName>
    <definedName name="T_34">#REF!</definedName>
    <definedName name="T_C" localSheetId="6">#REF!</definedName>
    <definedName name="T_C">#REF!</definedName>
    <definedName name="T_CA" localSheetId="6">#REF!</definedName>
    <definedName name="T_CA">#REF!</definedName>
    <definedName name="T_D" localSheetId="6">#REF!</definedName>
    <definedName name="T_D">#REF!</definedName>
    <definedName name="T_FA" localSheetId="6">#REF!</definedName>
    <definedName name="T_FA">#REF!</definedName>
    <definedName name="T_KG" localSheetId="6">#REF!</definedName>
    <definedName name="T_KG">#REF!</definedName>
    <definedName name="T_PS" localSheetId="6">#REF!</definedName>
    <definedName name="T_PS">#REF!</definedName>
    <definedName name="T_WH" localSheetId="6">#REF!</definedName>
    <definedName name="T_WH">#REF!</definedName>
    <definedName name="T10_14" localSheetId="6">#REF!</definedName>
    <definedName name="T10_14">#REF!</definedName>
    <definedName name="T10_16" localSheetId="6">#REF!</definedName>
    <definedName name="T10_16">#REF!</definedName>
    <definedName name="T10_17" localSheetId="6">#REF!</definedName>
    <definedName name="T10_17">#REF!</definedName>
    <definedName name="T10_18" localSheetId="6">#REF!</definedName>
    <definedName name="T10_18">#REF!</definedName>
    <definedName name="T10_20" localSheetId="6">#REF!</definedName>
    <definedName name="T10_20">#REF!</definedName>
    <definedName name="T10_21" localSheetId="6">#REF!</definedName>
    <definedName name="T10_21">#REF!</definedName>
    <definedName name="T10_22" localSheetId="6">#REF!</definedName>
    <definedName name="T10_22">#REF!</definedName>
    <definedName name="T10_23" localSheetId="6">#REF!</definedName>
    <definedName name="T10_23">#REF!</definedName>
    <definedName name="T9_18" localSheetId="6">#REF!</definedName>
    <definedName name="T9_18">#REF!</definedName>
    <definedName name="T9_22" localSheetId="6">#REF!</definedName>
    <definedName name="T9_22">#REF!</definedName>
    <definedName name="T9_23" localSheetId="6">#REF!</definedName>
    <definedName name="T9_23">#REF!</definedName>
    <definedName name="T9_25" localSheetId="6">#REF!</definedName>
    <definedName name="T9_25">#REF!</definedName>
    <definedName name="T9_27" localSheetId="6">#REF!</definedName>
    <definedName name="T9_27">#REF!</definedName>
    <definedName name="t9_28" localSheetId="6">#REF!</definedName>
    <definedName name="t9_28">#REF!</definedName>
    <definedName name="T9_29" localSheetId="6">#REF!</definedName>
    <definedName name="T9_29">#REF!</definedName>
    <definedName name="T9_30" localSheetId="6">#REF!</definedName>
    <definedName name="T9_30">#REF!</definedName>
    <definedName name="T9_31" localSheetId="6">#REF!</definedName>
    <definedName name="T9_31">#REF!</definedName>
    <definedName name="T9_35" localSheetId="6">#REF!</definedName>
    <definedName name="T9_35">#REF!</definedName>
    <definedName name="T9_36" localSheetId="6">#REF!</definedName>
    <definedName name="T9_36">#REF!</definedName>
    <definedName name="T9_37" localSheetId="6">#REF!</definedName>
    <definedName name="T9_37">#REF!</definedName>
    <definedName name="T9_38" localSheetId="6">#REF!</definedName>
    <definedName name="T9_38">#REF!</definedName>
    <definedName name="T9_39" localSheetId="6">#REF!</definedName>
    <definedName name="T9_39">#REF!</definedName>
    <definedName name="ta" localSheetId="6">#REF!</definedName>
    <definedName name="ta">#REF!</definedName>
    <definedName name="table2" localSheetId="6">#REF!</definedName>
    <definedName name="table2">#REF!</definedName>
    <definedName name="tableB">[69]單價分析表!$T$7:$U$36</definedName>
    <definedName name="tableC" localSheetId="6">#REF!</definedName>
    <definedName name="tableC">#REF!</definedName>
    <definedName name="TAC" localSheetId="6">#REF!</definedName>
    <definedName name="TAC">#REF!</definedName>
    <definedName name="TAIL" localSheetId="6">[14]Sheet1!#REF!</definedName>
    <definedName name="TAIL">[14]Sheet1!#REF!</definedName>
    <definedName name="tb" localSheetId="6">#REF!</definedName>
    <definedName name="tb">#REF!</definedName>
    <definedName name="tc" localSheetId="6">#REF!</definedName>
    <definedName name="tc">#REF!</definedName>
    <definedName name="TEST" localSheetId="2">[0]!SetDate()</definedName>
    <definedName name="TEST" localSheetId="6">[0]!SetDate()</definedName>
    <definedName name="TEST">[0]!SetDate()</definedName>
    <definedName name="TGA" localSheetId="6">#REF!</definedName>
    <definedName name="TGA">#REF!</definedName>
    <definedName name="TGS" localSheetId="6">#REF!</definedName>
    <definedName name="TGS">#REF!</definedName>
    <definedName name="TopWidth" localSheetId="2">[14]!TopWidth</definedName>
    <definedName name="TopWidth" localSheetId="6">[14]!TopWidth</definedName>
    <definedName name="TopWidth">[14]!TopWidth</definedName>
    <definedName name="TOTAL" localSheetId="6">[14]Sheet1!#REF!</definedName>
    <definedName name="TOTAL">[14]Sheet1!#REF!</definedName>
    <definedName name="totalA" localSheetId="6">[70]統2!#REF!</definedName>
    <definedName name="totalA">[70]統2!#REF!</definedName>
    <definedName name="totl" localSheetId="1">[30]預算明細表!#REF!</definedName>
    <definedName name="totl" localSheetId="2">[30]預算明細表!#REF!</definedName>
    <definedName name="totl" localSheetId="4">[30]預算明細表!#REF!</definedName>
    <definedName name="totl" localSheetId="5">[30]預算明細表!#REF!</definedName>
    <definedName name="totl" localSheetId="6">[30]預算明細表!#REF!</definedName>
    <definedName name="totl" localSheetId="7">[30]預算明細表!#REF!</definedName>
    <definedName name="totl">[30]預算明細表!#REF!</definedName>
    <definedName name="tpc.rcpipe" localSheetId="1">[40]單價!#REF!</definedName>
    <definedName name="tpc.rcpipe" localSheetId="2">[40]單價!#REF!</definedName>
    <definedName name="tpc.rcpipe" localSheetId="4">[40]單價!#REF!</definedName>
    <definedName name="tpc.rcpipe" localSheetId="5">[39]單價!#REF!</definedName>
    <definedName name="tpc.rcpipe" localSheetId="6">[39]單價!#REF!</definedName>
    <definedName name="tpc.rcpipe" localSheetId="7">[40]單價!#REF!</definedName>
    <definedName name="tpc.rcpipe">[40]單價!#REF!</definedName>
    <definedName name="tpcm.ac" localSheetId="1">[40]單價!#REF!</definedName>
    <definedName name="tpcm.ac" localSheetId="2">[40]單價!#REF!</definedName>
    <definedName name="tpcm.ac" localSheetId="4">[40]單價!#REF!</definedName>
    <definedName name="tpcm.ac" localSheetId="5">[39]單價!#REF!</definedName>
    <definedName name="tpcm.ac" localSheetId="6">[39]單價!#REF!</definedName>
    <definedName name="tpcm.ac" localSheetId="7">[40]單價!#REF!</definedName>
    <definedName name="tpcm.ac">[40]單價!#REF!</definedName>
    <definedName name="tpsm.form" localSheetId="5">[39]單價!$G$19</definedName>
    <definedName name="tpsm.form" localSheetId="6">[39]單價!$G$19</definedName>
    <definedName name="tpsm.form">[40]單價!$G$19</definedName>
    <definedName name="TPSM.S.FORM" localSheetId="1">[40]單價!#REF!</definedName>
    <definedName name="TPSM.S.FORM" localSheetId="2">[40]單價!#REF!</definedName>
    <definedName name="TPSM.S.FORM" localSheetId="4">[40]單價!#REF!</definedName>
    <definedName name="TPSM.S.FORM" localSheetId="5">[39]單價!#REF!</definedName>
    <definedName name="TPSM.S.FORM" localSheetId="6">[39]單價!#REF!</definedName>
    <definedName name="TPSM.S.FORM" localSheetId="7">[40]單價!#REF!</definedName>
    <definedName name="TPSM.S.FORM">[40]單價!#REF!</definedName>
    <definedName name="tra.tree" localSheetId="1">[30]預算明細表!#REF!</definedName>
    <definedName name="tra.tree" localSheetId="2">[30]預算明細表!#REF!</definedName>
    <definedName name="tra.tree" localSheetId="4">[30]預算明細表!#REF!</definedName>
    <definedName name="tra.tree" localSheetId="5">[30]預算明細表!#REF!</definedName>
    <definedName name="tra.tree" localSheetId="6">[30]預算明細表!#REF!</definedName>
    <definedName name="tra.tree" localSheetId="7">[30]預算明細表!#REF!</definedName>
    <definedName name="tra.tree">[30]預算明細表!#REF!</definedName>
    <definedName name="tran.gra.t" localSheetId="5">[39]單價!$J$28</definedName>
    <definedName name="tran.gra.t" localSheetId="6">[39]單價!$J$28</definedName>
    <definedName name="tran.gra.t">[40]單價!$J$28</definedName>
    <definedName name="tran.mat" localSheetId="5">[39]單價!$J$23</definedName>
    <definedName name="tran.mat" localSheetId="6">[39]單價!$J$23</definedName>
    <definedName name="tran.mat">[40]單價!$J$23</definedName>
    <definedName name="TT" localSheetId="6">[6]工程預算書!#REF!</definedName>
    <definedName name="TT">[6]工程預算書!#REF!</definedName>
    <definedName name="ttrdhm" localSheetId="6" hidden="1">[32]Sheet2!#REF!</definedName>
    <definedName name="ttrdhm" hidden="1">[32]Sheet2!#REF!</definedName>
    <definedName name="T型" localSheetId="6">#REF!</definedName>
    <definedName name="T型">#REF!</definedName>
    <definedName name="T型N" localSheetId="6">#REF!</definedName>
    <definedName name="T型N">#REF!</definedName>
    <definedName name="u" localSheetId="6">#REF!</definedName>
    <definedName name="u">#REF!</definedName>
    <definedName name="U1C" localSheetId="6">[1]U!#REF!</definedName>
    <definedName name="U1C">[1]U!#REF!</definedName>
    <definedName name="U1CA" localSheetId="6">[1]U!#REF!</definedName>
    <definedName name="U1CA">[1]U!#REF!</definedName>
    <definedName name="U1CB" localSheetId="6">[1]U!#REF!</definedName>
    <definedName name="U1CB">[1]U!#REF!</definedName>
    <definedName name="U1CH" localSheetId="6">[1]U!#REF!</definedName>
    <definedName name="U1CH">[1]U!#REF!</definedName>
    <definedName name="U1H4" localSheetId="6">[1]U!#REF!</definedName>
    <definedName name="U1H4">[1]U!#REF!</definedName>
    <definedName name="U1H4_" localSheetId="6">[1]U!#REF!</definedName>
    <definedName name="U1H4_">[1]U!#REF!</definedName>
    <definedName name="U1L" localSheetId="6">[1]U!#REF!</definedName>
    <definedName name="U1L">[1]U!#REF!</definedName>
    <definedName name="U1P" localSheetId="6">[1]U!#REF!</definedName>
    <definedName name="U1P">[1]U!#REF!</definedName>
    <definedName name="U1PA" localSheetId="6">[1]U!#REF!</definedName>
    <definedName name="U1PA">[1]U!#REF!</definedName>
    <definedName name="U1PB" localSheetId="6">[1]U!#REF!</definedName>
    <definedName name="U1PB">[1]U!#REF!</definedName>
    <definedName name="U3C" localSheetId="6">[1]U!#REF!</definedName>
    <definedName name="U3C">[1]U!#REF!</definedName>
    <definedName name="U3CH" localSheetId="6">[1]U!#REF!</definedName>
    <definedName name="U3CH">[1]U!#REF!</definedName>
    <definedName name="U3H2" localSheetId="6">[1]U!#REF!</definedName>
    <definedName name="U3H2">[1]U!#REF!</definedName>
    <definedName name="U3H3" localSheetId="6">[1]U!#REF!</definedName>
    <definedName name="U3H3">[1]U!#REF!</definedName>
    <definedName name="U3L" localSheetId="6">[1]U!#REF!</definedName>
    <definedName name="U3L">[1]U!#REF!</definedName>
    <definedName name="uio" localSheetId="6">#REF!</definedName>
    <definedName name="uio">#REF!</definedName>
    <definedName name="unitlys" localSheetId="6">#REF!</definedName>
    <definedName name="unitlys">#REF!</definedName>
    <definedName name="untol">[69]單價總表!$A$2:$F$308</definedName>
    <definedName name="up.gra20" localSheetId="5">[39]單價!$J$48</definedName>
    <definedName name="up.gra20" localSheetId="6">[39]單價!$J$48</definedName>
    <definedName name="up.gra20">[40]單價!$J$48</definedName>
    <definedName name="up.grad" localSheetId="1">[40]單價!#REF!</definedName>
    <definedName name="up.grad" localSheetId="2">[40]單價!#REF!</definedName>
    <definedName name="up.grad" localSheetId="4">[40]單價!#REF!</definedName>
    <definedName name="up.grad" localSheetId="5">[39]單價!#REF!</definedName>
    <definedName name="up.grad" localSheetId="6">[39]單價!#REF!</definedName>
    <definedName name="up.grad" localSheetId="7">[40]單價!#REF!</definedName>
    <definedName name="up.grad">[40]單價!#REF!</definedName>
    <definedName name="up.grav" localSheetId="5">[39]單價!$J$44</definedName>
    <definedName name="up.grav" localSheetId="6">[39]單價!$J$44</definedName>
    <definedName name="up.grav">[40]單價!$J$44</definedName>
    <definedName name="up.sand" localSheetId="5">[39]單價!$J$39</definedName>
    <definedName name="up.sand" localSheetId="6">[39]單價!$J$39</definedName>
    <definedName name="up.sand">[40]單價!$J$39</definedName>
    <definedName name="up.soil" localSheetId="1">[40]單價!#REF!</definedName>
    <definedName name="up.soil" localSheetId="2">[40]單價!#REF!</definedName>
    <definedName name="up.soil" localSheetId="4">[40]單價!#REF!</definedName>
    <definedName name="up.soil" localSheetId="5">[39]單價!#REF!</definedName>
    <definedName name="up.soil" localSheetId="6">[39]單價!#REF!</definedName>
    <definedName name="up.soil" localSheetId="7">[40]單價!#REF!</definedName>
    <definedName name="up.soil">[40]單價!#REF!</definedName>
    <definedName name="up.stl" localSheetId="1">[40]單價!#REF!</definedName>
    <definedName name="up.stl" localSheetId="2">[40]單價!#REF!</definedName>
    <definedName name="up.stl" localSheetId="4">[40]單價!#REF!</definedName>
    <definedName name="up.stl" localSheetId="5">[39]單價!#REF!</definedName>
    <definedName name="up.stl" localSheetId="6">[39]單價!#REF!</definedName>
    <definedName name="up.stl" localSheetId="7">[40]單價!#REF!</definedName>
    <definedName name="up.stl">[40]單價!#REF!</definedName>
    <definedName name="upi.1\2Km" localSheetId="5">[39]單價!#REF!</definedName>
    <definedName name="upi.1\2Km" localSheetId="6">[39]單價!#REF!</definedName>
    <definedName name="upi.1\2Km" localSheetId="7">[40]單價!#REF!</definedName>
    <definedName name="upi.1\2Km">[40]單價!#REF!</definedName>
    <definedName name="upi.AC" localSheetId="5">[39]單價!#REF!</definedName>
    <definedName name="upi.AC" localSheetId="6">[39]單價!#REF!</definedName>
    <definedName name="upi.AC" localSheetId="7">[40]單價!#REF!</definedName>
    <definedName name="upi.AC">[40]單價!#REF!</definedName>
    <definedName name="upi.ac.a" localSheetId="5">[39]單價!#REF!</definedName>
    <definedName name="upi.ac.a" localSheetId="6">[39]單價!#REF!</definedName>
    <definedName name="upi.ac.a" localSheetId="7">[40]單價!#REF!</definedName>
    <definedName name="upi.ac.a">[40]單價!#REF!</definedName>
    <definedName name="upi.ac.emu" localSheetId="5">[39]單價!#REF!</definedName>
    <definedName name="upi.ac.emu" localSheetId="6">[39]單價!#REF!</definedName>
    <definedName name="upi.ac.emu" localSheetId="7">[40]單價!#REF!</definedName>
    <definedName name="upi.ac.emu">[40]單價!#REF!</definedName>
    <definedName name="upi.ac.m3" localSheetId="5">[39]單價!#REF!</definedName>
    <definedName name="upi.ac.m3" localSheetId="6">[39]單價!#REF!</definedName>
    <definedName name="upi.ac.m3" localSheetId="7">[40]單價!#REF!</definedName>
    <definedName name="upi.ac.m3">[40]單價!#REF!</definedName>
    <definedName name="upi.acre" localSheetId="5">[39]單價!#REF!</definedName>
    <definedName name="upi.acre" localSheetId="6">[39]單價!#REF!</definedName>
    <definedName name="upi.acre" localSheetId="7">[40]單價!#REF!</definedName>
    <definedName name="upi.acre">[40]單價!#REF!</definedName>
    <definedName name="upi.bbeng" localSheetId="5">[39]單價!#REF!</definedName>
    <definedName name="upi.bbeng" localSheetId="6">[39]單價!#REF!</definedName>
    <definedName name="upi.bbeng" localSheetId="7">[40]單價!#REF!</definedName>
    <definedName name="upi.bbeng">[40]單價!#REF!</definedName>
    <definedName name="upi.bbeng.a" localSheetId="5">[39]單價!#REF!</definedName>
    <definedName name="upi.bbeng.a" localSheetId="6">[39]單價!#REF!</definedName>
    <definedName name="upi.bbeng.a" localSheetId="7">[40]單價!#REF!</definedName>
    <definedName name="upi.bbeng.a">[40]單價!#REF!</definedName>
    <definedName name="upi.bcp" localSheetId="5">[39]單價!#REF!</definedName>
    <definedName name="upi.bcp" localSheetId="6">[39]單價!#REF!</definedName>
    <definedName name="upi.bcp" localSheetId="7">[40]單價!#REF!</definedName>
    <definedName name="upi.bcp">[40]單價!#REF!</definedName>
    <definedName name="upi.bcp.a" localSheetId="5">[39]單價!#REF!</definedName>
    <definedName name="upi.bcp.a" localSheetId="6">[39]單價!#REF!</definedName>
    <definedName name="upi.bcp.a" localSheetId="7">[40]單價!#REF!</definedName>
    <definedName name="upi.bcp.a">[40]單價!#REF!</definedName>
    <definedName name="upi.board" localSheetId="5">[39]單價!#REF!</definedName>
    <definedName name="upi.board" localSheetId="6">[39]單價!#REF!</definedName>
    <definedName name="upi.board" localSheetId="7">[40]單價!#REF!</definedName>
    <definedName name="upi.board">[40]單價!#REF!</definedName>
    <definedName name="upi.box" localSheetId="5">[39]單價!#REF!</definedName>
    <definedName name="upi.box" localSheetId="6">[39]單價!#REF!</definedName>
    <definedName name="upi.box" localSheetId="7">[40]單價!#REF!</definedName>
    <definedName name="upi.box">[40]單價!#REF!</definedName>
    <definedName name="upi.brush" localSheetId="5">[39]單價!#REF!</definedName>
    <definedName name="upi.brush" localSheetId="6">[39]單價!#REF!</definedName>
    <definedName name="upi.brush" localSheetId="7">[40]單價!#REF!</definedName>
    <definedName name="upi.brush">[40]單價!#REF!</definedName>
    <definedName name="upi.cabwk" localSheetId="5">[39]單價!#REF!</definedName>
    <definedName name="upi.cabwk" localSheetId="6">[39]單價!#REF!</definedName>
    <definedName name="upi.cabwk" localSheetId="7">[40]單價!#REF!</definedName>
    <definedName name="upi.cabwk">[40]單價!#REF!</definedName>
    <definedName name="UPI.CL" localSheetId="5">[39]單價!#REF!</definedName>
    <definedName name="UPI.CL" localSheetId="6">[39]單價!#REF!</definedName>
    <definedName name="UPI.CL" localSheetId="7">[40]單價!#REF!</definedName>
    <definedName name="UPI.CL">[40]單價!#REF!</definedName>
    <definedName name="upi.cobbas" localSheetId="5">[39]單價!#REF!</definedName>
    <definedName name="upi.cobbas" localSheetId="6">[39]單價!#REF!</definedName>
    <definedName name="upi.cobbas" localSheetId="7">[40]單價!#REF!</definedName>
    <definedName name="upi.cobbas">[40]單價!#REF!</definedName>
    <definedName name="upi.cobbox2" localSheetId="5">[39]單價!#REF!</definedName>
    <definedName name="upi.cobbox2" localSheetId="6">[39]單價!#REF!</definedName>
    <definedName name="upi.cobbox2" localSheetId="7">[40]單價!#REF!</definedName>
    <definedName name="upi.cobbox2">[40]單價!#REF!</definedName>
    <definedName name="upi.con140.a" localSheetId="5">[39]單價!#REF!</definedName>
    <definedName name="upi.con140.a" localSheetId="6">[39]單價!#REF!</definedName>
    <definedName name="upi.con140.a" localSheetId="7">[40]單價!#REF!</definedName>
    <definedName name="upi.con140.a">[40]單價!#REF!</definedName>
    <definedName name="upi.crs.dtch" localSheetId="5">[39]單價!#REF!</definedName>
    <definedName name="upi.crs.dtch" localSheetId="6">[39]單價!#REF!</definedName>
    <definedName name="upi.crs.dtch" localSheetId="7">[40]單價!#REF!</definedName>
    <definedName name="upi.crs.dtch">[40]單價!#REF!</definedName>
    <definedName name="upi.cut.a" localSheetId="5">[39]單價!#REF!</definedName>
    <definedName name="upi.cut.a" localSheetId="6">[39]單價!#REF!</definedName>
    <definedName name="upi.cut.a" localSheetId="7">[40]單價!#REF!</definedName>
    <definedName name="upi.cut.a">[40]單價!#REF!</definedName>
    <definedName name="upi.cutface" localSheetId="5">[39]單價!#REF!</definedName>
    <definedName name="upi.cutface" localSheetId="6">[39]單價!#REF!</definedName>
    <definedName name="upi.cutface" localSheetId="7">[40]單價!#REF!</definedName>
    <definedName name="upi.cutface">[40]單價!#REF!</definedName>
    <definedName name="upi.discard.a" localSheetId="5">[39]單價!#REF!</definedName>
    <definedName name="upi.discard.a" localSheetId="6">[39]單價!#REF!</definedName>
    <definedName name="upi.discard.a" localSheetId="7">[40]單價!#REF!</definedName>
    <definedName name="upi.discard.a">[40]單價!#REF!</definedName>
    <definedName name="upi.dran.fender" localSheetId="5">[39]單價!#REF!</definedName>
    <definedName name="upi.dran.fender" localSheetId="6">[39]單價!#REF!</definedName>
    <definedName name="upi.dran.fender" localSheetId="7">[40]單價!#REF!</definedName>
    <definedName name="upi.dran.fender">[40]單價!#REF!</definedName>
    <definedName name="upi.dran.fender.a" localSheetId="5">[39]單價!#REF!</definedName>
    <definedName name="upi.dran.fender.a" localSheetId="6">[39]單價!#REF!</definedName>
    <definedName name="upi.dran.fender.a" localSheetId="7">[40]單價!#REF!</definedName>
    <definedName name="upi.dran.fender.a">[40]單價!#REF!</definedName>
    <definedName name="UPI.DRG" localSheetId="5">[39]單價!#REF!</definedName>
    <definedName name="UPI.DRG" localSheetId="6">[39]單價!#REF!</definedName>
    <definedName name="UPI.DRG" localSheetId="7">[40]單價!#REF!</definedName>
    <definedName name="UPI.DRG">[40]單價!#REF!</definedName>
    <definedName name="upi.dwn.dtch" localSheetId="5">[39]單價!#REF!</definedName>
    <definedName name="upi.dwn.dtch" localSheetId="6">[39]單價!#REF!</definedName>
    <definedName name="upi.dwn.dtch" localSheetId="7">[40]單價!#REF!</definedName>
    <definedName name="upi.dwn.dtch">[40]單價!#REF!</definedName>
    <definedName name="upi.emuac" localSheetId="5">[39]單價!#REF!</definedName>
    <definedName name="upi.emuac" localSheetId="6">[39]單價!#REF!</definedName>
    <definedName name="upi.emuac" localSheetId="7">[40]單價!#REF!</definedName>
    <definedName name="upi.emuac">[40]單價!#REF!</definedName>
    <definedName name="upi.emuac.a" localSheetId="5">[39]單價!#REF!</definedName>
    <definedName name="upi.emuac.a" localSheetId="6">[39]單價!#REF!</definedName>
    <definedName name="upi.emuac.a" localSheetId="7">[40]單價!#REF!</definedName>
    <definedName name="upi.emuac.a">[40]單價!#REF!</definedName>
    <definedName name="UPI.FILL" localSheetId="5">[39]單價!#REF!</definedName>
    <definedName name="UPI.FILL" localSheetId="6">[39]單價!#REF!</definedName>
    <definedName name="UPI.FILL" localSheetId="7">[40]單價!#REF!</definedName>
    <definedName name="UPI.FILL">[40]單價!#REF!</definedName>
    <definedName name="upi.fill.a" localSheetId="5">[39]單價!#REF!</definedName>
    <definedName name="upi.fill.a" localSheetId="6">[39]單價!#REF!</definedName>
    <definedName name="upi.fill.a" localSheetId="7">[40]單價!#REF!</definedName>
    <definedName name="upi.fill.a">[40]單價!#REF!</definedName>
    <definedName name="upi.form.a" localSheetId="5">[39]單價!#REF!</definedName>
    <definedName name="upi.form.a" localSheetId="6">[39]單價!#REF!</definedName>
    <definedName name="upi.form.a" localSheetId="7">[40]單價!#REF!</definedName>
    <definedName name="upi.form.a">[40]單價!#REF!</definedName>
    <definedName name="upi.form.n" localSheetId="5">[39]單價!#REF!</definedName>
    <definedName name="upi.form.n" localSheetId="6">[39]單價!#REF!</definedName>
    <definedName name="upi.form.n" localSheetId="7">[40]單價!#REF!</definedName>
    <definedName name="upi.form.n">[40]單價!#REF!</definedName>
    <definedName name="upi.form.s" localSheetId="5">[39]單價!#REF!</definedName>
    <definedName name="upi.form.s" localSheetId="6">[39]單價!#REF!</definedName>
    <definedName name="upi.form.s" localSheetId="7">[40]單價!#REF!</definedName>
    <definedName name="upi.form.s">[40]單價!#REF!</definedName>
    <definedName name="upi.gra.fil" localSheetId="5">[39]單價!#REF!</definedName>
    <definedName name="upi.gra.fil" localSheetId="6">[39]單價!#REF!</definedName>
    <definedName name="upi.gra.fil" localSheetId="7">[40]單價!#REF!</definedName>
    <definedName name="upi.gra.fil">[40]單價!#REF!</definedName>
    <definedName name="upi.grad" localSheetId="5">[39]單價!#REF!</definedName>
    <definedName name="upi.grad" localSheetId="6">[39]單價!#REF!</definedName>
    <definedName name="upi.grad" localSheetId="7">[40]單價!#REF!</definedName>
    <definedName name="upi.grad">[40]單價!#REF!</definedName>
    <definedName name="upi.grad.a" localSheetId="5">[39]單價!#REF!</definedName>
    <definedName name="upi.grad.a" localSheetId="6">[39]單價!#REF!</definedName>
    <definedName name="upi.grad.a" localSheetId="7">[40]單價!#REF!</definedName>
    <definedName name="upi.grad.a">[40]單價!#REF!</definedName>
    <definedName name="upi.grid" localSheetId="5">[39]單價!#REF!</definedName>
    <definedName name="upi.grid" localSheetId="6">[39]單價!#REF!</definedName>
    <definedName name="upi.grid" localSheetId="7">[40]單價!#REF!</definedName>
    <definedName name="upi.grid">[40]單價!#REF!</definedName>
    <definedName name="upi.H型鋼">[33]單價!$J$169</definedName>
    <definedName name="upi.jetwk" localSheetId="1">[40]單價!#REF!</definedName>
    <definedName name="upi.jetwk" localSheetId="2">[40]單價!#REF!</definedName>
    <definedName name="upi.jetwk" localSheetId="4">[40]單價!#REF!</definedName>
    <definedName name="upi.jetwk" localSheetId="5">[39]單價!#REF!</definedName>
    <definedName name="upi.jetwk" localSheetId="6">[39]單價!#REF!</definedName>
    <definedName name="upi.jetwk" localSheetId="7">[40]單價!#REF!</definedName>
    <definedName name="upi.jetwk">[40]單價!#REF!</definedName>
    <definedName name="upi.keyst2" localSheetId="1">[40]單價!#REF!</definedName>
    <definedName name="upi.keyst2" localSheetId="2">[40]單價!#REF!</definedName>
    <definedName name="upi.keyst2" localSheetId="4">[40]單價!#REF!</definedName>
    <definedName name="upi.keyst2" localSheetId="5">[39]單價!#REF!</definedName>
    <definedName name="upi.keyst2" localSheetId="6">[39]單價!#REF!</definedName>
    <definedName name="upi.keyst2" localSheetId="7">[40]單價!#REF!</definedName>
    <definedName name="upi.keyst2">[40]單價!#REF!</definedName>
    <definedName name="upi.Km" localSheetId="5">[39]單價!#REF!</definedName>
    <definedName name="upi.Km" localSheetId="6">[39]單價!#REF!</definedName>
    <definedName name="upi.Km" localSheetId="7">[40]單價!#REF!</definedName>
    <definedName name="upi.Km">[40]單價!#REF!</definedName>
    <definedName name="upi.L" localSheetId="5">[39]單價!#REF!</definedName>
    <definedName name="upi.L" localSheetId="6">[39]單價!#REF!</definedName>
    <definedName name="upi.L" localSheetId="7">[40]單價!#REF!</definedName>
    <definedName name="upi.L">[40]單價!#REF!</definedName>
    <definedName name="upi.L.a" localSheetId="5">[39]單價!#REF!</definedName>
    <definedName name="upi.L.a" localSheetId="6">[39]單價!#REF!</definedName>
    <definedName name="upi.L.a" localSheetId="7">[40]單價!#REF!</definedName>
    <definedName name="upi.L.a">[40]單價!#REF!</definedName>
    <definedName name="upi.line" localSheetId="5">[39]單價!#REF!</definedName>
    <definedName name="upi.line" localSheetId="6">[39]單價!#REF!</definedName>
    <definedName name="upi.line" localSheetId="7">[40]單價!#REF!</definedName>
    <definedName name="upi.line">[40]單價!#REF!</definedName>
    <definedName name="upi.line.a" localSheetId="5">[39]單價!#REF!</definedName>
    <definedName name="upi.line.a" localSheetId="6">[39]單價!#REF!</definedName>
    <definedName name="upi.line.a" localSheetId="7">[40]單價!#REF!</definedName>
    <definedName name="upi.line.a">[40]單價!#REF!</definedName>
    <definedName name="UPI.MATTRN" localSheetId="5">[39]單價!#REF!</definedName>
    <definedName name="UPI.MATTRN" localSheetId="6">[39]單價!#REF!</definedName>
    <definedName name="UPI.MATTRN" localSheetId="7">[40]單價!#REF!</definedName>
    <definedName name="UPI.MATTRN">[40]單價!#REF!</definedName>
    <definedName name="upi.mc1" localSheetId="5">[39]單價!#REF!</definedName>
    <definedName name="upi.mc1" localSheetId="6">[39]單價!#REF!</definedName>
    <definedName name="upi.mc1" localSheetId="7">[40]單價!#REF!</definedName>
    <definedName name="upi.mc1">[40]單價!#REF!</definedName>
    <definedName name="upi.mc1.a" localSheetId="5">[39]單價!#REF!</definedName>
    <definedName name="upi.mc1.a" localSheetId="6">[39]單價!#REF!</definedName>
    <definedName name="upi.mc1.a" localSheetId="7">[40]單價!#REF!</definedName>
    <definedName name="upi.mc1.a">[40]單價!#REF!</definedName>
    <definedName name="UPI.MOTAR" localSheetId="5">[39]單價!#REF!</definedName>
    <definedName name="UPI.MOTAR" localSheetId="6">[39]單價!#REF!</definedName>
    <definedName name="UPI.MOTAR" localSheetId="7">[40]單價!#REF!</definedName>
    <definedName name="UPI.MOTAR">[40]單價!#REF!</definedName>
    <definedName name="upi.motar.a" localSheetId="5">[39]單價!#REF!</definedName>
    <definedName name="upi.motar.a" localSheetId="6">[39]單價!#REF!</definedName>
    <definedName name="upi.motar.a" localSheetId="7">[40]單價!#REF!</definedName>
    <definedName name="upi.motar.a">[40]單價!#REF!</definedName>
    <definedName name="upi.nj.defnd" localSheetId="5">[39]單價!#REF!</definedName>
    <definedName name="upi.nj.defnd" localSheetId="6">[39]單價!#REF!</definedName>
    <definedName name="upi.nj.defnd" localSheetId="7">[40]單價!#REF!</definedName>
    <definedName name="upi.nj.defnd">[40]單價!#REF!</definedName>
    <definedName name="upi.nj.fnd" localSheetId="5">[39]單價!#REF!</definedName>
    <definedName name="upi.nj.fnd" localSheetId="6">[39]單價!#REF!</definedName>
    <definedName name="upi.nj.fnd" localSheetId="7">[40]單價!#REF!</definedName>
    <definedName name="upi.nj.fnd">[40]單價!#REF!</definedName>
    <definedName name="UPI.PAINT" localSheetId="5">[39]單價!#REF!</definedName>
    <definedName name="UPI.PAINT" localSheetId="6">[39]單價!#REF!</definedName>
    <definedName name="UPI.PAINT" localSheetId="7">[40]單價!#REF!</definedName>
    <definedName name="UPI.PAINT">[40]單價!#REF!</definedName>
    <definedName name="upi.paint.a" localSheetId="5">[39]單價!#REF!</definedName>
    <definedName name="upi.paint.a" localSheetId="6">[39]單價!#REF!</definedName>
    <definedName name="upi.paint.a" localSheetId="7">[40]單價!#REF!</definedName>
    <definedName name="upi.paint.a">[40]單價!#REF!</definedName>
    <definedName name="upi.panel" localSheetId="5">[39]單價!#REF!</definedName>
    <definedName name="upi.panel" localSheetId="6">[39]單價!#REF!</definedName>
    <definedName name="upi.panel" localSheetId="7">[40]單價!#REF!</definedName>
    <definedName name="upi.panel">[40]單價!#REF!</definedName>
    <definedName name="upi.panel.a" localSheetId="5">[39]單價!#REF!</definedName>
    <definedName name="upi.panel.a" localSheetId="6">[39]單價!#REF!</definedName>
    <definedName name="upi.panel.a" localSheetId="7">[40]單價!#REF!</definedName>
    <definedName name="upi.panel.a">[40]單價!#REF!</definedName>
    <definedName name="upi.peat" localSheetId="5">[39]單價!#REF!</definedName>
    <definedName name="upi.peat" localSheetId="6">[39]單價!#REF!</definedName>
    <definedName name="upi.peat" localSheetId="7">[40]單價!#REF!</definedName>
    <definedName name="upi.peat">[40]單價!#REF!</definedName>
    <definedName name="upi.peats" localSheetId="5">[39]單價!#REF!</definedName>
    <definedName name="upi.peats" localSheetId="6">[39]單價!#REF!</definedName>
    <definedName name="upi.peats" localSheetId="7">[40]單價!#REF!</definedName>
    <definedName name="upi.peats">[40]單價!#REF!</definedName>
    <definedName name="upi.pipe" localSheetId="5">[39]單價!#REF!</definedName>
    <definedName name="upi.pipe" localSheetId="6">[39]單價!#REF!</definedName>
    <definedName name="upi.pipe" localSheetId="7">[40]單價!#REF!</definedName>
    <definedName name="upi.pipe">[40]單價!#REF!</definedName>
    <definedName name="upi.pool" localSheetId="5">[39]單價!#REF!</definedName>
    <definedName name="upi.pool" localSheetId="6">[39]單價!#REF!</definedName>
    <definedName name="upi.pool" localSheetId="7">[40]單價!#REF!</definedName>
    <definedName name="upi.pool">[40]單價!#REF!</definedName>
    <definedName name="upi.reflec" localSheetId="5">[39]單價!#REF!</definedName>
    <definedName name="upi.reflec" localSheetId="6">[39]單價!#REF!</definedName>
    <definedName name="upi.reflec" localSheetId="7">[40]單價!#REF!</definedName>
    <definedName name="upi.reflec">[40]單價!#REF!</definedName>
    <definedName name="upi.rep" localSheetId="5">[39]單價!#REF!</definedName>
    <definedName name="upi.rep" localSheetId="6">[39]單價!#REF!</definedName>
    <definedName name="upi.rep" localSheetId="7">[40]單價!#REF!</definedName>
    <definedName name="upi.rep">[40]單價!#REF!</definedName>
    <definedName name="UPI.ROCK" localSheetId="5">[39]單價!#REF!</definedName>
    <definedName name="UPI.ROCK" localSheetId="6">[39]單價!#REF!</definedName>
    <definedName name="UPI.ROCK" localSheetId="7">[40]單價!#REF!</definedName>
    <definedName name="UPI.ROCK">[40]單價!#REF!</definedName>
    <definedName name="UPI.S.FORM" localSheetId="5">[39]單價!#REF!</definedName>
    <definedName name="UPI.S.FORM" localSheetId="6">[39]單價!#REF!</definedName>
    <definedName name="UPI.S.FORM" localSheetId="7">[40]單價!#REF!</definedName>
    <definedName name="UPI.S.FORM">[40]單價!#REF!</definedName>
    <definedName name="upi.saf.cab" localSheetId="5">[39]單價!#REF!</definedName>
    <definedName name="upi.saf.cab" localSheetId="6">[39]單價!#REF!</definedName>
    <definedName name="upi.saf.cab" localSheetId="7">[40]單價!#REF!</definedName>
    <definedName name="upi.saf.cab">[40]單價!#REF!</definedName>
    <definedName name="upi.smo" localSheetId="5">[39]單價!#REF!</definedName>
    <definedName name="upi.smo" localSheetId="6">[39]單價!#REF!</definedName>
    <definedName name="upi.smo" localSheetId="7">[40]單價!#REF!</definedName>
    <definedName name="upi.smo">[40]單價!#REF!</definedName>
    <definedName name="upi.sp.mo.mch" localSheetId="5">[39]單價!#REF!</definedName>
    <definedName name="upi.sp.mo.mch" localSheetId="6">[39]單價!#REF!</definedName>
    <definedName name="upi.sp.mo.mch" localSheetId="7">[40]單價!#REF!</definedName>
    <definedName name="upi.sp.mo.mch">[40]單價!#REF!</definedName>
    <definedName name="upi.steel.a" localSheetId="5">[39]單價!#REF!</definedName>
    <definedName name="upi.steel.a" localSheetId="6">[39]單價!#REF!</definedName>
    <definedName name="upi.steel.a" localSheetId="7">[40]單價!#REF!</definedName>
    <definedName name="upi.steel.a">[40]單價!#REF!</definedName>
    <definedName name="upi.sub.riv" localSheetId="5">[39]單價!#REF!</definedName>
    <definedName name="upi.sub.riv" localSheetId="6">[39]單價!#REF!</definedName>
    <definedName name="upi.sub.riv" localSheetId="7">[40]單價!#REF!</definedName>
    <definedName name="upi.sub.riv">[40]單價!#REF!</definedName>
    <definedName name="upi.test" localSheetId="5">[39]單價!#REF!</definedName>
    <definedName name="upi.test" localSheetId="6">[39]單價!#REF!</definedName>
    <definedName name="upi.test" localSheetId="7">[40]單價!#REF!</definedName>
    <definedName name="upi.test">[40]單價!#REF!</definedName>
    <definedName name="upi.test.a" localSheetId="5">[39]單價!#REF!</definedName>
    <definedName name="upi.test.a" localSheetId="6">[39]單價!#REF!</definedName>
    <definedName name="upi.test.a" localSheetId="7">[40]單價!#REF!</definedName>
    <definedName name="upi.test.a">[40]單價!#REF!</definedName>
    <definedName name="upi.trough1" localSheetId="5">[39]單價!#REF!</definedName>
    <definedName name="upi.trough1" localSheetId="6">[39]單價!#REF!</definedName>
    <definedName name="upi.trough1" localSheetId="7">[40]單價!#REF!</definedName>
    <definedName name="upi.trough1">[40]單價!#REF!</definedName>
    <definedName name="upi.trough1.5" localSheetId="5">[39]單價!#REF!</definedName>
    <definedName name="upi.trough1.5" localSheetId="6">[39]單價!#REF!</definedName>
    <definedName name="upi.trough1.5" localSheetId="7">[40]單價!#REF!</definedName>
    <definedName name="upi.trough1.5">[40]單價!#REF!</definedName>
    <definedName name="upi.trough1.5.a" localSheetId="5">[39]單價!#REF!</definedName>
    <definedName name="upi.trough1.5.a" localSheetId="6">[39]單價!#REF!</definedName>
    <definedName name="upi.trough1.5.a" localSheetId="7">[40]單價!#REF!</definedName>
    <definedName name="upi.trough1.5.a">[40]單價!#REF!</definedName>
    <definedName name="upi.trough1.a" localSheetId="5">[39]單價!#REF!</definedName>
    <definedName name="upi.trough1.a" localSheetId="6">[39]單價!#REF!</definedName>
    <definedName name="upi.trough1.a" localSheetId="7">[40]單價!#REF!</definedName>
    <definedName name="upi.trough1.a">[40]單價!#REF!</definedName>
    <definedName name="upi.trough2" localSheetId="5">[39]單價!#REF!</definedName>
    <definedName name="upi.trough2" localSheetId="6">[39]單價!#REF!</definedName>
    <definedName name="upi.trough2" localSheetId="7">[40]單價!#REF!</definedName>
    <definedName name="upi.trough2">[40]單價!#REF!</definedName>
    <definedName name="upi.trough2.a" localSheetId="5">[39]單價!#REF!</definedName>
    <definedName name="upi.trough2.a" localSheetId="6">[39]單價!#REF!</definedName>
    <definedName name="upi.trough2.a" localSheetId="7">[40]單價!#REF!</definedName>
    <definedName name="upi.trough2.a">[40]單價!#REF!</definedName>
    <definedName name="upi.w.fnd" localSheetId="5">[39]單價!#REF!</definedName>
    <definedName name="upi.w.fnd" localSheetId="6">[39]單價!#REF!</definedName>
    <definedName name="upi.w.fnd" localSheetId="7">[40]單價!#REF!</definedName>
    <definedName name="upi.w.fnd">[40]單價!#REF!</definedName>
    <definedName name="upi.well" localSheetId="5">[39]單價!#REF!</definedName>
    <definedName name="upi.well" localSheetId="6">[39]單價!#REF!</definedName>
    <definedName name="upi.well" localSheetId="7">[40]單價!#REF!</definedName>
    <definedName name="upi.well">[40]單價!#REF!</definedName>
    <definedName name="upi.well.a" localSheetId="5">[39]單價!#REF!</definedName>
    <definedName name="upi.well.a" localSheetId="6">[39]單價!#REF!</definedName>
    <definedName name="upi.well.a" localSheetId="7">[40]單價!#REF!</definedName>
    <definedName name="upi.well.a">[40]單價!#REF!</definedName>
    <definedName name="upi.不織布">[33]單價!$J$194</definedName>
    <definedName name="upi.透層">[33]單價!$J$134</definedName>
    <definedName name="upi.黏層">[33]單價!$J$143</definedName>
    <definedName name="upi.瀝青">[33]單價!$J$121</definedName>
    <definedName name="utdkj" localSheetId="2">[0]!SetDate()</definedName>
    <definedName name="utdkj" localSheetId="6">[0]!SetDate()</definedName>
    <definedName name="utdkj">[0]!SetDate()</definedName>
    <definedName name="Ｕ型溝鑄鐵蓋" localSheetId="6">#REF!</definedName>
    <definedName name="Ｕ型溝鑄鐵蓋">#REF!</definedName>
    <definedName name="U蓋" localSheetId="6">#REF!</definedName>
    <definedName name="U蓋">#REF!</definedName>
    <definedName name="U樑" localSheetId="6">#REF!</definedName>
    <definedName name="U樑">#REF!</definedName>
    <definedName name="U鋼" localSheetId="6">#REF!</definedName>
    <definedName name="U鋼">#REF!</definedName>
    <definedName name="v" localSheetId="6">#REF!</definedName>
    <definedName name="v">#REF!</definedName>
    <definedName name="v.cut" localSheetId="1">#REF!</definedName>
    <definedName name="v.cut" localSheetId="2">#REF!</definedName>
    <definedName name="v.cut" localSheetId="4">#REF!</definedName>
    <definedName name="v.cut" localSheetId="5">#REF!</definedName>
    <definedName name="v.cut" localSheetId="6">#REF!</definedName>
    <definedName name="v.cut" localSheetId="7">#REF!</definedName>
    <definedName name="v.cut">#REF!</definedName>
    <definedName name="VelocietyCheck" localSheetId="2">[14]!VelocietyCheck</definedName>
    <definedName name="VelocietyCheck" localSheetId="6">[14]!VelocietyCheck</definedName>
    <definedName name="VelocietyCheck">[14]!VelocietyCheck</definedName>
    <definedName name="vv" localSheetId="2">[0]!SetDate()</definedName>
    <definedName name="vv" localSheetId="6">[0]!SetDate()</definedName>
    <definedName name="vv">[0]!SetDate()</definedName>
    <definedName name="w" localSheetId="6">#REF!</definedName>
    <definedName name="w">#REF!</definedName>
    <definedName name="wa" localSheetId="6">#REF!</definedName>
    <definedName name="wa">#REF!</definedName>
    <definedName name="wb" localSheetId="6">#REF!</definedName>
    <definedName name="wb">#REF!</definedName>
    <definedName name="wc" localSheetId="6">#REF!</definedName>
    <definedName name="wc">#REF!</definedName>
    <definedName name="we" localSheetId="6">[20]預算明細!#REF!</definedName>
    <definedName name="we">[20]預算明細!#REF!</definedName>
    <definedName name="weather" localSheetId="6">#REF!</definedName>
    <definedName name="weather">#REF!</definedName>
    <definedName name="WettedPerimeter" localSheetId="2">[14]!WettedPerimeter</definedName>
    <definedName name="WettedPerimeter" localSheetId="6">[14]!WettedPerimeter</definedName>
    <definedName name="WettedPerimeter">[14]!WettedPerimeter</definedName>
    <definedName name="WL" localSheetId="6">#REF!</definedName>
    <definedName name="WL">#REF!</definedName>
    <definedName name="wq" localSheetId="6">#REF!</definedName>
    <definedName name="wq">#REF!</definedName>
    <definedName name="wqe" localSheetId="2">[0]!SetDate()</definedName>
    <definedName name="wqe" localSheetId="6">[0]!SetDate()</definedName>
    <definedName name="wqe">[0]!SetDate()</definedName>
    <definedName name="wrn.SDD2水理." hidden="1">{#N/A,#N/A,TRUE,"SDD2水文計算";#N/A,#N/A,TRUE,"SDD2水理計算書"}</definedName>
    <definedName name="WW" localSheetId="6" hidden="1">'[2]單價分析表(1-11)'!#REF!</definedName>
    <definedName name="WW" hidden="1">'[2]單價分析表(1-11)'!#REF!</definedName>
    <definedName name="www" localSheetId="6">[6]工程預算書!#REF!</definedName>
    <definedName name="www">[6]工程預算書!#REF!</definedName>
    <definedName name="yeh">[16]總表!$AU$82:$BJ$710</definedName>
    <definedName name="YEHA" localSheetId="6">[17]總表!#REF!</definedName>
    <definedName name="YEHA">[17]總表!#REF!</definedName>
    <definedName name="yrty" localSheetId="2">[0]!SetDate()</definedName>
    <definedName name="yrty" localSheetId="6">[0]!SetDate()</definedName>
    <definedName name="yrty">[0]!SetDate()</definedName>
    <definedName name="YUO" localSheetId="6">#REF!</definedName>
    <definedName name="YUO">#REF!</definedName>
    <definedName name="yy" localSheetId="2">[0]!SetDate()</definedName>
    <definedName name="yy" localSheetId="6">[0]!SetDate()</definedName>
    <definedName name="yy">[0]!SetDate()</definedName>
    <definedName name="zsdf" localSheetId="6" hidden="1">'[26]單價分析表(1-11)'!#REF!</definedName>
    <definedName name="zsdf" hidden="1">'[26]單價分析表(1-11)'!#REF!</definedName>
    <definedName name="zz" localSheetId="6">#REF!</definedName>
    <definedName name="zz">#REF!</definedName>
    <definedName name="一" localSheetId="6" hidden="1">[71]Sheet2!#REF!</definedName>
    <definedName name="一" hidden="1">[71]Sheet2!#REF!</definedName>
    <definedName name="一丁掛" localSheetId="6">#REF!</definedName>
    <definedName name="一丁掛">#REF!</definedName>
    <definedName name="一三砂漿" localSheetId="6">#REF!</definedName>
    <definedName name="一三砂漿">#REF!</definedName>
    <definedName name="一般技工" localSheetId="6">#REF!</definedName>
    <definedName name="一般技工">#REF!</definedName>
    <definedName name="一號明細" localSheetId="6">#REF!</definedName>
    <definedName name="一號明細">#REF!</definedName>
    <definedName name="乙種模版" localSheetId="6">#REF!</definedName>
    <definedName name="乙種模版">#REF!</definedName>
    <definedName name="乙模N" localSheetId="6">#REF!</definedName>
    <definedName name="乙模N">#REF!</definedName>
    <definedName name="乙模P" localSheetId="6">#REF!</definedName>
    <definedName name="乙模P">#REF!</definedName>
    <definedName name="二" localSheetId="6" hidden="1">[71]Sheet2!#REF!</definedName>
    <definedName name="二" hidden="1">[71]Sheet2!#REF!</definedName>
    <definedName name="二丁掛" localSheetId="6">#REF!</definedName>
    <definedName name="二丁掛">#REF!</definedName>
    <definedName name="二號明細" localSheetId="6">#REF!</definedName>
    <definedName name="二號明細">#REF!</definedName>
    <definedName name="三號明細" localSheetId="6">#REF!</definedName>
    <definedName name="三號明細">#REF!</definedName>
    <definedName name="土" localSheetId="6">#REF!</definedName>
    <definedName name="土">#REF!</definedName>
    <definedName name="土1" localSheetId="6" hidden="1">#REF!</definedName>
    <definedName name="土1" hidden="1">#REF!</definedName>
    <definedName name="土方" localSheetId="6">#REF!</definedName>
    <definedName name="土方">#REF!</definedName>
    <definedName name="土方1" localSheetId="6">#REF!</definedName>
    <definedName name="土方1">#REF!</definedName>
    <definedName name="土方處理" localSheetId="6">#REF!</definedName>
    <definedName name="土方處理">#REF!</definedName>
    <definedName name="土方結" localSheetId="6">#REF!</definedName>
    <definedName name="土方結">#REF!</definedName>
    <definedName name="土木" localSheetId="6">#REF!</definedName>
    <definedName name="土木">#REF!</definedName>
    <definedName name="土地業主構造物殘" localSheetId="6">#REF!</definedName>
    <definedName name="土地業主構造物殘">#REF!</definedName>
    <definedName name="土釘32" localSheetId="6">#REF!</definedName>
    <definedName name="土釘32">#REF!</definedName>
    <definedName name="土釘40" localSheetId="6">#REF!</definedName>
    <definedName name="土釘40">#REF!</definedName>
    <definedName name="土釘面版" localSheetId="6">#REF!</definedName>
    <definedName name="土釘面版">#REF!</definedName>
    <definedName name="土構" localSheetId="6">#REF!</definedName>
    <definedName name="土構">#REF!</definedName>
    <definedName name="土機表" localSheetId="6">#REF!</definedName>
    <definedName name="土機表">#REF!</definedName>
    <definedName name="土壤夯實" localSheetId="6">#REF!</definedName>
    <definedName name="土壤夯實">#REF!</definedName>
    <definedName name="大" localSheetId="1">#REF!</definedName>
    <definedName name="大" localSheetId="2">#REF!</definedName>
    <definedName name="大" localSheetId="4">#REF!</definedName>
    <definedName name="大" localSheetId="5">#REF!</definedName>
    <definedName name="大" localSheetId="6">#REF!</definedName>
    <definedName name="大" localSheetId="7">#REF!</definedName>
    <definedName name="大">#REF!</definedName>
    <definedName name="大肚" localSheetId="6">#REF!</definedName>
    <definedName name="大肚">#REF!</definedName>
    <definedName name="小口磚" localSheetId="6">#REF!</definedName>
    <definedName name="小口磚">#REF!</definedName>
    <definedName name="工" localSheetId="6">#REF!</definedName>
    <definedName name="工">#REF!</definedName>
    <definedName name="工名" localSheetId="6">#REF!</definedName>
    <definedName name="工名">#REF!</definedName>
    <definedName name="工地辦公室及倉庫_含辦公室設備" localSheetId="6">[23]單價分析!#REF!</definedName>
    <definedName name="工地辦公室及倉庫_含辦公室設備">[23]單價分析!#REF!</definedName>
    <definedName name="工期明細表" localSheetId="6" hidden="1">#REF!</definedName>
    <definedName name="工期明細表" hidden="1">#REF!</definedName>
    <definedName name="工程代號" localSheetId="6">#REF!</definedName>
    <definedName name="工程代號">#REF!</definedName>
    <definedName name="工程名稱" localSheetId="6">#REF!</definedName>
    <definedName name="工程名稱">#REF!</definedName>
    <definedName name="工程地點" localSheetId="6">#REF!</definedName>
    <definedName name="工程地點">#REF!</definedName>
    <definedName name="工程品質管制執行費" localSheetId="6">#REF!</definedName>
    <definedName name="工程品質管制執行費">#REF!</definedName>
    <definedName name="工程項目">[72]參數!$B$4:$B$65536</definedName>
    <definedName name="工程標示" localSheetId="6">#REF!</definedName>
    <definedName name="工程標示">#REF!</definedName>
    <definedName name="工資_一般技工" localSheetId="1">#REF!</definedName>
    <definedName name="工資_一般技工" localSheetId="2">#REF!</definedName>
    <definedName name="工資_一般技工" localSheetId="4">#REF!</definedName>
    <definedName name="工資_一般技工" localSheetId="5">#REF!</definedName>
    <definedName name="工資_一般技工" localSheetId="6">#REF!</definedName>
    <definedName name="工資_一般技工" localSheetId="7">#REF!</definedName>
    <definedName name="工資_一般技工">#REF!</definedName>
    <definedName name="工資_半技工" localSheetId="1">#REF!</definedName>
    <definedName name="工資_半技工" localSheetId="2">#REF!</definedName>
    <definedName name="工資_半技工" localSheetId="4">#REF!</definedName>
    <definedName name="工資_半技工" localSheetId="5">#REF!</definedName>
    <definedName name="工資_半技工" localSheetId="6">#REF!</definedName>
    <definedName name="工資_半技工" localSheetId="7">#REF!</definedName>
    <definedName name="工資_半技工">#REF!</definedName>
    <definedName name="工資_特種技工" localSheetId="1">#REF!</definedName>
    <definedName name="工資_特種技工" localSheetId="2">#REF!</definedName>
    <definedName name="工資_特種技工" localSheetId="4">#REF!</definedName>
    <definedName name="工資_特種技工" localSheetId="5">#REF!</definedName>
    <definedName name="工資_特種技工" localSheetId="6">#REF!</definedName>
    <definedName name="工資_特種技工" localSheetId="7">#REF!</definedName>
    <definedName name="工資_特種技工">#REF!</definedName>
    <definedName name="工資_普通工" localSheetId="1">#REF!</definedName>
    <definedName name="工資_普通工" localSheetId="2">#REF!</definedName>
    <definedName name="工資_普通工" localSheetId="4">#REF!</definedName>
    <definedName name="工資_普通工" localSheetId="5">#REF!</definedName>
    <definedName name="工資_普通工" localSheetId="6">#REF!</definedName>
    <definedName name="工資_普通工" localSheetId="7">#REF!</definedName>
    <definedName name="工資_普通工">#REF!</definedName>
    <definedName name="不銹鋼人孔蓋" localSheetId="6">#REF!</definedName>
    <definedName name="不銹鋼人孔蓋">#REF!</definedName>
    <definedName name="中心高程">[73]人孔高程計算!$AH$4:$AH$451</definedName>
    <definedName name="中心現況">[73]人孔高程計算!$AE$4:$AE$451</definedName>
    <definedName name="中空水泥板批土工料" localSheetId="6">#REF!</definedName>
    <definedName name="中空水泥板批土工料">#REF!</definedName>
    <definedName name="中華民國86年4月10日" localSheetId="1">#REF!</definedName>
    <definedName name="中華民國86年4月10日" localSheetId="2">#REF!</definedName>
    <definedName name="中華民國86年4月10日" localSheetId="4">#REF!</definedName>
    <definedName name="中華民國86年4月10日" localSheetId="5">#REF!</definedName>
    <definedName name="中華民國86年4月10日" localSheetId="6">#REF!</definedName>
    <definedName name="中華民國86年4月10日" localSheetId="7">#REF!</definedName>
    <definedName name="中華民國86年4月10日">#REF!</definedName>
    <definedName name="中間椿_構台椿__H_300____L_25m" localSheetId="6">#REF!</definedName>
    <definedName name="中間椿_構台椿__H_300____L_25m">#REF!</definedName>
    <definedName name="中間椿_構台椿__H_350____L_25m" localSheetId="6">#REF!</definedName>
    <definedName name="中間椿_構台椿__H_350____L_25m">#REF!</definedName>
    <definedName name="中間椿_構台椿__H_400____L_25m" localSheetId="6">#REF!</definedName>
    <definedName name="中間椿_構台椿__H_400____L_25m">#REF!</definedName>
    <definedName name="中間椿_構台椿__H_400mm_L_25m_含引孔" localSheetId="6">#REF!</definedName>
    <definedName name="中間椿_構台椿__H_400mm_L_25m_含引孔">#REF!</definedName>
    <definedName name="中間椿止水封閉" localSheetId="6">#REF!</definedName>
    <definedName name="中間椿止水封閉">#REF!</definedName>
    <definedName name="五分擋土襯板" localSheetId="6">#REF!</definedName>
    <definedName name="五分擋土襯板">#REF!</definedName>
    <definedName name="什項" localSheetId="6">#REF!</definedName>
    <definedName name="什項">#REF!</definedName>
    <definedName name="什項工程">[74]工程決算書二!$F$20</definedName>
    <definedName name="內牆1_2防水粉刷" localSheetId="6">#REF!</definedName>
    <definedName name="內牆1_2防水粉刷">#REF!</definedName>
    <definedName name="內牆1_2防水粉刷刷漆" localSheetId="6">#REF!</definedName>
    <definedName name="內牆1_2防水粉刷刷漆">#REF!</definedName>
    <definedName name="內牆1_3粉刷" localSheetId="6">#REF!</definedName>
    <definedName name="內牆1_3粉刷">#REF!</definedName>
    <definedName name="內牆打底工資" localSheetId="6">#REF!</definedName>
    <definedName name="內牆打底工資">#REF!</definedName>
    <definedName name="內牆白水泥斬石" localSheetId="6">#REF!</definedName>
    <definedName name="內牆白水泥斬石">#REF!</definedName>
    <definedName name="內牆石材" localSheetId="6">#REF!</definedName>
    <definedName name="內牆石材">#REF!</definedName>
    <definedName name="內牆批土工料" localSheetId="6">#REF!</definedName>
    <definedName name="內牆批土工料">#REF!</definedName>
    <definedName name="內牆防水白水泥斬石" localSheetId="6">#REF!</definedName>
    <definedName name="內牆防水白水泥斬石">#REF!</definedName>
    <definedName name="內牆防水洗石子" localSheetId="6">#REF!</definedName>
    <definedName name="內牆防水洗石子">#REF!</definedName>
    <definedName name="內牆防水斬石子" localSheetId="6">#REF!</definedName>
    <definedName name="內牆防水斬石子">#REF!</definedName>
    <definedName name="內牆防水貼20_20磁磚" localSheetId="6">#REF!</definedName>
    <definedName name="內牆防水貼20_20磁磚">#REF!</definedName>
    <definedName name="內牆防水貼20_25磁磚" localSheetId="6">#REF!</definedName>
    <definedName name="內牆防水貼20_25磁磚">#REF!</definedName>
    <definedName name="內牆防水貼30_30磁磚" localSheetId="6">#REF!</definedName>
    <definedName name="內牆防水貼30_30磁磚">#REF!</definedName>
    <definedName name="內牆防水貼一丁掛" localSheetId="6">#REF!</definedName>
    <definedName name="內牆防水貼一丁掛">#REF!</definedName>
    <definedName name="內牆防水貼二丁掛" localSheetId="6">#REF!</definedName>
    <definedName name="內牆防水貼二丁掛">#REF!</definedName>
    <definedName name="內牆防水貼小口磚" localSheetId="6">#REF!</definedName>
    <definedName name="內牆防水貼小口磚">#REF!</definedName>
    <definedName name="內牆防水貼方塊磚" localSheetId="6">#REF!</definedName>
    <definedName name="內牆防水貼方塊磚">#REF!</definedName>
    <definedName name="內牆防水貼花崗石_溼式" localSheetId="6">#REF!</definedName>
    <definedName name="內牆防水貼花崗石_溼式">#REF!</definedName>
    <definedName name="內牆防水貼金屬釉面磚" localSheetId="6">#REF!</definedName>
    <definedName name="內牆防水貼金屬釉面磚">#REF!</definedName>
    <definedName name="內牆防水貼馬賽克" localSheetId="6">#REF!</definedName>
    <definedName name="內牆防水貼馬賽克">#REF!</definedName>
    <definedName name="內牆防水貼窯燒花崗石" localSheetId="6">#REF!</definedName>
    <definedName name="內牆防水貼窯燒花崗石">#REF!</definedName>
    <definedName name="內牆刷PVC漆工料" localSheetId="6">#REF!</definedName>
    <definedName name="內牆刷PVC漆工料">#REF!</definedName>
    <definedName name="內牆刷防霉漆工料" localSheetId="6">#REF!</definedName>
    <definedName name="內牆刷防霉漆工料">#REF!</definedName>
    <definedName name="內牆刷漆連工帶料" localSheetId="6">#REF!</definedName>
    <definedName name="內牆刷漆連工帶料">#REF!</definedName>
    <definedName name="內牆刷漆連工帶料_油" localSheetId="6">#REF!</definedName>
    <definedName name="內牆刷漆連工帶料_油">#REF!</definedName>
    <definedName name="內牆抹_洗石子工資" localSheetId="6">#REF!</definedName>
    <definedName name="內牆抹_洗石子工資">#REF!</definedName>
    <definedName name="內牆抹_斬石子工資" localSheetId="6">#REF!</definedName>
    <definedName name="內牆抹_斬石子工資">#REF!</definedName>
    <definedName name="內牆洗石子" localSheetId="6">#REF!</definedName>
    <definedName name="內牆洗石子">#REF!</definedName>
    <definedName name="內牆粉刷工資" localSheetId="6">#REF!</definedName>
    <definedName name="內牆粉刷工資">#REF!</definedName>
    <definedName name="內牆粉刷刷漆" localSheetId="6">#REF!</definedName>
    <definedName name="內牆粉刷刷漆">#REF!</definedName>
    <definedName name="內牆粉刷油漆" localSheetId="6">#REF!</definedName>
    <definedName name="內牆粉刷油漆">#REF!</definedName>
    <definedName name="內牆斬石子" localSheetId="6">#REF!</definedName>
    <definedName name="內牆斬石子">#REF!</definedName>
    <definedName name="內牆貼20_20磁磚" localSheetId="6">#REF!</definedName>
    <definedName name="內牆貼20_20磁磚">#REF!</definedName>
    <definedName name="內牆貼20_25磁磚" localSheetId="6">#REF!</definedName>
    <definedName name="內牆貼20_25磁磚">#REF!</definedName>
    <definedName name="內牆貼30_30磁磚" localSheetId="6">#REF!</definedName>
    <definedName name="內牆貼30_30磁磚">#REF!</definedName>
    <definedName name="內牆貼一丁掛" localSheetId="6">#REF!</definedName>
    <definedName name="內牆貼一丁掛">#REF!</definedName>
    <definedName name="內牆貼二丁掛" localSheetId="6">#REF!</definedName>
    <definedName name="內牆貼二丁掛">#REF!</definedName>
    <definedName name="內牆貼小口磚" localSheetId="6">#REF!</definedName>
    <definedName name="內牆貼小口磚">#REF!</definedName>
    <definedName name="內牆貼方塊磚" localSheetId="6">#REF!</definedName>
    <definedName name="內牆貼方塊磚">#REF!</definedName>
    <definedName name="內牆貼花崗石_溼式" localSheetId="6">#REF!</definedName>
    <definedName name="內牆貼花崗石_溼式">#REF!</definedName>
    <definedName name="內牆貼花崗石連工帶料" localSheetId="6">#REF!</definedName>
    <definedName name="內牆貼花崗石連工帶料">#REF!</definedName>
    <definedName name="內牆貼金屬釉面磚" localSheetId="6">#REF!</definedName>
    <definedName name="內牆貼金屬釉面磚">#REF!</definedName>
    <definedName name="內牆貼馬賽克" localSheetId="6">#REF!</definedName>
    <definedName name="內牆貼馬賽克">#REF!</definedName>
    <definedName name="內牆貼窯燒花崗石" localSheetId="6">#REF!</definedName>
    <definedName name="內牆貼窯燒花崗石">#REF!</definedName>
    <definedName name="內牆貼磚工資" localSheetId="6">#REF!</definedName>
    <definedName name="內牆貼磚工資">#REF!</definedName>
    <definedName name="內牆磁磚" localSheetId="6">#REF!</definedName>
    <definedName name="內牆磁磚">#REF!</definedName>
    <definedName name="公七" localSheetId="6">#REF!</definedName>
    <definedName name="公七">#REF!</definedName>
    <definedName name="公九" localSheetId="6">#REF!</definedName>
    <definedName name="公九">#REF!</definedName>
    <definedName name="公二" localSheetId="6">#REF!</definedName>
    <definedName name="公二">#REF!</definedName>
    <definedName name="公八" localSheetId="6">#REF!</definedName>
    <definedName name="公八">#REF!</definedName>
    <definedName name="公十" localSheetId="6">#REF!</definedName>
    <definedName name="公十">#REF!</definedName>
    <definedName name="公十二" localSheetId="6">#REF!</definedName>
    <definedName name="公十二">#REF!</definedName>
    <definedName name="公十三" localSheetId="6">#REF!</definedName>
    <definedName name="公十三">#REF!</definedName>
    <definedName name="公三" localSheetId="6">#REF!</definedName>
    <definedName name="公三">#REF!</definedName>
    <definedName name="公六" localSheetId="6">#REF!</definedName>
    <definedName name="公六">#REF!</definedName>
    <definedName name="公四" localSheetId="6">#REF!</definedName>
    <definedName name="公四">#REF!</definedName>
    <definedName name="反循環基椿120cm∮L_28m" localSheetId="6">#REF!</definedName>
    <definedName name="反循環基椿120cm∮L_28m">#REF!</definedName>
    <definedName name="天花板" localSheetId="6">#REF!</definedName>
    <definedName name="天花板">#REF!</definedName>
    <definedName name="天花粉刷油漆" localSheetId="6">#REF!</definedName>
    <definedName name="天花粉刷油漆">#REF!</definedName>
    <definedName name="太封" localSheetId="6">#REF!</definedName>
    <definedName name="太封">#REF!</definedName>
    <definedName name="方塊磚10_10" localSheetId="6">#REF!</definedName>
    <definedName name="方塊磚10_10">#REF!</definedName>
    <definedName name="日1" localSheetId="6">#REF!</definedName>
    <definedName name="日1">#REF!</definedName>
    <definedName name="日期" localSheetId="6">#REF!</definedName>
    <definedName name="日期">#REF!</definedName>
    <definedName name="曰" localSheetId="6">#REF!</definedName>
    <definedName name="曰">#REF!</definedName>
    <definedName name="月份" localSheetId="6">#REF!</definedName>
    <definedName name="月份">#REF!</definedName>
    <definedName name="木N" localSheetId="6">#REF!</definedName>
    <definedName name="木N">#REF!</definedName>
    <definedName name="木P" localSheetId="6">#REF!</definedName>
    <definedName name="木P">#REF!</definedName>
    <definedName name="木作雜項" localSheetId="6">#REF!</definedName>
    <definedName name="木作雜項">#REF!</definedName>
    <definedName name="木門" localSheetId="6">#REF!</definedName>
    <definedName name="木門">#REF!</definedName>
    <definedName name="木料加工" localSheetId="6">#REF!</definedName>
    <definedName name="木料加工">#REF!</definedName>
    <definedName name="毛氈N" localSheetId="6">#REF!</definedName>
    <definedName name="毛氈N">#REF!</definedName>
    <definedName name="水上整平" localSheetId="6">#REF!</definedName>
    <definedName name="水上整平">#REF!</definedName>
    <definedName name="水下整平" localSheetId="6">#REF!</definedName>
    <definedName name="水下整平">#REF!</definedName>
    <definedName name="水平支撐第一層_H_300×300" localSheetId="6">#REF!</definedName>
    <definedName name="水平支撐第一層_H_300×300">#REF!</definedName>
    <definedName name="水平支撐第二層_H_350×350" localSheetId="6">#REF!</definedName>
    <definedName name="水平支撐第二層_H_350×350">#REF!</definedName>
    <definedName name="水平支撐第三層_H_400×400" localSheetId="6">#REF!</definedName>
    <definedName name="水平支撐第三層_H_400×400">#REF!</definedName>
    <definedName name="水平支撐第四層_H_400×400" localSheetId="6">#REF!</definedName>
    <definedName name="水平支撐第四層_H_400×400">#REF!</definedName>
    <definedName name="水平排水管" localSheetId="6">#REF!</definedName>
    <definedName name="水平排水管">#REF!</definedName>
    <definedName name="水局" localSheetId="6">#REF!</definedName>
    <definedName name="水局">#REF!</definedName>
    <definedName name="水泥" localSheetId="6">#REF!</definedName>
    <definedName name="水泥">#REF!</definedName>
    <definedName name="水泥堡崁磚護坡" localSheetId="6">#REF!</definedName>
    <definedName name="水泥堡崁磚護坡">#REF!</definedName>
    <definedName name="水泥超程運費" localSheetId="6">#REF!</definedName>
    <definedName name="水泥超程運費">#REF!</definedName>
    <definedName name="水泥漆" localSheetId="6">#REF!</definedName>
    <definedName name="水泥漆">#REF!</definedName>
    <definedName name="水運" localSheetId="6">#REF!</definedName>
    <definedName name="水運">#REF!</definedName>
    <definedName name="水箱1_2防水貼10_10磁磚" localSheetId="6">#REF!</definedName>
    <definedName name="水箱1_2防水貼10_10磁磚">#REF!</definedName>
    <definedName name="加勁格網" localSheetId="6">#REF!</definedName>
    <definedName name="加勁格網">#REF!</definedName>
    <definedName name="右側高程">[73]人孔高程計算!$AI$4:$AI$451</definedName>
    <definedName name="右側現況">[73]人孔高程計算!$AF$4:$AF$451</definedName>
    <definedName name="右側路寬">[73]人孔高程計算!$AA$4:$AA$451</definedName>
    <definedName name="四" localSheetId="6" hidden="1">[71]Sheet2!#REF!</definedName>
    <definedName name="四" hidden="1">[71]Sheet2!#REF!</definedName>
    <definedName name="外牆1_2防水粉刷" localSheetId="6">#REF!</definedName>
    <definedName name="外牆1_2防水粉刷">#REF!</definedName>
    <definedName name="外牆1_2防水粉刷刷漆" localSheetId="6">#REF!</definedName>
    <definedName name="外牆1_2防水粉刷刷漆">#REF!</definedName>
    <definedName name="外牆1_3粉刷" localSheetId="6">#REF!</definedName>
    <definedName name="外牆1_3粉刷">#REF!</definedName>
    <definedName name="外牆工程" localSheetId="6">#REF!</definedName>
    <definedName name="外牆工程">#REF!</definedName>
    <definedName name="外牆打底工資" localSheetId="6">#REF!</definedName>
    <definedName name="外牆打底工資">#REF!</definedName>
    <definedName name="外牆白水泥斬石" localSheetId="6">#REF!</definedName>
    <definedName name="外牆白水泥斬石">#REF!</definedName>
    <definedName name="外牆防水白水泥斬石" localSheetId="6">#REF!</definedName>
    <definedName name="外牆防水白水泥斬石">#REF!</definedName>
    <definedName name="外牆防水洗石子" localSheetId="6">#REF!</definedName>
    <definedName name="外牆防水洗石子">#REF!</definedName>
    <definedName name="外牆防水斬石子" localSheetId="6">#REF!</definedName>
    <definedName name="外牆防水斬石子">#REF!</definedName>
    <definedName name="外牆防水貼一丁掛" localSheetId="6">#REF!</definedName>
    <definedName name="外牆防水貼一丁掛">#REF!</definedName>
    <definedName name="外牆防水貼二丁掛" localSheetId="6">#REF!</definedName>
    <definedName name="外牆防水貼二丁掛">#REF!</definedName>
    <definedName name="外牆防水貼小口磚" localSheetId="6">#REF!</definedName>
    <definedName name="外牆防水貼小口磚">#REF!</definedName>
    <definedName name="外牆防水貼方塊磚" localSheetId="6">#REF!</definedName>
    <definedName name="外牆防水貼方塊磚">#REF!</definedName>
    <definedName name="外牆防水貼花崗石_溼式" localSheetId="6">#REF!</definedName>
    <definedName name="外牆防水貼花崗石_溼式">#REF!</definedName>
    <definedName name="外牆防水貼金屬釉面磚" localSheetId="6">#REF!</definedName>
    <definedName name="外牆防水貼金屬釉面磚">#REF!</definedName>
    <definedName name="外牆防水貼馬賽克" localSheetId="6">#REF!</definedName>
    <definedName name="外牆防水貼馬賽克">#REF!</definedName>
    <definedName name="外牆防水貼窯燒花崗石" localSheetId="6">#REF!</definedName>
    <definedName name="外牆防水貼窯燒花崗石">#REF!</definedName>
    <definedName name="外牆刷漆連工帶料" localSheetId="6">#REF!</definedName>
    <definedName name="外牆刷漆連工帶料">#REF!</definedName>
    <definedName name="外牆刷漆連工帶料_油" localSheetId="6">#REF!</definedName>
    <definedName name="外牆刷漆連工帶料_油">#REF!</definedName>
    <definedName name="外牆抹_洗石子工資" localSheetId="6">#REF!</definedName>
    <definedName name="外牆抹_洗石子工資">#REF!</definedName>
    <definedName name="外牆抹_斬石子工資" localSheetId="6">#REF!</definedName>
    <definedName name="外牆抹_斬石子工資">#REF!</definedName>
    <definedName name="外牆洗石子" localSheetId="6">#REF!</definedName>
    <definedName name="外牆洗石子">#REF!</definedName>
    <definedName name="外牆粉刷工資" localSheetId="6">#REF!</definedName>
    <definedName name="外牆粉刷工資">#REF!</definedName>
    <definedName name="外牆粉刷刷漆" localSheetId="6">#REF!</definedName>
    <definedName name="外牆粉刷刷漆">#REF!</definedName>
    <definedName name="外牆斬石子" localSheetId="6">#REF!</definedName>
    <definedName name="外牆斬石子">#REF!</definedName>
    <definedName name="外牆貼一丁掛" localSheetId="6">#REF!</definedName>
    <definedName name="外牆貼一丁掛">#REF!</definedName>
    <definedName name="外牆貼二丁掛" localSheetId="6">#REF!</definedName>
    <definedName name="外牆貼二丁掛">#REF!</definedName>
    <definedName name="外牆貼小口磚" localSheetId="6">#REF!</definedName>
    <definedName name="外牆貼小口磚">#REF!</definedName>
    <definedName name="外牆貼方塊磚" localSheetId="6">#REF!</definedName>
    <definedName name="外牆貼方塊磚">#REF!</definedName>
    <definedName name="外牆貼花崗石_溼式" localSheetId="6">#REF!</definedName>
    <definedName name="外牆貼花崗石_溼式">#REF!</definedName>
    <definedName name="外牆貼花崗石連工帶料" localSheetId="6">#REF!</definedName>
    <definedName name="外牆貼花崗石連工帶料">#REF!</definedName>
    <definedName name="外牆貼金屬釉面磚" localSheetId="6">#REF!</definedName>
    <definedName name="外牆貼金屬釉面磚">#REF!</definedName>
    <definedName name="外牆貼馬賽克" localSheetId="6">#REF!</definedName>
    <definedName name="外牆貼馬賽克">#REF!</definedName>
    <definedName name="外牆貼窯燒花崗石" localSheetId="6">#REF!</definedName>
    <definedName name="外牆貼窯燒花崗石">#REF!</definedName>
    <definedName name="外牆貼磚工資" localSheetId="6">#REF!</definedName>
    <definedName name="外牆貼磚工資">#REF!</definedName>
    <definedName name="左側高程">[73]人孔高程計算!$AG$4:$AG$451</definedName>
    <definedName name="左側現況">[73]人孔高程計算!$AD$4:$AD$451</definedName>
    <definedName name="左側路寬">[73]人孔高程計算!$Z$4:$Z$451</definedName>
    <definedName name="平頂1_2防水粉刷" localSheetId="6">#REF!</definedName>
    <definedName name="平頂1_2防水粉刷">#REF!</definedName>
    <definedName name="平頂1_2防水粉刷刷漆" localSheetId="6">#REF!</definedName>
    <definedName name="平頂1_2防水粉刷刷漆">#REF!</definedName>
    <definedName name="平頂1_3粉刷" localSheetId="6">#REF!</definedName>
    <definedName name="平頂1_3粉刷">#REF!</definedName>
    <definedName name="平頂批土" localSheetId="6">#REF!</definedName>
    <definedName name="平頂批土">#REF!</definedName>
    <definedName name="平頂批土刷刷漆" localSheetId="6">#REF!</definedName>
    <definedName name="平頂批土刷刷漆">#REF!</definedName>
    <definedName name="平頂刷漆連工帶料" localSheetId="6">#REF!</definedName>
    <definedName name="平頂刷漆連工帶料">#REF!</definedName>
    <definedName name="平頂刷漆連工帶料_油" localSheetId="6">#REF!</definedName>
    <definedName name="平頂刷漆連工帶料_油">#REF!</definedName>
    <definedName name="平頂粉刷工資" localSheetId="6">#REF!</definedName>
    <definedName name="平頂粉刷工資">#REF!</definedName>
    <definedName name="平頂粉刷刷漆" localSheetId="6">#REF!</definedName>
    <definedName name="平頂粉刷刷漆">#REF!</definedName>
    <definedName name="打混" localSheetId="6">#REF!</definedName>
    <definedName name="打混">#REF!</definedName>
    <definedName name="打椿P" localSheetId="6">#REF!</definedName>
    <definedName name="打椿P">#REF!</definedName>
    <definedName name="打樁A" localSheetId="6">#REF!</definedName>
    <definedName name="打樁A">#REF!</definedName>
    <definedName name="打樁B" localSheetId="6">#REF!</definedName>
    <definedName name="打樁B">#REF!</definedName>
    <definedName name="打樁C" localSheetId="6">#REF!</definedName>
    <definedName name="打樁C">#REF!</definedName>
    <definedName name="打鋼" localSheetId="6">#REF!</definedName>
    <definedName name="打鋼">#REF!</definedName>
    <definedName name="本日量一" localSheetId="6">#REF!</definedName>
    <definedName name="本日量一">#REF!</definedName>
    <definedName name="本日量二" localSheetId="6">#REF!</definedName>
    <definedName name="本日量二">#REF!</definedName>
    <definedName name="甲九" localSheetId="6">[75]變更預算明細!#REF!</definedName>
    <definedName name="甲九">[75]變更預算明細!#REF!</definedName>
    <definedName name="甲十四" localSheetId="6">[75]變更預算明細!#REF!</definedName>
    <definedName name="甲十四">[75]變更預算明細!#REF!</definedName>
    <definedName name="甲三" localSheetId="6">[75]變更預算明細!#REF!</definedName>
    <definedName name="甲三">[75]變更預算明細!#REF!</definedName>
    <definedName name="甲六" localSheetId="6">[75]變更預算明細!#REF!</definedName>
    <definedName name="甲六">[75]變更預算明細!#REF!</definedName>
    <definedName name="甲四" localSheetId="6">[75]變更預算明細!#REF!</definedName>
    <definedName name="甲四">[75]變更預算明細!#REF!</definedName>
    <definedName name="甲種圍籬_H_240cm" localSheetId="6">#REF!</definedName>
    <definedName name="甲種圍籬_H_240cm">#REF!</definedName>
    <definedName name="甲種模版" localSheetId="6">#REF!</definedName>
    <definedName name="甲種模版">#REF!</definedName>
    <definedName name="甲模N" localSheetId="6">#REF!</definedName>
    <definedName name="甲模N">#REF!</definedName>
    <definedName name="甲模P" localSheetId="6">#REF!</definedName>
    <definedName name="甲模P">#REF!</definedName>
    <definedName name="白水泥" localSheetId="6">#REF!</definedName>
    <definedName name="白水泥">#REF!</definedName>
    <definedName name="石N" localSheetId="6">#REF!</definedName>
    <definedName name="石N">#REF!</definedName>
    <definedName name="石p" localSheetId="6">#REF!</definedName>
    <definedName name="石p">#REF!</definedName>
    <definedName name="石岡" localSheetId="6">#REF!</definedName>
    <definedName name="石岡">#REF!</definedName>
    <definedName name="石英磚20_20" localSheetId="6">#REF!</definedName>
    <definedName name="石英磚20_20">#REF!</definedName>
    <definedName name="石英磚20_25" localSheetId="6">#REF!</definedName>
    <definedName name="石英磚20_25">#REF!</definedName>
    <definedName name="石英磚20_30" localSheetId="6">#REF!</definedName>
    <definedName name="石英磚20_30">#REF!</definedName>
    <definedName name="石英磚30_30" localSheetId="6">#REF!</definedName>
    <definedName name="石英磚30_30">#REF!</definedName>
    <definedName name="石英磚40_40" localSheetId="6">#REF!</definedName>
    <definedName name="石英磚40_40">#REF!</definedName>
    <definedName name="石英磚地10" localSheetId="6">#REF!</definedName>
    <definedName name="石英磚地10">#REF!</definedName>
    <definedName name="石粉" localSheetId="6">[76]基本單價!#REF!</definedName>
    <definedName name="石粉">[76]基本單價!#REF!</definedName>
    <definedName name="石粒" localSheetId="6">#REF!</definedName>
    <definedName name="石粒">#REF!</definedName>
    <definedName name="立方公尺" localSheetId="6">#REF!</definedName>
    <definedName name="立方公尺">#REF!</definedName>
    <definedName name="交通" localSheetId="6">#REF!</definedName>
    <definedName name="交通">#REF!</definedName>
    <definedName name="交通維持費" localSheetId="6">#REF!</definedName>
    <definedName name="交通維持費">#REF!</definedName>
    <definedName name="交通錐" localSheetId="6">#REF!</definedName>
    <definedName name="交通錐">#REF!</definedName>
    <definedName name="交維" localSheetId="6">#REF!</definedName>
    <definedName name="交維">#REF!</definedName>
    <definedName name="全套管基椿120cm∮L_28m" localSheetId="6">#REF!</definedName>
    <definedName name="全套管基椿120cm∮L_28m">#REF!</definedName>
    <definedName name="合__計__504.14_M3" localSheetId="6">#REF!</definedName>
    <definedName name="合__計__504.14_M3">#REF!</definedName>
    <definedName name="合約工程期限">[77]基本資料!$B$21</definedName>
    <definedName name="合計" localSheetId="6">#REF!</definedName>
    <definedName name="合計">#REF!</definedName>
    <definedName name="同平均" localSheetId="6">#REF!</definedName>
    <definedName name="同平均">#REF!</definedName>
    <definedName name="回" localSheetId="6">#REF!</definedName>
    <definedName name="回">#REF!</definedName>
    <definedName name="回填方" localSheetId="6">#REF!</definedName>
    <definedName name="回填方">#REF!</definedName>
    <definedName name="回填夯實" localSheetId="6">#REF!</definedName>
    <definedName name="回填夯實">#REF!</definedName>
    <definedName name="地下室安全措施" localSheetId="6">#REF!</definedName>
    <definedName name="地下室安全措施">#REF!</definedName>
    <definedName name="地下室抽排水工程_點井工程" localSheetId="6">#REF!</definedName>
    <definedName name="地下室抽排水工程_點井工程">#REF!</definedName>
    <definedName name="地坪1_2防水粉刷" localSheetId="6">#REF!</definedName>
    <definedName name="地坪1_2防水粉刷">#REF!</definedName>
    <definedName name="地坪1_3水泥粉光_金鋼砂" localSheetId="6">#REF!</definedName>
    <definedName name="地坪1_3水泥粉光_金鋼砂">#REF!</definedName>
    <definedName name="地坪1_3粉刷" localSheetId="6">#REF!</definedName>
    <definedName name="地坪1_3粉刷">#REF!</definedName>
    <definedName name="地坪打底工資" localSheetId="6">#REF!</definedName>
    <definedName name="地坪打底工資">#REF!</definedName>
    <definedName name="地坪白水泥斬石" localSheetId="6">#REF!</definedName>
    <definedName name="地坪白水泥斬石">#REF!</definedName>
    <definedName name="地坪白水泥磨石子崁銅條" localSheetId="6">#REF!</definedName>
    <definedName name="地坪白水泥磨石子崁銅條">#REF!</definedName>
    <definedName name="地坪石材" localSheetId="6">#REF!</definedName>
    <definedName name="地坪石材">#REF!</definedName>
    <definedName name="地坪防水貼10_10磁磚_硬底" localSheetId="6">#REF!</definedName>
    <definedName name="地坪防水貼10_10磁磚_硬底">#REF!</definedName>
    <definedName name="地坪防水貼15_15磁磚_硬底" localSheetId="6">#REF!</definedName>
    <definedName name="地坪防水貼15_15磁磚_硬底">#REF!</definedName>
    <definedName name="地坪防水貼20_20石英磚_軟底" localSheetId="6">#REF!</definedName>
    <definedName name="地坪防水貼20_20石英磚_軟底">#REF!</definedName>
    <definedName name="地坪防水貼20_20磁磚_軟底" localSheetId="6">#REF!</definedName>
    <definedName name="地坪防水貼20_20磁磚_軟底">#REF!</definedName>
    <definedName name="地坪防水貼20_20磁磚_硬底" localSheetId="6">#REF!</definedName>
    <definedName name="地坪防水貼20_20磁磚_硬底">#REF!</definedName>
    <definedName name="地坪防水貼20_25石英磚_軟底" localSheetId="6">#REF!</definedName>
    <definedName name="地坪防水貼20_25石英磚_軟底">#REF!</definedName>
    <definedName name="地坪防水貼20_25磁磚_軟底" localSheetId="6">#REF!</definedName>
    <definedName name="地坪防水貼20_25磁磚_軟底">#REF!</definedName>
    <definedName name="地坪防水貼20_30石英磚_軟底" localSheetId="6">#REF!</definedName>
    <definedName name="地坪防水貼20_30石英磚_軟底">#REF!</definedName>
    <definedName name="地坪防水貼20_30磁磚_軟底" localSheetId="6">#REF!</definedName>
    <definedName name="地坪防水貼20_30磁磚_軟底">#REF!</definedName>
    <definedName name="地坪防水貼30_30石英磚_軟底" localSheetId="6">#REF!</definedName>
    <definedName name="地坪防水貼30_30石英磚_軟底">#REF!</definedName>
    <definedName name="地坪防水貼30_30磁磚_軟底" localSheetId="6">#REF!</definedName>
    <definedName name="地坪防水貼30_30磁磚_軟底">#REF!</definedName>
    <definedName name="地坪防水貼30_30磨石子地磚" localSheetId="6">#REF!</definedName>
    <definedName name="地坪防水貼30_30磨石子地磚">#REF!</definedName>
    <definedName name="地坪防水貼40_40石英磚_軟底" localSheetId="6">#REF!</definedName>
    <definedName name="地坪防水貼40_40石英磚_軟底">#REF!</definedName>
    <definedName name="地坪防水貼40_40磁磚_軟底" localSheetId="6">#REF!</definedName>
    <definedName name="地坪防水貼40_40磁磚_軟底">#REF!</definedName>
    <definedName name="地坪防水貼40_40磨石子地磚" localSheetId="6">#REF!</definedName>
    <definedName name="地坪防水貼40_40磨石子地磚">#REF!</definedName>
    <definedName name="地坪防水貼50_50磨石子地磚" localSheetId="6">#REF!</definedName>
    <definedName name="地坪防水貼50_50磨石子地磚">#REF!</definedName>
    <definedName name="地坪防水貼H13_20其他類磚" localSheetId="6">#REF!</definedName>
    <definedName name="地坪防水貼H13_20其他類磚">#REF!</definedName>
    <definedName name="地坪防水貼馬賽克" localSheetId="6">#REF!</definedName>
    <definedName name="地坪防水貼馬賽克">#REF!</definedName>
    <definedName name="地坪抹_洗石子工資" localSheetId="6">#REF!</definedName>
    <definedName name="地坪抹_洗石子工資">#REF!</definedName>
    <definedName name="地坪抹_斬石子工資" localSheetId="6">#REF!</definedName>
    <definedName name="地坪抹_斬石子工資">#REF!</definedName>
    <definedName name="地坪抹_磨石子_崁銅條工資" localSheetId="6">#REF!</definedName>
    <definedName name="地坪抹_磨石子_崁銅條工資">#REF!</definedName>
    <definedName name="地坪抹_磨石子工資" localSheetId="6">#REF!</definedName>
    <definedName name="地坪抹_磨石子工資">#REF!</definedName>
    <definedName name="地坪洗石子" localSheetId="6">#REF!</definedName>
    <definedName name="地坪洗石子">#REF!</definedName>
    <definedName name="地坪粉刷工資" localSheetId="6">#REF!</definedName>
    <definedName name="地坪粉刷工資">#REF!</definedName>
    <definedName name="地坪斬石子" localSheetId="6">#REF!</definedName>
    <definedName name="地坪斬石子">#REF!</definedName>
    <definedName name="地坪貼10_10磁磚_硬底" localSheetId="6">#REF!</definedName>
    <definedName name="地坪貼10_10磁磚_硬底">#REF!</definedName>
    <definedName name="地坪貼15_15磁磚_硬底" localSheetId="6">#REF!</definedName>
    <definedName name="地坪貼15_15磁磚_硬底">#REF!</definedName>
    <definedName name="地坪貼20_20石英磚_軟底" localSheetId="6">#REF!</definedName>
    <definedName name="地坪貼20_20石英磚_軟底">#REF!</definedName>
    <definedName name="地坪貼20_20磁磚_軟底" localSheetId="6">#REF!</definedName>
    <definedName name="地坪貼20_20磁磚_軟底">#REF!</definedName>
    <definedName name="地坪貼20_20磁磚_硬底" localSheetId="6">#REF!</definedName>
    <definedName name="地坪貼20_20磁磚_硬底">#REF!</definedName>
    <definedName name="地坪貼20_25石英磚_軟底" localSheetId="6">#REF!</definedName>
    <definedName name="地坪貼20_25石英磚_軟底">#REF!</definedName>
    <definedName name="地坪貼20_25磁磚_軟底" localSheetId="6">#REF!</definedName>
    <definedName name="地坪貼20_25磁磚_軟底">#REF!</definedName>
    <definedName name="地坪貼20_30石英磚_軟底" localSheetId="6">#REF!</definedName>
    <definedName name="地坪貼20_30石英磚_軟底">#REF!</definedName>
    <definedName name="地坪貼20_30磁磚_軟底" localSheetId="6">#REF!</definedName>
    <definedName name="地坪貼20_30磁磚_軟底">#REF!</definedName>
    <definedName name="地坪貼30_30石英磚_軟底" localSheetId="6">#REF!</definedName>
    <definedName name="地坪貼30_30石英磚_軟底">#REF!</definedName>
    <definedName name="地坪貼30_30磁磚_軟底" localSheetId="6">#REF!</definedName>
    <definedName name="地坪貼30_30磁磚_軟底">#REF!</definedName>
    <definedName name="地坪貼30_30磨石子地磚" localSheetId="6">#REF!</definedName>
    <definedName name="地坪貼30_30磨石子地磚">#REF!</definedName>
    <definedName name="地坪貼40_40石英磚_軟底" localSheetId="6">#REF!</definedName>
    <definedName name="地坪貼40_40石英磚_軟底">#REF!</definedName>
    <definedName name="地坪貼40_40磁磚_軟底" localSheetId="6">#REF!</definedName>
    <definedName name="地坪貼40_40磁磚_軟底">#REF!</definedName>
    <definedName name="地坪貼40_40磨石子地磚" localSheetId="6">#REF!</definedName>
    <definedName name="地坪貼40_40磨石子地磚">#REF!</definedName>
    <definedName name="地坪貼50_50磨石子地磚" localSheetId="6">#REF!</definedName>
    <definedName name="地坪貼50_50磨石子地磚">#REF!</definedName>
    <definedName name="地坪貼H13_20其他類磚" localSheetId="6">#REF!</definedName>
    <definedName name="地坪貼H13_20其他類磚">#REF!</definedName>
    <definedName name="地坪貼花崗石" localSheetId="6">#REF!</definedName>
    <definedName name="地坪貼花崗石">#REF!</definedName>
    <definedName name="地坪貼花崗石連工帶料" localSheetId="6">#REF!</definedName>
    <definedName name="地坪貼花崗石連工帶料">#REF!</definedName>
    <definedName name="地坪貼馬賽克" localSheetId="6">#REF!</definedName>
    <definedName name="地坪貼馬賽克">#REF!</definedName>
    <definedName name="地坪貼磚工資_軟" localSheetId="6">#REF!</definedName>
    <definedName name="地坪貼磚工資_軟">#REF!</definedName>
    <definedName name="地坪貼磚工資_硬" localSheetId="6">#REF!</definedName>
    <definedName name="地坪貼磚工資_硬">#REF!</definedName>
    <definedName name="地坪貼磚工資10_硬" localSheetId="6">#REF!</definedName>
    <definedName name="地坪貼磚工資10_硬">#REF!</definedName>
    <definedName name="地坪貼磚工資30_硬" localSheetId="6">#REF!</definedName>
    <definedName name="地坪貼磚工資30_硬">#REF!</definedName>
    <definedName name="地坪摻金鋼砂" localSheetId="6">#REF!</definedName>
    <definedName name="地坪摻金鋼砂">#REF!</definedName>
    <definedName name="地坪摻金鋼砂5KG_M2" localSheetId="6">#REF!</definedName>
    <definedName name="地坪摻金鋼砂5KG_M2">#REF!</definedName>
    <definedName name="地坪舖彩色耐磨防滑層" localSheetId="6">#REF!</definedName>
    <definedName name="地坪舖彩色耐磨防滑層">#REF!</definedName>
    <definedName name="地坪舖橡膠地板厚4.0mm" localSheetId="6">#REF!</definedName>
    <definedName name="地坪舖橡膠地板厚4.0mm">#REF!</definedName>
    <definedName name="地坪整體粉光" localSheetId="6">#REF!</definedName>
    <definedName name="地坪整體粉光">#REF!</definedName>
    <definedName name="地坪磨石子崁銅條" localSheetId="6">#REF!</definedName>
    <definedName name="地坪磨石子崁銅條">#REF!</definedName>
    <definedName name="地抹宜蘭石" localSheetId="6">[78]單價分析!#REF!</definedName>
    <definedName name="地抹宜蘭石">[78]單價分析!#REF!</definedName>
    <definedName name="地盤改良工程D_80cm∮__L_10m" localSheetId="6">#REF!</definedName>
    <definedName name="地盤改良工程D_80cm∮__L_10m">#REF!</definedName>
    <definedName name="地磚" localSheetId="6">#REF!</definedName>
    <definedName name="地磚">#REF!</definedName>
    <definedName name="地錨面版" localSheetId="6">#REF!</definedName>
    <definedName name="地錨面版">#REF!</definedName>
    <definedName name="安全尼龍網及塑膠帆布及組拆" localSheetId="6">#REF!</definedName>
    <definedName name="安全尼龍網及塑膠帆布及組拆">#REF!</definedName>
    <definedName name="安全圍籬防溢底座" localSheetId="6">[23]單價分析!#REF!</definedName>
    <definedName name="安全圍籬防溢底座">[23]單價分析!#REF!</definedName>
    <definedName name="安衛" localSheetId="6">#REF!</definedName>
    <definedName name="安衛">#REF!</definedName>
    <definedName name="成本" localSheetId="6">[79]工程預算書!#REF!</definedName>
    <definedName name="成本">[79]工程預算書!#REF!</definedName>
    <definedName name="估價單" localSheetId="2">[0]!SetDate()</definedName>
    <definedName name="估價單" localSheetId="6">[0]!SetDate()</definedName>
    <definedName name="估價單">[0]!SetDate()</definedName>
    <definedName name="低壓灌漿" localSheetId="6">#REF!</definedName>
    <definedName name="低壓灌漿">#REF!</definedName>
    <definedName name="利息" localSheetId="6">#REF!</definedName>
    <definedName name="利息">#REF!</definedName>
    <definedName name="卵石護基" localSheetId="6">#REF!</definedName>
    <definedName name="卵石護基">#REF!</definedName>
    <definedName name="完工日">[77]基本資料!$B$25</definedName>
    <definedName name="完工告示牌" localSheetId="6">#REF!</definedName>
    <definedName name="完工告示牌">#REF!</definedName>
    <definedName name="床2" localSheetId="5">[80]單價!$H$16</definedName>
    <definedName name="床2" localSheetId="6">[80]單價!$H$16</definedName>
    <definedName name="床2">[81]單價!$H$16</definedName>
    <definedName name="床3" localSheetId="5">[80]單價!$H$10</definedName>
    <definedName name="床3" localSheetId="6">[80]單價!$H$10</definedName>
    <definedName name="床3">[81]單價!$H$10</definedName>
    <definedName name="床廣" localSheetId="5">[80]單價!$J$32</definedName>
    <definedName name="床廣" localSheetId="6">[80]單價!$J$32</definedName>
    <definedName name="床廣">[81]單價!$J$32</definedName>
    <definedName name="抓1" localSheetId="6">[76]基本單價!#REF!</definedName>
    <definedName name="抓1">[76]基本單價!#REF!</definedName>
    <definedName name="更" localSheetId="6">[40]單價!#REF!</definedName>
    <definedName name="更">[40]單價!#REF!</definedName>
    <definedName name="材料_紅磚" localSheetId="6">#REF!</definedName>
    <definedName name="材料_紅磚">#REF!</definedName>
    <definedName name="決" localSheetId="6">[20]預算明細!#REF!</definedName>
    <definedName name="決">[20]預算明細!#REF!</definedName>
    <definedName name="決1" localSheetId="6">[20]預算明細!#REF!</definedName>
    <definedName name="決1">[20]預算明細!#REF!</definedName>
    <definedName name="決算" localSheetId="6" hidden="1">#REF!</definedName>
    <definedName name="決算" hidden="1">#REF!</definedName>
    <definedName name="決算書1" localSheetId="6">[20]預算明細!#REF!</definedName>
    <definedName name="決算書1">[20]預算明細!#REF!</definedName>
    <definedName name="沉泥挖除" localSheetId="6">#REF!</definedName>
    <definedName name="沉泥挖除">#REF!</definedName>
    <definedName name="沉澱池廢土坑施工費_三池5_5_4M" localSheetId="6">[23]單價分析!#REF!</definedName>
    <definedName name="沉澱池廢土坑施工費_三池5_5_4M">[23]單價分析!#REF!</definedName>
    <definedName name="里程">[73]人孔高程計算!$Y$4:$Y$451</definedName>
    <definedName name="防水劑" localSheetId="6">#REF!</definedName>
    <definedName name="防水劑">#REF!</definedName>
    <definedName name="防舷材" localSheetId="6">#REF!</definedName>
    <definedName name="防舷材">#REF!</definedName>
    <definedName name="防蝕" localSheetId="6">#REF!</definedName>
    <definedName name="防蝕">#REF!</definedName>
    <definedName name="兒一" localSheetId="6">#REF!</definedName>
    <definedName name="兒一">#REF!</definedName>
    <definedName name="兒七" localSheetId="6">#REF!</definedName>
    <definedName name="兒七">#REF!</definedName>
    <definedName name="兒九" localSheetId="6">#REF!</definedName>
    <definedName name="兒九">#REF!</definedName>
    <definedName name="兒二" localSheetId="6">#REF!</definedName>
    <definedName name="兒二">#REF!</definedName>
    <definedName name="兒八" localSheetId="6">#REF!</definedName>
    <definedName name="兒八">#REF!</definedName>
    <definedName name="兒十" localSheetId="6">#REF!</definedName>
    <definedName name="兒十">#REF!</definedName>
    <definedName name="兒十一" localSheetId="6">#REF!</definedName>
    <definedName name="兒十一">#REF!</definedName>
    <definedName name="兒十二" localSheetId="6">#REF!</definedName>
    <definedName name="兒十二">#REF!</definedName>
    <definedName name="兒三" localSheetId="6">#REF!</definedName>
    <definedName name="兒三">#REF!</definedName>
    <definedName name="兒五" localSheetId="6">#REF!</definedName>
    <definedName name="兒五">#REF!</definedName>
    <definedName name="兒六" localSheetId="6">#REF!</definedName>
    <definedName name="兒六">#REF!</definedName>
    <definedName name="兒四" localSheetId="6">#REF!</definedName>
    <definedName name="兒四">#REF!</definedName>
    <definedName name="兩側水管管線搶修費" localSheetId="6">#REF!</definedName>
    <definedName name="兩側水管管線搶修費">#REF!</definedName>
    <definedName name="坡N" localSheetId="6">#REF!</definedName>
    <definedName name="坡N">#REF!</definedName>
    <definedName name="坡P" localSheetId="6">#REF!</definedName>
    <definedName name="坡P">#REF!</definedName>
    <definedName name="坡縫N" localSheetId="6">#REF!</definedName>
    <definedName name="坡縫N">#REF!</definedName>
    <definedName name="坡縫P" localSheetId="6">#REF!</definedName>
    <definedName name="坡縫P">#REF!</definedName>
    <definedName name="岩石總重" localSheetId="2">[0]!SetDate()</definedName>
    <definedName name="岩石總重" localSheetId="6">[0]!SetDate()</definedName>
    <definedName name="岩石總重">[0]!SetDate()</definedName>
    <definedName name="承包商自行覓地處理" localSheetId="6">#REF!</definedName>
    <definedName name="承包商自行覓地處理">#REF!</definedName>
    <definedName name="抽水井" localSheetId="6">#REF!</definedName>
    <definedName name="抽水井">#REF!</definedName>
    <definedName name="拆除" localSheetId="6">#REF!</definedName>
    <definedName name="拆除">#REF!</definedName>
    <definedName name="放樣" localSheetId="6">#REF!</definedName>
    <definedName name="放樣">#REF!</definedName>
    <definedName name="放樣工料" localSheetId="6">#REF!</definedName>
    <definedName name="放樣工料">#REF!</definedName>
    <definedName name="東封" localSheetId="6">#REF!</definedName>
    <definedName name="東封">#REF!</definedName>
    <definedName name="板樁前碎石" localSheetId="6">#REF!</definedName>
    <definedName name="板樁前碎石">#REF!</definedName>
    <definedName name="枋" localSheetId="6" hidden="1">#REF!</definedName>
    <definedName name="枋" hidden="1">#REF!</definedName>
    <definedName name="林仔顯" localSheetId="6">[82]G1水土保持!#REF!</definedName>
    <definedName name="林仔顯">[82]G1水土保持!#REF!</definedName>
    <definedName name="泥作防水雜項工程" localSheetId="6">#REF!</definedName>
    <definedName name="泥作防水雜項工程">#REF!</definedName>
    <definedName name="版樁LT" localSheetId="6">'[59]計算表 (2)'!#REF!</definedName>
    <definedName name="版樁LT">'[59]計算表 (2)'!#REF!</definedName>
    <definedName name="版樁RT" localSheetId="6">'[59]計算表 (2)'!#REF!</definedName>
    <definedName name="版樁RT">'[59]計算表 (2)'!#REF!</definedName>
    <definedName name="版樁間距" localSheetId="6">'[59]計算表 (2)'!#REF!</definedName>
    <definedName name="版樁間距">'[59]計算表 (2)'!#REF!</definedName>
    <definedName name="物件" localSheetId="6">#REF!</definedName>
    <definedName name="物件">#REF!</definedName>
    <definedName name="物計" localSheetId="6">#REF!</definedName>
    <definedName name="物計">#REF!</definedName>
    <definedName name="物價調整費" localSheetId="6">#REF!</definedName>
    <definedName name="物價調整費">#REF!</definedName>
    <definedName name="直接成本" localSheetId="6">#REF!</definedName>
    <definedName name="直接成本">#REF!</definedName>
    <definedName name="空心磚" localSheetId="6">#REF!</definedName>
    <definedName name="空心磚">#REF!</definedName>
    <definedName name="空心磚191919" localSheetId="6">#REF!</definedName>
    <definedName name="空心磚191919">#REF!</definedName>
    <definedName name="空心磚391919" localSheetId="6">#REF!</definedName>
    <definedName name="空心磚391919">#REF!</definedName>
    <definedName name="空心磚立體391919" localSheetId="6">#REF!</definedName>
    <definedName name="空心磚立體391919">#REF!</definedName>
    <definedName name="空心磚頂蓋" localSheetId="6">#REF!</definedName>
    <definedName name="空心磚頂蓋">#REF!</definedName>
    <definedName name="花台地坪防水粉刷工資" localSheetId="6">#REF!</definedName>
    <definedName name="花台地坪防水粉刷工資">#REF!</definedName>
    <definedName name="表" localSheetId="6">#REF!</definedName>
    <definedName name="表">#REF!</definedName>
    <definedName name="表1" localSheetId="6">#REF!</definedName>
    <definedName name="表1">#REF!</definedName>
    <definedName name="近填方" localSheetId="6">#REF!</definedName>
    <definedName name="近填方">#REF!</definedName>
    <definedName name="金屬天花板" localSheetId="6">#REF!</definedName>
    <definedName name="金屬天花板">#REF!</definedName>
    <definedName name="金屬外牆" localSheetId="6">#REF!</definedName>
    <definedName name="金屬外牆">#REF!</definedName>
    <definedName name="金屬釉面磚" localSheetId="6">#REF!</definedName>
    <definedName name="金屬釉面磚">#REF!</definedName>
    <definedName name="附註" localSheetId="6">#REF!</definedName>
    <definedName name="附註">#REF!</definedName>
    <definedName name="亮光蠟" localSheetId="6">#REF!</definedName>
    <definedName name="亮光蠟">#REF!</definedName>
    <definedName name="冠牆A" localSheetId="6">#REF!</definedName>
    <definedName name="冠牆A">#REF!</definedName>
    <definedName name="冠牆B" localSheetId="6">#REF!</definedName>
    <definedName name="冠牆B">#REF!</definedName>
    <definedName name="品管" localSheetId="6">#REF!</definedName>
    <definedName name="品管">#REF!</definedName>
    <definedName name="型塊2t吊儲" localSheetId="6">#REF!</definedName>
    <definedName name="型塊2t吊儲">#REF!</definedName>
    <definedName name="封面" localSheetId="6">'[83]數量計算表(乙)'!#REF!</definedName>
    <definedName name="封面">'[83]數量計算表(乙)'!#REF!</definedName>
    <definedName name="封面2" hidden="1">[84]預2!$A$8:$A$32</definedName>
    <definedName name="屋頂防水隔熱" localSheetId="6">#REF!</definedName>
    <definedName name="屋頂防水隔熱">#REF!</definedName>
    <definedName name="挖方" localSheetId="6">#REF!</definedName>
    <definedName name="挖方">#REF!</definedName>
    <definedName name="挖方人" localSheetId="6">#REF!</definedName>
    <definedName name="挖方人">#REF!</definedName>
    <definedName name="挖方破壞原構造物" localSheetId="6">#REF!</definedName>
    <definedName name="挖方破壞原構造物">#REF!</definedName>
    <definedName name="挖方擋土設施" localSheetId="6">#REF!</definedName>
    <definedName name="挖方擋土設施">#REF!</definedName>
    <definedName name="挖方機" localSheetId="6">#REF!</definedName>
    <definedName name="挖方機">#REF!</definedName>
    <definedName name="挖破" localSheetId="6">#REF!</definedName>
    <definedName name="挖破">#REF!</definedName>
    <definedName name="挖棄" localSheetId="6">#REF!</definedName>
    <definedName name="挖棄">#REF!</definedName>
    <definedName name="挖填土" localSheetId="6">#REF!</definedName>
    <definedName name="挖填土">#REF!</definedName>
    <definedName name="挖擋" localSheetId="6">#REF!</definedName>
    <definedName name="挖擋">#REF!</definedName>
    <definedName name="施工地點" localSheetId="6">#REF!</definedName>
    <definedName name="施工地點">#REF!</definedName>
    <definedName name="施工告示牌" localSheetId="6">#REF!</definedName>
    <definedName name="施工告示牌">#REF!</definedName>
    <definedName name="施工場地填築" localSheetId="6">#REF!</definedName>
    <definedName name="施工場地填築">#REF!</definedName>
    <definedName name="施工場地養護" localSheetId="6">#REF!</definedName>
    <definedName name="施工場地養護">#REF!</definedName>
    <definedName name="施工場地整理" localSheetId="6">#REF!</definedName>
    <definedName name="施工場地整理">#REF!</definedName>
    <definedName name="施工道路整建" localSheetId="6">#REF!</definedName>
    <definedName name="施工道路整建">#REF!</definedName>
    <definedName name="施工構台" localSheetId="6">#REF!</definedName>
    <definedName name="施工構台">#REF!</definedName>
    <definedName name="施工標誌" localSheetId="6">#REF!</definedName>
    <definedName name="施工標誌">#REF!</definedName>
    <definedName name="星期" localSheetId="6">#REF!</definedName>
    <definedName name="星期">#REF!</definedName>
    <definedName name="柔性屋瓦" localSheetId="6">#REF!</definedName>
    <definedName name="柔性屋瓦">#REF!</definedName>
    <definedName name="洗石子" localSheetId="6">#REF!</definedName>
    <definedName name="洗石子">#REF!</definedName>
    <definedName name="活動拒馬" localSheetId="6">#REF!</definedName>
    <definedName name="活動拒馬">#REF!</definedName>
    <definedName name="玻璃磚" localSheetId="6">#REF!</definedName>
    <definedName name="玻璃磚">#REF!</definedName>
    <definedName name="砂" localSheetId="6">#REF!</definedName>
    <definedName name="砂">#REF!</definedName>
    <definedName name="砂岩151530" localSheetId="6">#REF!</definedName>
    <definedName name="砂岩151530">#REF!</definedName>
    <definedName name="砂岩地14" localSheetId="6">#REF!</definedName>
    <definedName name="砂岩地14">#REF!</definedName>
    <definedName name="砂岩地6" localSheetId="6">#REF!</definedName>
    <definedName name="砂岩地6">#REF!</definedName>
    <definedName name="砂岩頂蓋" localSheetId="6">#REF!</definedName>
    <definedName name="砂岩頂蓋">#REF!</definedName>
    <definedName name="砂岩塊石292014" localSheetId="6">#REF!</definedName>
    <definedName name="砂岩塊石292014">#REF!</definedName>
    <definedName name="砂岩牆6" localSheetId="6">#REF!</definedName>
    <definedName name="砂岩牆6">#REF!</definedName>
    <definedName name="砂漿13" localSheetId="6">#REF!</definedName>
    <definedName name="砂漿13">#REF!</definedName>
    <definedName name="砌1_?B磚水泥砂漿物料" localSheetId="6">#REF!</definedName>
    <definedName name="砌1_?B磚水泥砂漿物料">#REF!</definedName>
    <definedName name="砌1_2B磚工資" localSheetId="6">#REF!</definedName>
    <definedName name="砌1_2B磚工資">#REF!</definedName>
    <definedName name="砌1_2B磚水泥砂漿物料" localSheetId="6">#REF!</definedName>
    <definedName name="砌1_2B磚水泥砂漿物料">#REF!</definedName>
    <definedName name="砌1_2B磚牆" localSheetId="6">#REF!</definedName>
    <definedName name="砌1_2B磚牆">#REF!</definedName>
    <definedName name="砌1B磚工資" localSheetId="6">#REF!</definedName>
    <definedName name="砌1B磚工資">#REF!</definedName>
    <definedName name="砌1B磚水泥砂漿物料" localSheetId="6">#REF!</definedName>
    <definedName name="砌1B磚水泥砂漿物料">#REF!</definedName>
    <definedName name="砌1B磚牆" localSheetId="6">#REF!</definedName>
    <definedName name="砌1B磚牆">#REF!</definedName>
    <definedName name="砌空心磚" localSheetId="6">#REF!</definedName>
    <definedName name="砌空心磚">#REF!</definedName>
    <definedName name="砌空心磚工資" localSheetId="6">#REF!</definedName>
    <definedName name="砌空心磚工資">#REF!</definedName>
    <definedName name="砌玻璃磚" localSheetId="6">#REF!</definedName>
    <definedName name="砌玻璃磚">#REF!</definedName>
    <definedName name="砌玻璃磚工資" localSheetId="6">#REF!</definedName>
    <definedName name="砌玻璃磚工資">#REF!</definedName>
    <definedName name="砌磚工資" localSheetId="6">#REF!</definedName>
    <definedName name="砌磚工資">#REF!</definedName>
    <definedName name="砌壓簷磚" localSheetId="6">#REF!</definedName>
    <definedName name="砌壓簷磚">#REF!</definedName>
    <definedName name="紅磚" localSheetId="6">#REF!</definedName>
    <definedName name="紅磚">#REF!</definedName>
    <definedName name="背填卵石" localSheetId="6">#REF!</definedName>
    <definedName name="背填卵石">#REF!</definedName>
    <definedName name="計算式範圍" localSheetId="6">#REF!</definedName>
    <definedName name="計算式範圍">#REF!</definedName>
    <definedName name="計算橋" localSheetId="6">[36]預算明細!#REF!</definedName>
    <definedName name="計算橋">[36]預算明細!#REF!</definedName>
    <definedName name="倉儲費" localSheetId="1">#REF!</definedName>
    <definedName name="倉儲費" localSheetId="2">#REF!</definedName>
    <definedName name="倉儲費" localSheetId="4">#REF!</definedName>
    <definedName name="倉儲費" localSheetId="5">#REF!</definedName>
    <definedName name="倉儲費" localSheetId="6">#REF!</definedName>
    <definedName name="倉儲費" localSheetId="7">#REF!</definedName>
    <definedName name="倉儲費">#REF!</definedName>
    <definedName name="套管基樁" localSheetId="6">#REF!</definedName>
    <definedName name="套管基樁">#REF!</definedName>
    <definedName name="套管基樁帽樑" localSheetId="6">#REF!</definedName>
    <definedName name="套管基樁帽樑">#REF!</definedName>
    <definedName name="套管基樁繫樑" localSheetId="6">#REF!</definedName>
    <definedName name="套管基樁繫樑">#REF!</definedName>
    <definedName name="時單價" localSheetId="6">#REF!</definedName>
    <definedName name="時單價">#REF!</definedName>
    <definedName name="核章" localSheetId="6">#REF!</definedName>
    <definedName name="核章">#REF!</definedName>
    <definedName name="浚填" localSheetId="6">#REF!</definedName>
    <definedName name="浚填">#REF!</definedName>
    <definedName name="海菜粉" localSheetId="6">#REF!</definedName>
    <definedName name="海菜粉">#REF!</definedName>
    <definedName name="消波塊2t" localSheetId="6">#REF!</definedName>
    <definedName name="消波塊2t">#REF!</definedName>
    <definedName name="消波塊吊除" localSheetId="6">#REF!</definedName>
    <definedName name="消波塊吊除">#REF!</definedName>
    <definedName name="神封" localSheetId="6">#REF!</definedName>
    <definedName name="神封">#REF!</definedName>
    <definedName name="粉刷12" localSheetId="6">[78]單價分析!#REF!</definedName>
    <definedName name="粉刷12">[78]單價分析!#REF!</definedName>
    <definedName name="粉刷13" localSheetId="6">[78]單價分析!#REF!</definedName>
    <definedName name="粉刷13">[78]單價分析!#REF!</definedName>
    <definedName name="粉刷其他裝飾" localSheetId="6">#REF!</definedName>
    <definedName name="粉刷其他裝飾">#REF!</definedName>
    <definedName name="逆打牆柱無收縮水泥灌漿工料費" localSheetId="6">#REF!</definedName>
    <definedName name="逆打牆柱無收縮水泥灌漿工料費">#REF!</definedName>
    <definedName name="馬賽克" localSheetId="6">#REF!</definedName>
    <definedName name="馬賽克">#REF!</definedName>
    <definedName name="高拉力鋼筋" localSheetId="6">#REF!</definedName>
    <definedName name="高拉力鋼筋">#REF!</definedName>
    <definedName name="假設工程" localSheetId="6">#REF!</definedName>
    <definedName name="假設工程">#REF!</definedName>
    <definedName name="基地舖面施工費_t_20cm" localSheetId="6">[23]單價分析!#REF!</definedName>
    <definedName name="基地舖面施工費_t_20cm">[23]單價分析!#REF!</definedName>
    <definedName name="基底層每米立方" localSheetId="6">#REF!</definedName>
    <definedName name="基底層每米立方">#REF!</definedName>
    <definedName name="基椿試驗費_抗壓、抗拉" localSheetId="6">#REF!</definedName>
    <definedName name="基椿試驗費_抗壓、抗拉">#REF!</definedName>
    <definedName name="基樁工程" localSheetId="6">#REF!</definedName>
    <definedName name="基樁工程">#REF!</definedName>
    <definedName name="基礎卵石" localSheetId="6">#REF!</definedName>
    <definedName name="基礎卵石">#REF!</definedName>
    <definedName name="密級配瀝青混凝土舖設" localSheetId="6">#REF!</definedName>
    <definedName name="密級配瀝青混凝土舖設">#REF!</definedName>
    <definedName name="排卵石" localSheetId="6">#REF!</definedName>
    <definedName name="排卵石">#REF!</definedName>
    <definedName name="接地" localSheetId="6">#REF!</definedName>
    <definedName name="接地">#REF!</definedName>
    <definedName name="斬石子" localSheetId="6">#REF!</definedName>
    <definedName name="斬石子">#REF!</definedName>
    <definedName name="曹源龍建築師事務所" localSheetId="6">#REF!</definedName>
    <definedName name="曹源龍建築師事務所">#REF!</definedName>
    <definedName name="淨砂" localSheetId="6">#REF!</definedName>
    <definedName name="淨砂">#REF!</definedName>
    <definedName name="混140" localSheetId="6">#REF!</definedName>
    <definedName name="混140">#REF!</definedName>
    <definedName name="混150" localSheetId="6">#REF!</definedName>
    <definedName name="混150">#REF!</definedName>
    <definedName name="混210" localSheetId="6">#REF!</definedName>
    <definedName name="混210">#REF!</definedName>
    <definedName name="混廠" localSheetId="6">#REF!</definedName>
    <definedName name="混廠">#REF!</definedName>
    <definedName name="混凝土140" localSheetId="6">[78]單價分析!#REF!</definedName>
    <definedName name="混凝土140">[78]單價分析!#REF!</definedName>
    <definedName name="混凝土140kg" localSheetId="6">#REF!</definedName>
    <definedName name="混凝土140kg">#REF!</definedName>
    <definedName name="混凝土175kg" localSheetId="6">#REF!</definedName>
    <definedName name="混凝土175kg">#REF!</definedName>
    <definedName name="混凝土210" localSheetId="6">[78]單價分析!#REF!</definedName>
    <definedName name="混凝土210">[78]單價分析!#REF!</definedName>
    <definedName name="混凝土210kg" localSheetId="6">#REF!</definedName>
    <definedName name="混凝土210kg">#REF!</definedName>
    <definedName name="混凝土280kg" localSheetId="6">#REF!</definedName>
    <definedName name="混凝土280kg">#REF!</definedName>
    <definedName name="混凝土拌合廠遷設費" localSheetId="6">#REF!</definedName>
    <definedName name="混凝土拌合廠遷設費">#REF!</definedName>
    <definedName name="混凝土修復費" localSheetId="6">#REF!</definedName>
    <definedName name="混凝土修復費">#REF!</definedName>
    <definedName name="清水模" localSheetId="6">#REF!</definedName>
    <definedName name="清水模">#REF!</definedName>
    <definedName name="清水模板工料" localSheetId="6">#REF!</definedName>
    <definedName name="清水模板工料">#REF!</definedName>
    <definedName name="清封" localSheetId="6">#REF!</definedName>
    <definedName name="清封">#REF!</definedName>
    <definedName name="清除A區資料" localSheetId="2">[37]!清除A區資料</definedName>
    <definedName name="清除A區資料" localSheetId="6">[37]!清除A區資料</definedName>
    <definedName name="清除A區資料">[37]!清除A區資料</definedName>
    <definedName name="清除B區資料" localSheetId="2">[37]!清除B區資料</definedName>
    <definedName name="清除B區資料" localSheetId="6">[37]!清除B區資料</definedName>
    <definedName name="清除B區資料">[37]!清除B區資料</definedName>
    <definedName name="清除C區資料" localSheetId="2">[37]!清除C區資料</definedName>
    <definedName name="清除C區資料" localSheetId="6">[37]!清除C區資料</definedName>
    <definedName name="清除C區資料">[37]!清除C區資料</definedName>
    <definedName name="清除D區資料" localSheetId="2">[37]!清除D區資料</definedName>
    <definedName name="清除D區資料" localSheetId="6">[37]!清除D區資料</definedName>
    <definedName name="清除D區資料">[37]!清除D區資料</definedName>
    <definedName name="清除查詢資料" localSheetId="2">[37]!清除查詢資料</definedName>
    <definedName name="清除查詢資料" localSheetId="6">[37]!清除查詢資料</definedName>
    <definedName name="清除查詢資料">[37]!清除查詢資料</definedName>
    <definedName name="清單" localSheetId="1">#REF!</definedName>
    <definedName name="清單" localSheetId="2">#REF!</definedName>
    <definedName name="清單" localSheetId="4">#REF!</definedName>
    <definedName name="清單" localSheetId="5">#REF!</definedName>
    <definedName name="清單" localSheetId="6">#REF!</definedName>
    <definedName name="清單" localSheetId="7">#REF!</definedName>
    <definedName name="清單">#REF!</definedName>
    <definedName name="清模" localSheetId="6">#REF!</definedName>
    <definedName name="清模">#REF!</definedName>
    <definedName name="第一季" localSheetId="6">#REF!</definedName>
    <definedName name="第一季">#REF!</definedName>
    <definedName name="第二季" localSheetId="6">#REF!</definedName>
    <definedName name="第二季">#REF!</definedName>
    <definedName name="第三季" localSheetId="6">#REF!</definedName>
    <definedName name="第三季">#REF!</definedName>
    <definedName name="第四季" localSheetId="6">#REF!</definedName>
    <definedName name="第四季">#REF!</definedName>
    <definedName name="組合式固定圍籬_鍍鋅鋼板" localSheetId="6">[23]單價分析!#REF!</definedName>
    <definedName name="組合式固定圍籬_鍍鋅鋼板">[23]單價分析!#REF!</definedName>
    <definedName name="組合房屋辦公室及倉庫_含辦公室設備" localSheetId="6">[23]單價分析!#REF!</definedName>
    <definedName name="組合房屋辦公室及倉庫_含辦公室設備">[23]單價分析!#REF!</definedName>
    <definedName name="蛇籠" localSheetId="6">#REF!</definedName>
    <definedName name="蛇籠">#REF!</definedName>
    <definedName name="設計費" localSheetId="6">[18]預算明細!#REF!</definedName>
    <definedName name="設計費">[18]預算明細!#REF!</definedName>
    <definedName name="透" localSheetId="6">#REF!</definedName>
    <definedName name="透">#REF!</definedName>
    <definedName name="造型模板布紋砌4.5cm厚" localSheetId="6">#REF!</definedName>
    <definedName name="造型模板布紋砌4.5cm厚">#REF!</definedName>
    <definedName name="連鎖地磚" localSheetId="6">#REF!</definedName>
    <definedName name="連鎖地磚">#REF!</definedName>
    <definedName name="連續壁工程" localSheetId="6">#REF!</definedName>
    <definedName name="連續壁工程">#REF!</definedName>
    <definedName name="連續壁接頭止水凝結樁施工費∮35cm" localSheetId="6">[23]單價分析!#REF!</definedName>
    <definedName name="連續壁接頭止水凝結樁施工費∮35cm">[23]單價分析!#REF!</definedName>
    <definedName name="頂定進度表" localSheetId="6">#REF!</definedName>
    <definedName name="頂定進度表">#REF!</definedName>
    <definedName name="勞工安全衛生費_0.3" localSheetId="6">#REF!</definedName>
    <definedName name="勞工安全衛生費_0.3">#REF!</definedName>
    <definedName name="單" localSheetId="6">#REF!</definedName>
    <definedName name="單">#REF!</definedName>
    <definedName name="單位" localSheetId="6">#REF!</definedName>
    <definedName name="單位">#REF!</definedName>
    <definedName name="單價_∮3PVC管" localSheetId="1">#REF!</definedName>
    <definedName name="單價_∮3PVC管" localSheetId="2">#REF!</definedName>
    <definedName name="單價_∮3PVC管" localSheetId="4">#REF!</definedName>
    <definedName name="單價_∮3PVC管" localSheetId="5">#REF!</definedName>
    <definedName name="單價_∮3PVC管" localSheetId="6">#REF!</definedName>
    <definedName name="單價_∮3PVC管" localSheetId="7">#REF!</definedName>
    <definedName name="單價_∮3PVC管">#REF!</definedName>
    <definedName name="單價_210混凝土" localSheetId="1">#REF!</definedName>
    <definedName name="單價_210混凝土" localSheetId="2">#REF!</definedName>
    <definedName name="單價_210混凝土" localSheetId="4">#REF!</definedName>
    <definedName name="單價_210混凝土" localSheetId="5">#REF!</definedName>
    <definedName name="單價_210混凝土" localSheetId="6">#REF!</definedName>
    <definedName name="單價_210混凝土" localSheetId="7">#REF!</definedName>
    <definedName name="單價_210混凝土">#REF!</definedName>
    <definedName name="單價_一級工" localSheetId="1">#REF!</definedName>
    <definedName name="單價_一級工" localSheetId="2">#REF!</definedName>
    <definedName name="單價_一級工" localSheetId="4">#REF!</definedName>
    <definedName name="單價_一級工" localSheetId="5">#REF!</definedName>
    <definedName name="單價_一級工" localSheetId="6">#REF!</definedName>
    <definedName name="單價_一級工" localSheetId="7">#REF!</definedName>
    <definedName name="單價_一級工">#REF!</definedName>
    <definedName name="單價_一級路" localSheetId="1">#REF!</definedName>
    <definedName name="單價_一級路" localSheetId="2">#REF!</definedName>
    <definedName name="單價_一級路" localSheetId="4">#REF!</definedName>
    <definedName name="單價_一級路" localSheetId="5">#REF!</definedName>
    <definedName name="單價_一級路" localSheetId="6">#REF!</definedName>
    <definedName name="單價_一級路" localSheetId="7">#REF!</definedName>
    <definedName name="單價_一級路">#REF!</definedName>
    <definedName name="單價_二級工" localSheetId="1">#REF!</definedName>
    <definedName name="單價_二級工" localSheetId="2">#REF!</definedName>
    <definedName name="單價_二級工" localSheetId="4">#REF!</definedName>
    <definedName name="單價_二級工" localSheetId="5">#REF!</definedName>
    <definedName name="單價_二級工" localSheetId="6">#REF!</definedName>
    <definedName name="單價_二級工" localSheetId="7">#REF!</definedName>
    <definedName name="單價_二級工">#REF!</definedName>
    <definedName name="單價_二級路" localSheetId="1">#REF!</definedName>
    <definedName name="單價_二級路" localSheetId="2">#REF!</definedName>
    <definedName name="單價_二級路" localSheetId="4">#REF!</definedName>
    <definedName name="單價_二級路" localSheetId="5">#REF!</definedName>
    <definedName name="單價_二級路" localSheetId="6">#REF!</definedName>
    <definedName name="單價_二級路" localSheetId="7">#REF!</definedName>
    <definedName name="單價_二級路">#REF!</definedName>
    <definedName name="單價_三級路" localSheetId="1">#REF!</definedName>
    <definedName name="單價_三級路" localSheetId="2">#REF!</definedName>
    <definedName name="單價_三級路" localSheetId="4">#REF!</definedName>
    <definedName name="單價_三級路" localSheetId="5">#REF!</definedName>
    <definedName name="單價_三級路" localSheetId="6">#REF!</definedName>
    <definedName name="單價_三級路" localSheetId="7">#REF!</definedName>
    <definedName name="單價_三級路">#REF!</definedName>
    <definedName name="單價_水泥" localSheetId="1">#REF!</definedName>
    <definedName name="單價_水泥" localSheetId="2">#REF!</definedName>
    <definedName name="單價_水泥" localSheetId="4">#REF!</definedName>
    <definedName name="單價_水泥" localSheetId="5">#REF!</definedName>
    <definedName name="單價_水泥" localSheetId="6">#REF!</definedName>
    <definedName name="單價_水泥" localSheetId="7">#REF!</definedName>
    <definedName name="單價_水泥">#REF!</definedName>
    <definedName name="單價_回填方" localSheetId="1">#REF!</definedName>
    <definedName name="單價_回填方" localSheetId="2">#REF!</definedName>
    <definedName name="單價_回填方" localSheetId="4">#REF!</definedName>
    <definedName name="單價_回填方" localSheetId="5">#REF!</definedName>
    <definedName name="單價_回填方" localSheetId="6">#REF!</definedName>
    <definedName name="單價_回填方" localSheetId="7">#REF!</definedName>
    <definedName name="單價_回填方">#REF!</definedName>
    <definedName name="單價_卵石" localSheetId="1">[85]單價分析!#REF!</definedName>
    <definedName name="單價_卵石" localSheetId="2">[85]單價分析!#REF!</definedName>
    <definedName name="單價_卵石" localSheetId="4">[85]單價分析!#REF!</definedName>
    <definedName name="單價_卵石" localSheetId="5">[85]單價分析!#REF!</definedName>
    <definedName name="單價_卵石" localSheetId="6">[85]單價分析!#REF!</definedName>
    <definedName name="單價_卵石" localSheetId="7">[85]單價分析!#REF!</definedName>
    <definedName name="單價_卵石">[85]單價分析!#REF!</definedName>
    <definedName name="單價_挖方" localSheetId="1">#REF!</definedName>
    <definedName name="單價_挖方" localSheetId="2">#REF!</definedName>
    <definedName name="單價_挖方" localSheetId="4">#REF!</definedName>
    <definedName name="單價_挖方" localSheetId="5">#REF!</definedName>
    <definedName name="單價_挖方" localSheetId="6">#REF!</definedName>
    <definedName name="單價_挖方" localSheetId="7">#REF!</definedName>
    <definedName name="單價_挖方">#REF!</definedName>
    <definedName name="單價_級配" localSheetId="5">[85]單價分析!#REF!</definedName>
    <definedName name="單價_級配" localSheetId="6">[85]單價分析!#REF!</definedName>
    <definedName name="單價_級配" localSheetId="7">[85]單價分析!#REF!</definedName>
    <definedName name="單價_級配">[85]單價分析!#REF!</definedName>
    <definedName name="單價_基礎挖填整平" localSheetId="1">#REF!</definedName>
    <definedName name="單價_基礎挖填整平" localSheetId="2">#REF!</definedName>
    <definedName name="單價_基礎挖填整平" localSheetId="4">#REF!</definedName>
    <definedName name="單價_基礎挖填整平" localSheetId="5">#REF!</definedName>
    <definedName name="單價_基礎挖填整平" localSheetId="6">#REF!</definedName>
    <definedName name="單價_基礎挖填整平" localSheetId="7">#REF!</definedName>
    <definedName name="單價_基礎挖填整平">#REF!</definedName>
    <definedName name="單價_排水器" localSheetId="1">#REF!</definedName>
    <definedName name="單價_排水器" localSheetId="2">#REF!</definedName>
    <definedName name="單價_排水器" localSheetId="4">#REF!</definedName>
    <definedName name="單價_排水器" localSheetId="5">#REF!</definedName>
    <definedName name="單價_排水器" localSheetId="6">#REF!</definedName>
    <definedName name="單價_排水器" localSheetId="7">#REF!</definedName>
    <definedName name="單價_排水器">#REF!</definedName>
    <definedName name="單價_棄土處理" localSheetId="1">#REF!</definedName>
    <definedName name="單價_棄土處理" localSheetId="2">#REF!</definedName>
    <definedName name="單價_棄土處理" localSheetId="4">#REF!</definedName>
    <definedName name="單價_棄土處理" localSheetId="5">#REF!</definedName>
    <definedName name="單價_棄土處理" localSheetId="6">#REF!</definedName>
    <definedName name="單價_棄土處理" localSheetId="7">#REF!</definedName>
    <definedName name="單價_棄土處理">#REF!</definedName>
    <definedName name="單價_淨石子" localSheetId="1">#REF!</definedName>
    <definedName name="單價_淨石子" localSheetId="2">#REF!</definedName>
    <definedName name="單價_淨石子" localSheetId="4">#REF!</definedName>
    <definedName name="單價_淨石子" localSheetId="5">#REF!</definedName>
    <definedName name="單價_淨石子" localSheetId="6">#REF!</definedName>
    <definedName name="單價_淨石子" localSheetId="7">#REF!</definedName>
    <definedName name="單價_淨石子">#REF!</definedName>
    <definedName name="單價_淨砂" localSheetId="1">#REF!</definedName>
    <definedName name="單價_淨砂" localSheetId="2">#REF!</definedName>
    <definedName name="單價_淨砂" localSheetId="4">#REF!</definedName>
    <definedName name="單價_淨砂" localSheetId="5">#REF!</definedName>
    <definedName name="單價_淨砂" localSheetId="6">#REF!</definedName>
    <definedName name="單價_淨砂" localSheetId="7">#REF!</definedName>
    <definedName name="單價_淨砂">#REF!</definedName>
    <definedName name="單價_混凝土">[85]單價分析!$J$90</definedName>
    <definedName name="單價_造型模板" localSheetId="1">#REF!</definedName>
    <definedName name="單價_造型模板" localSheetId="2">#REF!</definedName>
    <definedName name="單價_造型模板" localSheetId="4">#REF!</definedName>
    <definedName name="單價_造型模板" localSheetId="5">#REF!</definedName>
    <definedName name="單價_造型模板" localSheetId="6">#REF!</definedName>
    <definedName name="單價_造型模板" localSheetId="7">#REF!</definedName>
    <definedName name="單價_造型模板">#REF!</definedName>
    <definedName name="單價_普通模板" localSheetId="1">#REF!</definedName>
    <definedName name="單價_普通模板" localSheetId="2">#REF!</definedName>
    <definedName name="單價_普通模板" localSheetId="4">#REF!</definedName>
    <definedName name="單價_普通模板" localSheetId="5">#REF!</definedName>
    <definedName name="單價_普通模板" localSheetId="6">#REF!</definedName>
    <definedName name="單價_普通模板" localSheetId="7">#REF!</definedName>
    <definedName name="單價_普通模板">#REF!</definedName>
    <definedName name="單價_碎石級配" localSheetId="1">#REF!</definedName>
    <definedName name="單價_碎石級配" localSheetId="2">#REF!</definedName>
    <definedName name="單價_碎石級配" localSheetId="4">#REF!</definedName>
    <definedName name="單價_碎石級配" localSheetId="5">#REF!</definedName>
    <definedName name="單價_碎石級配" localSheetId="6">#REF!</definedName>
    <definedName name="單價_碎石級配" localSheetId="7">#REF!</definedName>
    <definedName name="單價_碎石級配">#REF!</definedName>
    <definedName name="單價_模板">[85]單價分析!$J$71</definedName>
    <definedName name="單價_橫溝鐵蓋" localSheetId="1">#REF!</definedName>
    <definedName name="單價_橫溝鐵蓋" localSheetId="2">#REF!</definedName>
    <definedName name="單價_橫溝鐵蓋" localSheetId="4">#REF!</definedName>
    <definedName name="單價_橫溝鐵蓋" localSheetId="5">#REF!</definedName>
    <definedName name="單價_橫溝鐵蓋" localSheetId="6">#REF!</definedName>
    <definedName name="單價_橫溝鐵蓋" localSheetId="7">#REF!</definedName>
    <definedName name="單價_橫溝鐵蓋">#REF!</definedName>
    <definedName name="單價_鋼筋加工組立" localSheetId="1">#REF!</definedName>
    <definedName name="單價_鋼筋加工組立" localSheetId="2">#REF!</definedName>
    <definedName name="單價_鋼筋加工組立" localSheetId="4">#REF!</definedName>
    <definedName name="單價_鋼筋加工組立" localSheetId="5">#REF!</definedName>
    <definedName name="單價_鋼筋加工組立" localSheetId="6">#REF!</definedName>
    <definedName name="單價_鋼筋加工組立" localSheetId="7">#REF!</definedName>
    <definedName name="單價_鋼筋加工組立">#REF!</definedName>
    <definedName name="單價分析表" localSheetId="6">#REF!</definedName>
    <definedName name="單價分析表">#REF!</definedName>
    <definedName name="單價分析總表" localSheetId="6">#REF!</definedName>
    <definedName name="單價分析總表">#REF!</definedName>
    <definedName name="堡崁" localSheetId="6">#REF!</definedName>
    <definedName name="堡崁">#REF!</definedName>
    <definedName name="堤防工程">[74]工程決算書!$F$23</definedName>
    <definedName name="普通工" localSheetId="6">#REF!</definedName>
    <definedName name="普通工">#REF!</definedName>
    <definedName name="普通模板" localSheetId="6">#REF!</definedName>
    <definedName name="普通模板">#REF!</definedName>
    <definedName name="普通模板工料" localSheetId="6">#REF!</definedName>
    <definedName name="普通模板工料">#REF!</definedName>
    <definedName name="普通鋼筋" localSheetId="6">#REF!</definedName>
    <definedName name="普通鋼筋">#REF!</definedName>
    <definedName name="普模" localSheetId="6">#REF!</definedName>
    <definedName name="普模">#REF!</definedName>
    <definedName name="景觀植栽工程" localSheetId="6">#REF!</definedName>
    <definedName name="景觀植栽工程">#REF!</definedName>
    <definedName name="渡槽鋼筋" localSheetId="6">#REF!</definedName>
    <definedName name="渡槽鋼筋">#REF!</definedName>
    <definedName name="測設期限日">[77]基本資料!$B$10</definedName>
    <definedName name="筏基內回填105kg_cm2劣質混凝土" localSheetId="6">#REF!</definedName>
    <definedName name="筏基內回填105kg_cm2劣質混凝土">#REF!</definedName>
    <definedName name="筏基內回填土方" localSheetId="6">#REF!</definedName>
    <definedName name="筏基內回填土方">#REF!</definedName>
    <definedName name="結裝" localSheetId="6">#REF!</definedName>
    <definedName name="結裝">#REF!</definedName>
    <definedName name="結構挖方" localSheetId="6">#REF!</definedName>
    <definedName name="結構挖方">#REF!</definedName>
    <definedName name="結構粉刷" localSheetId="6">[78]單價分析!#REF!</definedName>
    <definedName name="結構粉刷">[78]單價分析!#REF!</definedName>
    <definedName name="結構模板_合板_裝拆" localSheetId="6">#REF!</definedName>
    <definedName name="結構模板_合板_裝拆">#REF!</definedName>
    <definedName name="結構模板_合板_製作" localSheetId="6">#REF!</definedName>
    <definedName name="結構模板_合板_製作">#REF!</definedName>
    <definedName name="結構模版" localSheetId="6">#REF!</definedName>
    <definedName name="結構模版">#REF!</definedName>
    <definedName name="結構體工程" localSheetId="6">#REF!</definedName>
    <definedName name="結構體工程">#REF!</definedName>
    <definedName name="結算" localSheetId="6">[20]預算明細!#REF!</definedName>
    <definedName name="結算">[20]預算明細!#REF!</definedName>
    <definedName name="結製" localSheetId="6">#REF!</definedName>
    <definedName name="結製">#REF!</definedName>
    <definedName name="貼版岩" localSheetId="6">#REF!</definedName>
    <definedName name="貼版岩">#REF!</definedName>
    <definedName name="超用" localSheetId="6">#REF!</definedName>
    <definedName name="超用">#REF!</definedName>
    <definedName name="超用地租金及補償費" localSheetId="6">#REF!</definedName>
    <definedName name="超用地租金及補償費">#REF!</definedName>
    <definedName name="距離" localSheetId="6">#REF!</definedName>
    <definedName name="距離">#REF!</definedName>
    <definedName name="進" localSheetId="6">[86]單價2!#REF!</definedName>
    <definedName name="進">[86]單價2!#REF!</definedName>
    <definedName name="進度表" localSheetId="6">#REF!</definedName>
    <definedName name="進度表">#REF!</definedName>
    <definedName name="開工日">[77]基本資料!$B$20</definedName>
    <definedName name="集計表2" localSheetId="6">[36]預算明細!#REF!</definedName>
    <definedName name="集計表2">[36]預算明細!#REF!</definedName>
    <definedName name="項____目____及____說____明" localSheetId="6">#REF!</definedName>
    <definedName name="項____目____及____說____明">#REF!</definedName>
    <definedName name="項次" localSheetId="6">#REF!</definedName>
    <definedName name="項次">#REF!</definedName>
    <definedName name="填方" localSheetId="6">#REF!</definedName>
    <definedName name="填方">#REF!</definedName>
    <definedName name="填石" localSheetId="6">#REF!</definedName>
    <definedName name="填石">#REF!</definedName>
    <definedName name="填石N" localSheetId="6">#REF!</definedName>
    <definedName name="填石N">#REF!</definedName>
    <definedName name="填報日期">[87]總表!$D$3:$IV$3</definedName>
    <definedName name="填滾" localSheetId="6">#REF!</definedName>
    <definedName name="填滾">#REF!</definedName>
    <definedName name="填築" localSheetId="6">#REF!</definedName>
    <definedName name="填築">#REF!</definedName>
    <definedName name="填縫石子" localSheetId="6">[76]基本單價!#REF!</definedName>
    <definedName name="填縫石子">[76]基本單價!#REF!</definedName>
    <definedName name="填縫劑" localSheetId="6">#REF!</definedName>
    <definedName name="填縫劑">#REF!</definedName>
    <definedName name="微型樁" localSheetId="6">#REF!</definedName>
    <definedName name="微型樁">#REF!</definedName>
    <definedName name="微型樁帽樑" localSheetId="6">#REF!</definedName>
    <definedName name="微型樁帽樑">#REF!</definedName>
    <definedName name="微型樁繫樑" localSheetId="6">#REF!</definedName>
    <definedName name="微型樁繫樑">#REF!</definedName>
    <definedName name="新" localSheetId="6">[88]單價2!#REF!</definedName>
    <definedName name="新">[88]單價2!#REF!</definedName>
    <definedName name="新化" localSheetId="6">#REF!</definedName>
    <definedName name="新化">#REF!</definedName>
    <definedName name="新封" localSheetId="6">#REF!</definedName>
    <definedName name="新封">#REF!</definedName>
    <definedName name="新進度表" localSheetId="6">[88]單價2!#REF!</definedName>
    <definedName name="新進度表">[88]單價2!#REF!</definedName>
    <definedName name="新驗收證明書">[89]參數!$B$4:$B$65536</definedName>
    <definedName name="業主" localSheetId="6">#REF!</definedName>
    <definedName name="業主">#REF!</definedName>
    <definedName name="業主名稱" localSheetId="6">#REF!</definedName>
    <definedName name="業主名稱">#REF!</definedName>
    <definedName name="溝34" localSheetId="6">#REF!</definedName>
    <definedName name="溝34">#REF!</definedName>
    <definedName name="碎" localSheetId="6">#REF!</definedName>
    <definedName name="碎">#REF!</definedName>
    <definedName name="碎石N" localSheetId="6">#REF!</definedName>
    <definedName name="碎石N">#REF!</definedName>
    <definedName name="碎石P" localSheetId="6">#REF!</definedName>
    <definedName name="碎石P">#REF!</definedName>
    <definedName name="碎石級配" localSheetId="6">#REF!</definedName>
    <definedName name="碎石級配">#REF!</definedName>
    <definedName name="禁19限5標誌" localSheetId="6">#REF!</definedName>
    <definedName name="禁19限5標誌">#REF!</definedName>
    <definedName name="腰樑" localSheetId="6">#REF!</definedName>
    <definedName name="腰樑">#REF!</definedName>
    <definedName name="補償費" localSheetId="6">#REF!</definedName>
    <definedName name="補償費">#REF!</definedName>
    <definedName name="補償費1" localSheetId="6">#REF!</definedName>
    <definedName name="補償費1">#REF!</definedName>
    <definedName name="裝卸費" localSheetId="1">#REF!</definedName>
    <definedName name="裝卸費" localSheetId="2">#REF!</definedName>
    <definedName name="裝卸費" localSheetId="4">#REF!</definedName>
    <definedName name="裝卸費" localSheetId="5">#REF!</definedName>
    <definedName name="裝卸費" localSheetId="6">#REF!</definedName>
    <definedName name="裝卸費" localSheetId="7">#REF!</definedName>
    <definedName name="裝卸費">#REF!</definedName>
    <definedName name="路右擋牆15" localSheetId="6">#REF!</definedName>
    <definedName name="路右擋牆15">#REF!</definedName>
    <definedName name="路右擋牆25" localSheetId="6">#REF!</definedName>
    <definedName name="路右擋牆25">#REF!</definedName>
    <definedName name="路右擋牆35" localSheetId="6">#REF!</definedName>
    <definedName name="路右擋牆35">#REF!</definedName>
    <definedName name="路右擋牆45" localSheetId="6">#REF!</definedName>
    <definedName name="路右擋牆45">#REF!</definedName>
    <definedName name="路右擋牆55" localSheetId="6">#REF!</definedName>
    <definedName name="路右擋牆55">#REF!</definedName>
    <definedName name="路左擋牆17" localSheetId="6">#REF!</definedName>
    <definedName name="路左擋牆17">#REF!</definedName>
    <definedName name="路左擋牆27" localSheetId="6">#REF!</definedName>
    <definedName name="路左擋牆27">#REF!</definedName>
    <definedName name="路左擋牆37" localSheetId="6">#REF!</definedName>
    <definedName name="路左擋牆37">#REF!</definedName>
    <definedName name="路左擋牆47" localSheetId="6">#REF!</definedName>
    <definedName name="路左擋牆47">#REF!</definedName>
    <definedName name="路左擋牆57" localSheetId="6">#REF!</definedName>
    <definedName name="路左擋牆57">#REF!</definedName>
    <definedName name="路左擋牆67" localSheetId="6">#REF!</definedName>
    <definedName name="路左擋牆67">#REF!</definedName>
    <definedName name="路左擋牆77" localSheetId="6">#REF!</definedName>
    <definedName name="路左擋牆77">#REF!</definedName>
    <definedName name="路面計算表" localSheetId="6">#REF!</definedName>
    <definedName name="路面計算表">#REF!</definedName>
    <definedName name="路基層" localSheetId="6">#REF!</definedName>
    <definedName name="路基層">#REF!</definedName>
    <definedName name="運費_土場→翠峰林道" localSheetId="1">#REF!</definedName>
    <definedName name="運費_土場→翠峰林道" localSheetId="2">#REF!</definedName>
    <definedName name="運費_土場→翠峰林道" localSheetId="4">#REF!</definedName>
    <definedName name="運費_土場→翠峰林道" localSheetId="5">#REF!</definedName>
    <definedName name="運費_土場→翠峰林道" localSheetId="6">#REF!</definedName>
    <definedName name="運費_土場→翠峰林道" localSheetId="7">#REF!</definedName>
    <definedName name="運費_土場→翠峰林道">#REF!</definedName>
    <definedName name="運費_水泥" localSheetId="1">#REF!</definedName>
    <definedName name="運費_水泥" localSheetId="2">#REF!</definedName>
    <definedName name="運費_水泥" localSheetId="4">#REF!</definedName>
    <definedName name="運費_水泥" localSheetId="5">#REF!</definedName>
    <definedName name="運費_水泥" localSheetId="6">#REF!</definedName>
    <definedName name="運費_水泥" localSheetId="7">#REF!</definedName>
    <definedName name="運費_水泥">#REF!</definedName>
    <definedName name="運費_再連→土場" localSheetId="1">#REF!</definedName>
    <definedName name="運費_再連→土場" localSheetId="2">#REF!</definedName>
    <definedName name="運費_再連→土場" localSheetId="4">#REF!</definedName>
    <definedName name="運費_再連→土場" localSheetId="5">#REF!</definedName>
    <definedName name="運費_再連→土場" localSheetId="6">#REF!</definedName>
    <definedName name="運費_再連→土場" localSheetId="7">#REF!</definedName>
    <definedName name="運費_再連→土場">#REF!</definedName>
    <definedName name="運費_砂石" localSheetId="1">#REF!</definedName>
    <definedName name="運費_砂石" localSheetId="2">#REF!</definedName>
    <definedName name="運費_砂石" localSheetId="4">#REF!</definedName>
    <definedName name="運費_砂石" localSheetId="5">#REF!</definedName>
    <definedName name="運費_砂石" localSheetId="6">#REF!</definedName>
    <definedName name="運費_砂石" localSheetId="7">#REF!</definedName>
    <definedName name="運費_砂石">#REF!</definedName>
    <definedName name="運費_鋼筋模板" localSheetId="1">#REF!</definedName>
    <definedName name="運費_鋼筋模板" localSheetId="2">#REF!</definedName>
    <definedName name="運費_鋼筋模板" localSheetId="4">#REF!</definedName>
    <definedName name="運費_鋼筋模板" localSheetId="5">#REF!</definedName>
    <definedName name="運費_鋼筋模板" localSheetId="6">#REF!</definedName>
    <definedName name="運費_鋼筋模板" localSheetId="7">#REF!</definedName>
    <definedName name="運費_鋼筋模板">#REF!</definedName>
    <definedName name="運費_羅東→土場" localSheetId="1">#REF!</definedName>
    <definedName name="運費_羅東→土場" localSheetId="2">#REF!</definedName>
    <definedName name="運費_羅東→土場" localSheetId="4">#REF!</definedName>
    <definedName name="運費_羅東→土場" localSheetId="5">#REF!</definedName>
    <definedName name="運費_羅東→土場" localSheetId="6">#REF!</definedName>
    <definedName name="運費_羅東→土場" localSheetId="7">#REF!</definedName>
    <definedName name="運費_羅東→土場">#REF!</definedName>
    <definedName name="運費_蘇澳→土場" localSheetId="1">#REF!</definedName>
    <definedName name="運費_蘇澳→土場" localSheetId="2">#REF!</definedName>
    <definedName name="運費_蘇澳→土場" localSheetId="4">#REF!</definedName>
    <definedName name="運費_蘇澳→土場" localSheetId="5">#REF!</definedName>
    <definedName name="運費_蘇澳→土場" localSheetId="6">#REF!</definedName>
    <definedName name="運費_蘇澳→土場" localSheetId="7">#REF!</definedName>
    <definedName name="運費_蘇澳→土場">#REF!</definedName>
    <definedName name="運資_一級路" localSheetId="1">#REF!</definedName>
    <definedName name="運資_一級路" localSheetId="2">#REF!</definedName>
    <definedName name="運資_一級路" localSheetId="4">#REF!</definedName>
    <definedName name="運資_一級路" localSheetId="5">#REF!</definedName>
    <definedName name="運資_一級路" localSheetId="6">#REF!</definedName>
    <definedName name="運資_一級路" localSheetId="7">#REF!</definedName>
    <definedName name="運資_一級路">#REF!</definedName>
    <definedName name="運資_二級路" localSheetId="1">#REF!</definedName>
    <definedName name="運資_二級路" localSheetId="2">#REF!</definedName>
    <definedName name="運資_二級路" localSheetId="4">#REF!</definedName>
    <definedName name="運資_二級路" localSheetId="5">#REF!</definedName>
    <definedName name="運資_二級路" localSheetId="6">#REF!</definedName>
    <definedName name="運資_二級路" localSheetId="7">#REF!</definedName>
    <definedName name="運資_二級路">#REF!</definedName>
    <definedName name="運資_三級路" localSheetId="1">#REF!</definedName>
    <definedName name="運資_三級路" localSheetId="2">#REF!</definedName>
    <definedName name="運資_三級路" localSheetId="4">#REF!</definedName>
    <definedName name="運資_三級路" localSheetId="5">#REF!</definedName>
    <definedName name="運資_三級路" localSheetId="6">#REF!</definedName>
    <definedName name="運資_三級路" localSheetId="7">#REF!</definedName>
    <definedName name="運資_三級路">#REF!</definedName>
    <definedName name="運雜費" localSheetId="6">#REF!</definedName>
    <definedName name="運雜費">#REF!</definedName>
    <definedName name="道路養護" localSheetId="6">#REF!</definedName>
    <definedName name="道路養護">#REF!</definedName>
    <definedName name="電位" localSheetId="6">#REF!</definedName>
    <definedName name="電位">#REF!</definedName>
    <definedName name="預" localSheetId="6">[36]預算明細!#REF!</definedName>
    <definedName name="預">[36]預算明細!#REF!</definedName>
    <definedName name="預力地錨" localSheetId="6">#REF!</definedName>
    <definedName name="預力地錨">#REF!</definedName>
    <definedName name="預力基樁" localSheetId="6">#REF!</definedName>
    <definedName name="預力基樁">#REF!</definedName>
    <definedName name="預算" localSheetId="6">#REF!</definedName>
    <definedName name="預算">#REF!</definedName>
    <definedName name="預算書" localSheetId="6">#REF!</definedName>
    <definedName name="預算書">#REF!</definedName>
    <definedName name="預算書送件日期">[77]基本資料!$B$13</definedName>
    <definedName name="預壘樁__L_18M___∮55cm" localSheetId="6">#REF!</definedName>
    <definedName name="預壘樁__L_18M___∮55cm">#REF!</definedName>
    <definedName name="預壘樁__L_9M___∮30cm" localSheetId="6">#REF!</definedName>
    <definedName name="預壘樁__L_9M___∮30cm">#REF!</definedName>
    <definedName name="預鑄擋牆" localSheetId="6">#REF!</definedName>
    <definedName name="預鑄擋牆">#REF!</definedName>
    <definedName name="嘉_南_實_業_股_份_有_限_公_司" localSheetId="6">#REF!</definedName>
    <definedName name="嘉_南_實_業_股_份_有_限_公_司">#REF!</definedName>
    <definedName name="監1" localSheetId="6">#REF!</definedName>
    <definedName name="監1">#REF!</definedName>
    <definedName name="監2" localSheetId="6">#REF!</definedName>
    <definedName name="監2">#REF!</definedName>
    <definedName name="監監" localSheetId="6">#REF!</definedName>
    <definedName name="監監">#REF!</definedName>
    <definedName name="磁磚10_10" localSheetId="6">#REF!</definedName>
    <definedName name="磁磚10_10">#REF!</definedName>
    <definedName name="磁磚10牆" localSheetId="6">#REF!</definedName>
    <definedName name="磁磚10牆">#REF!</definedName>
    <definedName name="磁磚15_15" localSheetId="6">#REF!</definedName>
    <definedName name="磁磚15_15">#REF!</definedName>
    <definedName name="磁磚20_20" localSheetId="6">#REF!</definedName>
    <definedName name="磁磚20_20">#REF!</definedName>
    <definedName name="磁磚20_25" localSheetId="6">#REF!</definedName>
    <definedName name="磁磚20_25">#REF!</definedName>
    <definedName name="磁磚20_30" localSheetId="6">#REF!</definedName>
    <definedName name="磁磚20_30">#REF!</definedName>
    <definedName name="磁磚30_30" localSheetId="6">#REF!</definedName>
    <definedName name="磁磚30_30">#REF!</definedName>
    <definedName name="磁磚40_40" localSheetId="6">#REF!</definedName>
    <definedName name="磁磚40_40">#REF!</definedName>
    <definedName name="管120" localSheetId="6">#REF!</definedName>
    <definedName name="管120">#REF!</definedName>
    <definedName name="管150" localSheetId="6">#REF!</definedName>
    <definedName name="管150">#REF!</definedName>
    <definedName name="管30" localSheetId="6">#REF!</definedName>
    <definedName name="管30">#REF!</definedName>
    <definedName name="管50" localSheetId="6">#REF!</definedName>
    <definedName name="管50">#REF!</definedName>
    <definedName name="管90" localSheetId="6">#REF!</definedName>
    <definedName name="管90">#REF!</definedName>
    <definedName name="管修" localSheetId="6">#REF!</definedName>
    <definedName name="管修">#REF!</definedName>
    <definedName name="綠一" localSheetId="6">#REF!</definedName>
    <definedName name="綠一">#REF!</definedName>
    <definedName name="綠二" localSheetId="6">#REF!</definedName>
    <definedName name="綠二">#REF!</definedName>
    <definedName name="綠三" localSheetId="6">#REF!</definedName>
    <definedName name="綠三">#REF!</definedName>
    <definedName name="綠五" localSheetId="6">#REF!</definedName>
    <definedName name="綠五">#REF!</definedName>
    <definedName name="綠六" localSheetId="6">#REF!</definedName>
    <definedName name="綠六">#REF!</definedName>
    <definedName name="綠四" localSheetId="6">#REF!</definedName>
    <definedName name="綠四">#REF!</definedName>
    <definedName name="臺灣省自來水公司第三區管理處" localSheetId="6">#REF!</definedName>
    <definedName name="臺灣省自來水公司第三區管理處">#REF!</definedName>
    <definedName name="輕隔間貼磚" localSheetId="6">#REF!</definedName>
    <definedName name="輕隔間貼磚">#REF!</definedName>
    <definedName name="輕質混凝土牆批土工料" localSheetId="6">#REF!</definedName>
    <definedName name="輕質混凝土牆批土工料">#REF!</definedName>
    <definedName name="遠運" localSheetId="6">#REF!</definedName>
    <definedName name="遠運">#REF!</definedName>
    <definedName name="銅條" localSheetId="6">#REF!</definedName>
    <definedName name="銅條">#REF!</definedName>
    <definedName name="審查意見" localSheetId="6">#REF!</definedName>
    <definedName name="審查意見">#REF!</definedName>
    <definedName name="廢" localSheetId="6">#REF!</definedName>
    <definedName name="廢">#REF!</definedName>
    <definedName name="廢方處理" localSheetId="6">#REF!</definedName>
    <definedName name="廢方處理">#REF!</definedName>
    <definedName name="廢方運棄及處理" localSheetId="6">#REF!</definedName>
    <definedName name="廢方運棄及處理">#REF!</definedName>
    <definedName name="數量" localSheetId="6">[36]預算明細!#REF!</definedName>
    <definedName name="數量">[36]預算明細!#REF!</definedName>
    <definedName name="數量總表" localSheetId="6">#REF!</definedName>
    <definedName name="數量總表">#REF!</definedName>
    <definedName name="樁號" localSheetId="6">#REF!</definedName>
    <definedName name="樁號">#REF!</definedName>
    <definedName name="樓梯水泥磨石子" localSheetId="6">#REF!</definedName>
    <definedName name="樓梯水泥磨石子">#REF!</definedName>
    <definedName name="樓梯打底工資" localSheetId="6">#REF!</definedName>
    <definedName name="樓梯打底工資">#REF!</definedName>
    <definedName name="樓梯白水泥磨石子" localSheetId="6">#REF!</definedName>
    <definedName name="樓梯白水泥磨石子">#REF!</definedName>
    <definedName name="樓梯防水貼20_20石英磚_軟底" localSheetId="6">#REF!</definedName>
    <definedName name="樓梯防水貼20_20石英磚_軟底">#REF!</definedName>
    <definedName name="樓梯防水貼20_20石英磚_硬底" localSheetId="6">#REF!</definedName>
    <definedName name="樓梯防水貼20_20石英磚_硬底">#REF!</definedName>
    <definedName name="樓梯防水貼20_25石英磚_軟底" localSheetId="6">#REF!</definedName>
    <definedName name="樓梯防水貼20_25石英磚_軟底">#REF!</definedName>
    <definedName name="樓梯抹_磨石子工資" localSheetId="6">#REF!</definedName>
    <definedName name="樓梯抹_磨石子工資">#REF!</definedName>
    <definedName name="樓梯貼20_20石英磚_軟底" localSheetId="6">#REF!</definedName>
    <definedName name="樓梯貼20_20石英磚_軟底">#REF!</definedName>
    <definedName name="樓梯貼20_20石英磚_硬底" localSheetId="6">#REF!</definedName>
    <definedName name="樓梯貼20_20石英磚_硬底">#REF!</definedName>
    <definedName name="樓梯貼20_25石英磚_軟底" localSheetId="6">#REF!</definedName>
    <definedName name="樓梯貼20_25石英磚_軟底">#REF!</definedName>
    <definedName name="樓梯貼花崗石" localSheetId="6">#REF!</definedName>
    <definedName name="樓梯貼花崗石">#REF!</definedName>
    <definedName name="樓梯貼花崗石連工帶料" localSheetId="6">#REF!</definedName>
    <definedName name="樓梯貼花崗石連工帶料">#REF!</definedName>
    <definedName name="樓梯貼磚工資_軟" localSheetId="6">#REF!</definedName>
    <definedName name="樓梯貼磚工資_軟">#REF!</definedName>
    <definedName name="樓梯貼磚工資_硬" localSheetId="6">#REF!</definedName>
    <definedName name="樓梯貼磚工資_硬">#REF!</definedName>
    <definedName name="標線" localSheetId="6">#REF!</definedName>
    <definedName name="標線">#REF!</definedName>
    <definedName name="模板" localSheetId="6">#REF!</definedName>
    <definedName name="模板">#REF!</definedName>
    <definedName name="窯燒花崗石10_10" localSheetId="6">#REF!</definedName>
    <definedName name="窯燒花崗石10_10">#REF!</definedName>
    <definedName name="箱140" localSheetId="6">#REF!</definedName>
    <definedName name="箱140">#REF!</definedName>
    <definedName name="箱210" localSheetId="6">#REF!</definedName>
    <definedName name="箱210">#REF!</definedName>
    <definedName name="箱挖" localSheetId="6">#REF!</definedName>
    <definedName name="箱挖">#REF!</definedName>
    <definedName name="箱挖2" localSheetId="6">#REF!</definedName>
    <definedName name="箱挖2">#REF!</definedName>
    <definedName name="箱排" localSheetId="6">#REF!</definedName>
    <definedName name="箱排">#REF!</definedName>
    <definedName name="箱涵" localSheetId="6" hidden="1">[71]Sheet2!#REF!</definedName>
    <definedName name="箱涵" hidden="1">[71]Sheet2!#REF!</definedName>
    <definedName name="箱填" localSheetId="6">#REF!</definedName>
    <definedName name="箱填">#REF!</definedName>
    <definedName name="箱鋼" localSheetId="6">#REF!</definedName>
    <definedName name="箱鋼">#REF!</definedName>
    <definedName name="箱軀" localSheetId="6">#REF!</definedName>
    <definedName name="箱軀">#REF!</definedName>
    <definedName name="調整" localSheetId="6">[88]單價2!#REF!</definedName>
    <definedName name="調整">[88]單價2!#REF!</definedName>
    <definedName name="踢腳" localSheetId="6">#REF!</definedName>
    <definedName name="踢腳">#REF!</definedName>
    <definedName name="踢腳抹_磨石子工資" localSheetId="6">#REF!</definedName>
    <definedName name="踢腳抹_磨石子工資">#REF!</definedName>
    <definedName name="踢腳貼花崗石" localSheetId="6">#REF!</definedName>
    <definedName name="踢腳貼花崗石">#REF!</definedName>
    <definedName name="踢腳貼花崗石連工帶料" localSheetId="6">#REF!</definedName>
    <definedName name="踢腳貼花崗石連工帶料">#REF!</definedName>
    <definedName name="踢腳磨石子" localSheetId="6">#REF!</definedName>
    <definedName name="踢腳磨石子">#REF!</definedName>
    <definedName name="輪擋油漆" localSheetId="6">#REF!</definedName>
    <definedName name="輪擋油漆">#REF!</definedName>
    <definedName name="鄰房托基凝結樁施工費∮60cm" localSheetId="6">[23]單價分析!#REF!</definedName>
    <definedName name="鄰房托基凝結樁施工費∮60cm">[23]單價分析!#REF!</definedName>
    <definedName name="鄰房鑑定費" localSheetId="6">[23]單價分析!#REF!</definedName>
    <definedName name="鄰房鑑定費">[23]單價分析!#REF!</definedName>
    <definedName name="鋁門窗" localSheetId="6">#REF!</definedName>
    <definedName name="鋁門窗">#REF!</definedName>
    <definedName name="鋪卵石2" localSheetId="6">#REF!</definedName>
    <definedName name="鋪卵石2">#REF!</definedName>
    <definedName name="鋪點焊鋼絲網工料" localSheetId="6">#REF!</definedName>
    <definedName name="鋪點焊鋼絲網工料">#REF!</definedName>
    <definedName name="學" localSheetId="6">#REF!</definedName>
    <definedName name="學">#REF!</definedName>
    <definedName name="導標" localSheetId="6">#REF!</definedName>
    <definedName name="導標">#REF!</definedName>
    <definedName name="整平整實" localSheetId="6">#REF!</definedName>
    <definedName name="整平整實">#REF!</definedName>
    <definedName name="整平壓實" localSheetId="6">#REF!</definedName>
    <definedName name="整平壓實">#REF!</definedName>
    <definedName name="整地工程" localSheetId="6">#REF!</definedName>
    <definedName name="整地工程">#REF!</definedName>
    <definedName name="橋" localSheetId="6" hidden="1">'[90]單價分析表(1-11)'!#REF!</definedName>
    <definedName name="橋" hidden="1">'[90]單價分析表(1-11)'!#REF!</definedName>
    <definedName name="橋140" localSheetId="6">#REF!</definedName>
    <definedName name="橋140">#REF!</definedName>
    <definedName name="橋210" localSheetId="6">#REF!</definedName>
    <definedName name="橋210">#REF!</definedName>
    <definedName name="橋孔" localSheetId="6">#REF!</definedName>
    <definedName name="橋孔">#REF!</definedName>
    <definedName name="橋挖" localSheetId="6">#REF!</definedName>
    <definedName name="橋挖">#REF!</definedName>
    <definedName name="橋面不鏽鋼洩水孔" localSheetId="6">#REF!</definedName>
    <definedName name="橋面不鏽鋼洩水孔">#REF!</definedName>
    <definedName name="橋面角鋼伸縮縫及安裝" localSheetId="6">#REF!</definedName>
    <definedName name="橋面角鋼伸縮縫及安裝">#REF!</definedName>
    <definedName name="橋粘" localSheetId="6">#REF!</definedName>
    <definedName name="橋粘">#REF!</definedName>
    <definedName name="橋透" localSheetId="6">#REF!</definedName>
    <definedName name="橋透">#REF!</definedName>
    <definedName name="橋結" localSheetId="6">#REF!</definedName>
    <definedName name="橋結">#REF!</definedName>
    <definedName name="橋填" localSheetId="6">#REF!</definedName>
    <definedName name="橋填">#REF!</definedName>
    <definedName name="橋碎" localSheetId="6">#REF!</definedName>
    <definedName name="橋碎">#REF!</definedName>
    <definedName name="橋鋼" localSheetId="6">#REF!</definedName>
    <definedName name="橋鋼">#REF!</definedName>
    <definedName name="橋鋼模" localSheetId="6">#REF!</definedName>
    <definedName name="橋鋼模">#REF!</definedName>
    <definedName name="橋縫" localSheetId="6">#REF!</definedName>
    <definedName name="橋縫">#REF!</definedName>
    <definedName name="橋瀝" localSheetId="6">#REF!</definedName>
    <definedName name="橋瀝">#REF!</definedName>
    <definedName name="機具挖方廢土方運棄" localSheetId="6">#REF!</definedName>
    <definedName name="機具挖方廢土方運棄">#REF!</definedName>
    <definedName name="機軋碎石級配料舖壓" localSheetId="6">#REF!</definedName>
    <definedName name="機軋碎石級配料舖壓">#REF!</definedName>
    <definedName name="機挖" localSheetId="6">#REF!</definedName>
    <definedName name="機挖">#REF!</definedName>
    <definedName name="機械打除混凝土" localSheetId="6">#REF!</definedName>
    <definedName name="機械打除混凝土">#REF!</definedName>
    <definedName name="機械打除鋼筋混凝土" localSheetId="6">#REF!</definedName>
    <definedName name="機械打除鋼筋混凝土">#REF!</definedName>
    <definedName name="機械挖土方" localSheetId="6">#REF!</definedName>
    <definedName name="機械挖土方">#REF!</definedName>
    <definedName name="燈杆" localSheetId="6">#REF!</definedName>
    <definedName name="燈杆">#REF!</definedName>
    <definedName name="燈杆吊裝" localSheetId="6">#REF!</definedName>
    <definedName name="燈杆吊裝">#REF!</definedName>
    <definedName name="燈杆基礎" localSheetId="6">#REF!</definedName>
    <definedName name="燈杆基礎">#REF!</definedName>
    <definedName name="燈杆製造" localSheetId="6">#REF!</definedName>
    <definedName name="燈杆製造">#REF!</definedName>
    <definedName name="燈具" localSheetId="6">#REF!</definedName>
    <definedName name="燈具">#REF!</definedName>
    <definedName name="磚0.5" localSheetId="6">[78]單價分析!#REF!</definedName>
    <definedName name="磚0.5">[78]單價分析!#REF!</definedName>
    <definedName name="磚1" localSheetId="6">#REF!</definedName>
    <definedName name="磚1">#REF!</definedName>
    <definedName name="磚112" localSheetId="6">#REF!</definedName>
    <definedName name="磚112">#REF!</definedName>
    <definedName name="磚12" localSheetId="6">#REF!</definedName>
    <definedName name="磚12">#REF!</definedName>
    <definedName name="磚M3" localSheetId="6">#REF!</definedName>
    <definedName name="磚M3">#REF!</definedName>
    <definedName name="磚花格" localSheetId="6">#REF!</definedName>
    <definedName name="磚花格">#REF!</definedName>
    <definedName name="磚清水1B" localSheetId="6">#REF!</definedName>
    <definedName name="磚清水1B">#REF!</definedName>
    <definedName name="磨石子地磚30_30" localSheetId="6">#REF!</definedName>
    <definedName name="磨石子地磚30_30">#REF!</definedName>
    <definedName name="磨石子地磚40_40" localSheetId="6">#REF!</definedName>
    <definedName name="磨石子地磚40_40">#REF!</definedName>
    <definedName name="磨石子地磚50_50" localSheetId="6">#REF!</definedName>
    <definedName name="磨石子地磚50_50">#REF!</definedName>
    <definedName name="鋼P" localSheetId="6">#REF!</definedName>
    <definedName name="鋼P">#REF!</definedName>
    <definedName name="鋼局" localSheetId="6">#REF!</definedName>
    <definedName name="鋼局">#REF!</definedName>
    <definedName name="鋼承板工程" localSheetId="6">#REF!</definedName>
    <definedName name="鋼承板工程">#REF!</definedName>
    <definedName name="鋼板椿_L_13m" localSheetId="6">#REF!</definedName>
    <definedName name="鋼板椿_L_13m">#REF!</definedName>
    <definedName name="鋼板椿_L_16m" localSheetId="6">#REF!</definedName>
    <definedName name="鋼板椿_L_16m">#REF!</definedName>
    <definedName name="鋼板椿_L_18m" localSheetId="6">#REF!</definedName>
    <definedName name="鋼板椿_L_18m">#REF!</definedName>
    <definedName name="鋼板椿_L_6m" localSheetId="6">#REF!</definedName>
    <definedName name="鋼板椿_L_6m">#REF!</definedName>
    <definedName name="鋼板椿_L_9m" localSheetId="6">#REF!</definedName>
    <definedName name="鋼板椿_L_9m">#REF!</definedName>
    <definedName name="鋼板樁材料" localSheetId="6">#REF!</definedName>
    <definedName name="鋼板樁材料">#REF!</definedName>
    <definedName name="鋼軌椿_L_10m_______37kg_m" localSheetId="6">#REF!</definedName>
    <definedName name="鋼軌椿_L_10m_______37kg_m">#REF!</definedName>
    <definedName name="鋼軌椿_L_12m_______40kg_m" localSheetId="6">#REF!</definedName>
    <definedName name="鋼軌椿_L_12m_______40kg_m">#REF!</definedName>
    <definedName name="鋼軌椿_L_14m_______50kg_m" localSheetId="6">#REF!</definedName>
    <definedName name="鋼軌椿_L_14m_______50kg_m">#REF!</definedName>
    <definedName name="鋼軌椿_L_6m_______37kg_m" localSheetId="6">#REF!</definedName>
    <definedName name="鋼軌椿_L_6m_______37kg_m">#REF!</definedName>
    <definedName name="鋼軌椿_L_8m_______37kg_m" localSheetId="6">#REF!</definedName>
    <definedName name="鋼軌椿_L_8m_______37kg_m">#REF!</definedName>
    <definedName name="鋼骨鋼筋續接器32mm∮及組裝" localSheetId="6">#REF!</definedName>
    <definedName name="鋼骨鋼筋續接器32mm∮及組裝">#REF!</definedName>
    <definedName name="鋼筋" localSheetId="6">#REF!</definedName>
    <definedName name="鋼筋">#REF!</definedName>
    <definedName name="鋼筋N" localSheetId="6">#REF!</definedName>
    <definedName name="鋼筋N">#REF!</definedName>
    <definedName name="鋼筋及彎紮" localSheetId="6">#REF!</definedName>
    <definedName name="鋼筋及彎紮">#REF!</definedName>
    <definedName name="鋼筋加工及彎紮Fy_2800kg_cm2" localSheetId="6">#REF!</definedName>
    <definedName name="鋼筋加工及彎紮Fy_2800kg_cm2">#REF!</definedName>
    <definedName name="鋼筋加工及彎紮Fy_4200kg_cm2" localSheetId="6">#REF!</definedName>
    <definedName name="鋼筋加工及彎紮Fy_4200kg_cm2">#REF!</definedName>
    <definedName name="鋼筋號數">[91]基礎!$P$15:$P$23</definedName>
    <definedName name="鋼筋運費" localSheetId="6">#REF!</definedName>
    <definedName name="鋼筋運費">#REF!</definedName>
    <definedName name="鋼筋數量" localSheetId="6">#REF!</definedName>
    <definedName name="鋼筋數量">#REF!</definedName>
    <definedName name="鋼筋續接器19mm∮及組裝" localSheetId="6">#REF!</definedName>
    <definedName name="鋼筋續接器19mm∮及組裝">#REF!</definedName>
    <definedName name="鋼筋續接器22mm∮及組裝" localSheetId="6">#REF!</definedName>
    <definedName name="鋼筋續接器22mm∮及組裝">#REF!</definedName>
    <definedName name="鋼筋續接器25mm∮及組裝" localSheetId="6">#REF!</definedName>
    <definedName name="鋼筋續接器25mm∮及組裝">#REF!</definedName>
    <definedName name="鋼筋續接器32mm∮及組裝" localSheetId="6">#REF!</definedName>
    <definedName name="鋼筋續接器32mm∮及組裝">#REF!</definedName>
    <definedName name="鋼腱五金" localSheetId="6">#REF!</definedName>
    <definedName name="鋼腱五金">#REF!</definedName>
    <definedName name="鋼運" localSheetId="6">#REF!</definedName>
    <definedName name="鋼運">#REF!</definedName>
    <definedName name="鋼構工程" localSheetId="6">#REF!</definedName>
    <definedName name="鋼構工程">#REF!</definedName>
    <definedName name="鋼構防火被覆工程" localSheetId="6">#REF!</definedName>
    <definedName name="鋼構防火被覆工程">#REF!</definedName>
    <definedName name="鋼管排架及組拆_三層" localSheetId="6">#REF!</definedName>
    <definedName name="鋼管排架及組拆_三層">#REF!</definedName>
    <definedName name="鋼管排架及組拆_兩層" localSheetId="6">#REF!</definedName>
    <definedName name="鋼管排架及組拆_兩層">#REF!</definedName>
    <definedName name="鋼管鷹架及組拆" localSheetId="6">#REF!</definedName>
    <definedName name="鋼管鷹架及組拆">#REF!</definedName>
    <definedName name="鋼管鷹架及組拆_落地架" localSheetId="6">#REF!</definedName>
    <definedName name="鋼管鷹架及組拆_落地架">#REF!</definedName>
    <definedName name="鋼模" localSheetId="6">#REF!</definedName>
    <definedName name="鋼模">#REF!</definedName>
    <definedName name="鋼彎" localSheetId="6">#REF!</definedName>
    <definedName name="鋼彎">#REF!</definedName>
    <definedName name="龍封" localSheetId="6">#REF!</definedName>
    <definedName name="龍封">#REF!</definedName>
    <definedName name="牆土釘面版" localSheetId="6">#REF!</definedName>
    <definedName name="牆土釘面版">#REF!</definedName>
    <definedName name="牆抹宜蘭石" localSheetId="6">[78]單價分析!#REF!</definedName>
    <definedName name="牆抹宜蘭石">[78]單價分析!#REF!</definedName>
    <definedName name="牆面工程" localSheetId="6">#REF!</definedName>
    <definedName name="牆面工程">#REF!</definedName>
    <definedName name="環保" localSheetId="6">#REF!</definedName>
    <definedName name="環保">#REF!</definedName>
    <definedName name="臨時箱涵" localSheetId="6">#REF!</definedName>
    <definedName name="臨時箱涵">#REF!</definedName>
    <definedName name="臨時護堤" localSheetId="6">#REF!</definedName>
    <definedName name="臨時護堤">#REF!</definedName>
    <definedName name="避雷針" localSheetId="6">#REF!</definedName>
    <definedName name="避雷針">#REF!</definedName>
    <definedName name="還原磚牆" localSheetId="6">#REF!</definedName>
    <definedName name="還原磚牆">#REF!</definedName>
    <definedName name="黏" localSheetId="6">#REF!</definedName>
    <definedName name="黏">#REF!</definedName>
    <definedName name="黏著劑" localSheetId="6">#REF!</definedName>
    <definedName name="黏著劑">#REF!</definedName>
    <definedName name="點焊鋼絲網" localSheetId="6">#REF!</definedName>
    <definedName name="點焊鋼絲網">#REF!</definedName>
    <definedName name="斷面積" localSheetId="6">#REF!</definedName>
    <definedName name="斷面積">#REF!</definedName>
    <definedName name="濾布" localSheetId="6">#REF!</definedName>
    <definedName name="濾布">#REF!</definedName>
    <definedName name="豐封" localSheetId="6">#REF!</definedName>
    <definedName name="豐封">#REF!</definedName>
    <definedName name="軀裝" localSheetId="6">#REF!</definedName>
    <definedName name="軀裝">#REF!</definedName>
    <definedName name="軀製" localSheetId="6">#REF!</definedName>
    <definedName name="軀製">#REF!</definedName>
    <definedName name="軀體模板_合板_裝拆" localSheetId="6">#REF!</definedName>
    <definedName name="軀體模板_合板_裝拆">#REF!</definedName>
    <definedName name="軀體模板_合板_製作" localSheetId="6">#REF!</definedName>
    <definedName name="軀體模板_合板_製作">#REF!</definedName>
    <definedName name="瀝" localSheetId="6">#REF!</definedName>
    <definedName name="瀝">#REF!</definedName>
    <definedName name="瀝局" localSheetId="6">#REF!</definedName>
    <definedName name="瀝局">#REF!</definedName>
    <definedName name="瀝青__或鋼筋__運費" localSheetId="6">#REF!</definedName>
    <definedName name="瀝青__或鋼筋__運費">#REF!</definedName>
    <definedName name="瀝青面層" localSheetId="6">#REF!</definedName>
    <definedName name="瀝青面層">#REF!</definedName>
    <definedName name="瀝青面層每米立方" localSheetId="6">#REF!</definedName>
    <definedName name="瀝青面層每米立方">#REF!</definedName>
    <definedName name="瀝運" localSheetId="6">#REF!</definedName>
    <definedName name="瀝運">#REF!</definedName>
    <definedName name="繫船柱70T" localSheetId="6">#REF!</definedName>
    <definedName name="繫船柱70T">#REF!</definedName>
    <definedName name="霧峰" localSheetId="6">#REF!</definedName>
    <definedName name="霧峰">#REF!</definedName>
    <definedName name="懸臂LT" localSheetId="6">'[59]計算表 (2)'!#REF!</definedName>
    <definedName name="懸臂LT">'[59]計算表 (2)'!#REF!</definedName>
    <definedName name="懸臂RT" localSheetId="6">[92]計算表!#REF!</definedName>
    <definedName name="懸臂RT">[92]計算表!#REF!</definedName>
    <definedName name="護坡舖鋼絲網噴漿處理" localSheetId="6">#REF!</definedName>
    <definedName name="護坡舖鋼絲網噴漿處理">#REF!</definedName>
    <definedName name="護攔反光導標" localSheetId="6">#REF!</definedName>
    <definedName name="護攔反光導標">#REF!</definedName>
    <definedName name="護欄鋼模製作及裝拆" localSheetId="6">#REF!</definedName>
    <definedName name="護欄鋼模製作及裝拆">#REF!</definedName>
    <definedName name="鐵平石" localSheetId="6">#REF!</definedName>
    <definedName name="鐵平石">#REF!</definedName>
    <definedName name="鐵件雜項工程" localSheetId="6">#REF!</definedName>
    <definedName name="鐵件雜項工程">#REF!</definedName>
    <definedName name="鐵門" localSheetId="6">#REF!</definedName>
    <definedName name="鐵門">#REF!</definedName>
    <definedName name="鐵捲門" localSheetId="6">#REF!</definedName>
    <definedName name="鐵捲門">#REF!</definedName>
    <definedName name="彎紮鋼筋" localSheetId="6">#REF!</definedName>
    <definedName name="彎紮鋼筋">#REF!</definedName>
    <definedName name="變" localSheetId="6">#REF!</definedName>
    <definedName name="變">#REF!</definedName>
    <definedName name="變更" localSheetId="6" hidden="1">'[2]單價分析表(1-11)'!#REF!</definedName>
    <definedName name="變更" hidden="1">'[2]單價分析表(1-11)'!#REF!</definedName>
    <definedName name="變爾" localSheetId="6">#REF!</definedName>
    <definedName name="變爾">#REF!</definedName>
    <definedName name="觀測系統" localSheetId="6">#REF!</definedName>
    <definedName name="觀測系統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3" i="2360" l="1"/>
  <c r="T7" i="2360"/>
  <c r="T8" i="2360"/>
  <c r="T9" i="2360"/>
  <c r="T10" i="2360"/>
  <c r="T11" i="2360"/>
  <c r="T12" i="2360"/>
  <c r="T13" i="2360"/>
  <c r="T14" i="2360"/>
  <c r="T15" i="2360"/>
  <c r="T16" i="2360"/>
  <c r="T17" i="2360"/>
  <c r="T18" i="2360"/>
  <c r="T19" i="2360"/>
  <c r="T20" i="2360"/>
  <c r="T21" i="2360"/>
  <c r="T22" i="2360"/>
  <c r="T6" i="2360"/>
  <c r="C7" i="2360"/>
  <c r="C8" i="2360"/>
  <c r="C9" i="2360"/>
  <c r="C10" i="2360"/>
  <c r="C11" i="2360"/>
  <c r="C12" i="2360"/>
  <c r="C13" i="2360"/>
  <c r="C14" i="2360"/>
  <c r="C15" i="2360"/>
  <c r="C16" i="2360"/>
  <c r="C17" i="2360"/>
  <c r="C18" i="2360"/>
  <c r="C19" i="2360"/>
  <c r="C20" i="2360"/>
  <c r="C21" i="2360"/>
  <c r="C22" i="2360"/>
  <c r="C23" i="2360"/>
  <c r="C6" i="2360"/>
  <c r="B1" i="2332" l="1"/>
  <c r="G7" i="2358"/>
  <c r="G18" i="2358"/>
  <c r="G39" i="2358"/>
  <c r="G44" i="2358"/>
  <c r="G107" i="2358"/>
  <c r="G108" i="2358"/>
  <c r="G109" i="2358"/>
  <c r="G110" i="2358"/>
  <c r="G112" i="2358"/>
  <c r="G117" i="2358"/>
  <c r="G125" i="2358"/>
  <c r="G130" i="2358"/>
  <c r="G142" i="2358"/>
  <c r="G143" i="2358"/>
  <c r="G144" i="2358"/>
  <c r="G145" i="2358"/>
  <c r="G146" i="2358"/>
  <c r="G149" i="2358"/>
  <c r="G150" i="2358"/>
  <c r="G151" i="2358"/>
  <c r="G152" i="2358"/>
  <c r="G156" i="2358"/>
  <c r="G157" i="2358"/>
  <c r="G158" i="2358"/>
  <c r="G159" i="2358"/>
  <c r="G162" i="2358"/>
  <c r="G163" i="2358"/>
  <c r="G164" i="2358"/>
  <c r="G165" i="2358"/>
  <c r="G169" i="2358"/>
  <c r="G170" i="2358"/>
  <c r="G171" i="2358"/>
  <c r="G172" i="2358"/>
  <c r="G175" i="2358"/>
  <c r="G176" i="2358"/>
  <c r="G177" i="2358"/>
  <c r="G178" i="2358"/>
  <c r="G179" i="2358"/>
  <c r="G180" i="2358"/>
  <c r="G183" i="2358"/>
  <c r="G184" i="2358"/>
  <c r="G185" i="2358"/>
  <c r="G186" i="2358"/>
  <c r="G187" i="2358"/>
  <c r="G188" i="2358"/>
  <c r="G191" i="2358"/>
  <c r="G192" i="2358"/>
  <c r="G193" i="2358"/>
  <c r="G194" i="2358"/>
  <c r="G197" i="2358"/>
  <c r="G198" i="2358"/>
  <c r="G199" i="2358"/>
  <c r="G202" i="2358"/>
  <c r="G203" i="2358"/>
  <c r="G204" i="2358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E204" i="2358"/>
  <c r="S11" i="2360" s="1"/>
  <c r="E203" i="2358"/>
  <c r="S8" i="2360" s="1"/>
  <c r="E202" i="2358"/>
  <c r="S6" i="2360" s="1"/>
  <c r="E199" i="2358"/>
  <c r="R11" i="2360" s="1"/>
  <c r="E198" i="2358"/>
  <c r="R8" i="2360" s="1"/>
  <c r="E197" i="2358"/>
  <c r="R6" i="2360" s="1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E193" i="2358"/>
  <c r="Q11" i="2360" s="1"/>
  <c r="E192" i="2358"/>
  <c r="Q8" i="2360" s="1"/>
  <c r="E191" i="2358"/>
  <c r="Q6" i="2360" s="1"/>
  <c r="E194" i="2358"/>
  <c r="Q22" i="2360" s="1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L5" i="2360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K18" i="2360"/>
  <c r="E20" i="2360"/>
  <c r="E19" i="2360"/>
  <c r="E18" i="2360"/>
  <c r="D15" i="2360"/>
  <c r="D19" i="2360"/>
  <c r="D18" i="2360"/>
  <c r="M4" i="2359"/>
  <c r="L4" i="2359"/>
  <c r="E87" i="2358"/>
  <c r="G87" i="2358" s="1"/>
  <c r="E86" i="2358"/>
  <c r="G86" i="2358" s="1"/>
  <c r="E85" i="2358"/>
  <c r="G85" i="2358" s="1"/>
  <c r="E82" i="2358"/>
  <c r="G82" i="2358" s="1"/>
  <c r="E81" i="2358"/>
  <c r="G81" i="2358" s="1"/>
  <c r="E80" i="2358"/>
  <c r="G80" i="2358" s="1"/>
  <c r="E79" i="2358"/>
  <c r="G79" i="2358" s="1"/>
  <c r="E78" i="2358"/>
  <c r="G78" i="2358" s="1"/>
  <c r="E9" i="2358"/>
  <c r="D7" i="2359" s="1"/>
  <c r="E8" i="2358"/>
  <c r="D89" i="2322"/>
  <c r="F89" i="2322" s="1"/>
  <c r="D98" i="2322"/>
  <c r="F98" i="2322" s="1"/>
  <c r="A98" i="2322"/>
  <c r="D97" i="2322"/>
  <c r="F97" i="2322" s="1"/>
  <c r="A4" i="2358"/>
  <c r="M14" i="2359" l="1"/>
  <c r="M12" i="2359"/>
  <c r="L8" i="2359"/>
  <c r="L11" i="2359"/>
  <c r="L12" i="2359"/>
  <c r="L13" i="2359"/>
  <c r="L14" i="2359"/>
  <c r="M8" i="2359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E75" i="2358"/>
  <c r="K25" i="2359" s="1"/>
  <c r="E64" i="2358"/>
  <c r="J25" i="2359" s="1"/>
  <c r="G54" i="2322"/>
  <c r="B54" i="2322"/>
  <c r="G58" i="2322"/>
  <c r="B58" i="2322"/>
  <c r="G61" i="2322"/>
  <c r="B61" i="2322"/>
  <c r="G51" i="2322"/>
  <c r="B51" i="2322"/>
  <c r="N4" i="2359"/>
  <c r="K4" i="2359"/>
  <c r="J4" i="2359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E160" i="2358"/>
  <c r="L21" i="2360" s="1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E20" i="2358"/>
  <c r="E7" i="2359" s="1"/>
  <c r="E19" i="2358"/>
  <c r="E6" i="2359" s="1"/>
  <c r="D6" i="2359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E159" i="2358"/>
  <c r="L10" i="2360" s="1"/>
  <c r="E158" i="2358"/>
  <c r="L8" i="2360" s="1"/>
  <c r="E157" i="2358"/>
  <c r="L6" i="2360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F30" i="2359"/>
  <c r="F28" i="2359"/>
  <c r="F29" i="2359"/>
  <c r="D30" i="2322"/>
  <c r="F30" i="2322" s="1"/>
  <c r="G26" i="2322"/>
  <c r="G23" i="2322"/>
  <c r="G20" i="2322"/>
  <c r="G19" i="2322"/>
  <c r="G15" i="2322"/>
  <c r="I4" i="2359"/>
  <c r="H4" i="2359"/>
  <c r="G4" i="2359"/>
  <c r="F4" i="2359"/>
  <c r="E4" i="2359"/>
  <c r="D4" i="2359"/>
  <c r="O14" i="2359" s="1"/>
  <c r="D47" i="2322" s="1"/>
  <c r="F47" i="2322" s="1"/>
  <c r="G63" i="2322"/>
  <c r="G60" i="2322"/>
  <c r="G57" i="2322"/>
  <c r="G46" i="2322"/>
  <c r="E188" i="2358"/>
  <c r="P22" i="2360" s="1"/>
  <c r="E187" i="2358"/>
  <c r="P10" i="2360" s="1"/>
  <c r="E186" i="2358"/>
  <c r="P11" i="2360" s="1"/>
  <c r="E185" i="2358"/>
  <c r="P9" i="2360" s="1"/>
  <c r="E184" i="2358"/>
  <c r="P8" i="2360" s="1"/>
  <c r="E183" i="2358"/>
  <c r="P6" i="2360" s="1"/>
  <c r="E180" i="2358"/>
  <c r="O22" i="2360" s="1"/>
  <c r="E179" i="2358"/>
  <c r="O10" i="2360" s="1"/>
  <c r="E178" i="2358"/>
  <c r="O11" i="2360" s="1"/>
  <c r="E177" i="2358"/>
  <c r="O9" i="2360" s="1"/>
  <c r="E176" i="2358"/>
  <c r="O8" i="2360" s="1"/>
  <c r="E175" i="2358"/>
  <c r="O6" i="2360" s="1"/>
  <c r="E172" i="2358"/>
  <c r="N22" i="2360" s="1"/>
  <c r="E171" i="2358"/>
  <c r="N11" i="2360" s="1"/>
  <c r="E170" i="2358"/>
  <c r="N8" i="2360" s="1"/>
  <c r="E169" i="2358"/>
  <c r="N6" i="2360" s="1"/>
  <c r="E166" i="2358"/>
  <c r="M17" i="2360" s="1"/>
  <c r="E165" i="2358"/>
  <c r="M11" i="2360" s="1"/>
  <c r="E164" i="2358"/>
  <c r="M8" i="2360" s="1"/>
  <c r="E163" i="2358"/>
  <c r="M6" i="2360" s="1"/>
  <c r="E153" i="2358"/>
  <c r="K16" i="2360" s="1"/>
  <c r="E152" i="2358"/>
  <c r="K10" i="2360" s="1"/>
  <c r="E151" i="2358"/>
  <c r="K8" i="2360" s="1"/>
  <c r="E150" i="2358"/>
  <c r="K7" i="2360" s="1"/>
  <c r="E147" i="2358"/>
  <c r="J10" i="2360" s="1"/>
  <c r="E146" i="2358"/>
  <c r="J11" i="2360" s="1"/>
  <c r="E145" i="2358"/>
  <c r="J9" i="2360" s="1"/>
  <c r="E144" i="2358"/>
  <c r="J8" i="2360" s="1"/>
  <c r="E143" i="2358"/>
  <c r="J6" i="2360" s="1"/>
  <c r="E123" i="2358"/>
  <c r="F13" i="2360" s="1"/>
  <c r="E122" i="2358"/>
  <c r="F10" i="2360" s="1"/>
  <c r="E121" i="2358"/>
  <c r="F12" i="2360" s="1"/>
  <c r="E120" i="2358"/>
  <c r="F9" i="2360" s="1"/>
  <c r="E119" i="2358"/>
  <c r="F8" i="2360" s="1"/>
  <c r="E118" i="2358"/>
  <c r="F6" i="2360" s="1"/>
  <c r="E133" i="2358"/>
  <c r="H12" i="2360" s="1"/>
  <c r="E132" i="2358"/>
  <c r="H9" i="2360" s="1"/>
  <c r="E131" i="2358"/>
  <c r="H6" i="2360" s="1"/>
  <c r="E128" i="2358"/>
  <c r="G12" i="2360" s="1"/>
  <c r="E127" i="2358"/>
  <c r="G9" i="2360" s="1"/>
  <c r="E126" i="2358"/>
  <c r="G6" i="2360" s="1"/>
  <c r="E140" i="2358"/>
  <c r="I15" i="2360" s="1"/>
  <c r="E139" i="2358"/>
  <c r="E138" i="2358"/>
  <c r="E137" i="2358"/>
  <c r="E136" i="2358"/>
  <c r="E111" i="2358"/>
  <c r="E10" i="2360" s="1"/>
  <c r="E112" i="2358"/>
  <c r="E13" i="2360" s="1"/>
  <c r="E110" i="2358"/>
  <c r="E12" i="2360" s="1"/>
  <c r="E109" i="2358"/>
  <c r="E9" i="2360" s="1"/>
  <c r="E108" i="2358"/>
  <c r="E8" i="2360" s="1"/>
  <c r="E107" i="2358"/>
  <c r="E6" i="2360" s="1"/>
  <c r="E101" i="2358"/>
  <c r="D14" i="2360" s="1"/>
  <c r="E92" i="2358"/>
  <c r="E91" i="2358"/>
  <c r="E90" i="2358"/>
  <c r="E74" i="2358"/>
  <c r="K24" i="2359" s="1"/>
  <c r="O24" i="2359" s="1"/>
  <c r="D58" i="2322" s="1"/>
  <c r="F58" i="2322" s="1"/>
  <c r="E73" i="2358"/>
  <c r="K22" i="2359" s="1"/>
  <c r="E72" i="2358"/>
  <c r="K21" i="2359" s="1"/>
  <c r="E71" i="2358"/>
  <c r="K20" i="2359" s="1"/>
  <c r="O20" i="2359" s="1"/>
  <c r="D54" i="2322" s="1"/>
  <c r="F54" i="2322" s="1"/>
  <c r="E70" i="2358"/>
  <c r="E69" i="2358"/>
  <c r="E68" i="2358"/>
  <c r="E67" i="2358"/>
  <c r="G67" i="2358" s="1"/>
  <c r="E63" i="2358"/>
  <c r="J23" i="2359" s="1"/>
  <c r="E62" i="2358"/>
  <c r="J22" i="2359" s="1"/>
  <c r="E61" i="2358"/>
  <c r="J21" i="2359" s="1"/>
  <c r="E58" i="2358"/>
  <c r="E60" i="2358"/>
  <c r="J19" i="2359" s="1"/>
  <c r="E59" i="2358"/>
  <c r="E57" i="2358"/>
  <c r="G57" i="2358" s="1"/>
  <c r="E56" i="2358"/>
  <c r="G56" i="2358" s="1"/>
  <c r="E53" i="2358"/>
  <c r="I31" i="2359" s="1"/>
  <c r="E47" i="2358"/>
  <c r="E46" i="2358"/>
  <c r="E45" i="2358"/>
  <c r="E42" i="2358"/>
  <c r="E41" i="2358"/>
  <c r="E40" i="2358"/>
  <c r="G40" i="2358" s="1"/>
  <c r="E28" i="2358"/>
  <c r="E27" i="2359" s="1"/>
  <c r="E27" i="2358"/>
  <c r="E26" i="2359" s="1"/>
  <c r="E26" i="2358"/>
  <c r="E25" i="2358"/>
  <c r="E24" i="2358"/>
  <c r="E23" i="2358"/>
  <c r="E22" i="2358"/>
  <c r="E21" i="2358"/>
  <c r="E16" i="2358"/>
  <c r="D27" i="2359" s="1"/>
  <c r="E15" i="2358"/>
  <c r="D26" i="2359" s="1"/>
  <c r="E14" i="2358"/>
  <c r="E13" i="2358"/>
  <c r="E12" i="2358"/>
  <c r="E11" i="2358"/>
  <c r="E10" i="2358"/>
  <c r="C3" i="2357"/>
  <c r="A1" i="2358"/>
  <c r="E52" i="2358"/>
  <c r="G52" i="2358" s="1"/>
  <c r="E51" i="2358"/>
  <c r="G51" i="2358" s="1"/>
  <c r="E50" i="2358"/>
  <c r="G50" i="2358" s="1"/>
  <c r="E33" i="2358"/>
  <c r="F15" i="2359" s="1"/>
  <c r="E32" i="2358"/>
  <c r="F11" i="2359" s="1"/>
  <c r="E31" i="2358"/>
  <c r="F9" i="2359" s="1"/>
  <c r="E100" i="2358"/>
  <c r="E99" i="2358"/>
  <c r="E98" i="2358"/>
  <c r="E97" i="2358"/>
  <c r="E96" i="2358"/>
  <c r="G96" i="2358" s="1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E12" i="2359" l="1"/>
  <c r="G24" i="2358"/>
  <c r="E15" i="2359"/>
  <c r="G25" i="2358"/>
  <c r="D8" i="2360"/>
  <c r="G97" i="2358"/>
  <c r="D8" i="2359"/>
  <c r="G10" i="2358"/>
  <c r="E13" i="2359"/>
  <c r="C75" i="2322" s="1"/>
  <c r="G26" i="2358"/>
  <c r="J17" i="2359"/>
  <c r="O17" i="2359" s="1"/>
  <c r="D50" i="2322" s="1"/>
  <c r="F50" i="2322" s="1"/>
  <c r="G59" i="2358"/>
  <c r="I6" i="2360"/>
  <c r="G136" i="2358"/>
  <c r="D9" i="2360"/>
  <c r="G98" i="2358"/>
  <c r="I8" i="2360"/>
  <c r="G137" i="2358"/>
  <c r="D11" i="2360"/>
  <c r="G99" i="2358"/>
  <c r="J12" i="2359"/>
  <c r="G58" i="2358"/>
  <c r="I11" i="2360"/>
  <c r="G138" i="2358"/>
  <c r="D12" i="2359"/>
  <c r="G12" i="2358"/>
  <c r="N11" i="2359"/>
  <c r="G90" i="2358"/>
  <c r="D10" i="2360"/>
  <c r="G100" i="2358"/>
  <c r="D15" i="2359"/>
  <c r="G13" i="2358"/>
  <c r="N12" i="2359"/>
  <c r="G91" i="2358"/>
  <c r="I10" i="2360"/>
  <c r="D19" i="2322" s="1"/>
  <c r="F19" i="2322" s="1"/>
  <c r="G139" i="2358"/>
  <c r="D13" i="2359"/>
  <c r="G14" i="2358"/>
  <c r="G11" i="2359"/>
  <c r="G41" i="2358"/>
  <c r="N18" i="2359"/>
  <c r="G92" i="2358"/>
  <c r="G16" i="2359"/>
  <c r="G42" i="2358"/>
  <c r="D11" i="2359"/>
  <c r="G11" i="2358"/>
  <c r="E8" i="2359"/>
  <c r="G21" i="2358"/>
  <c r="H11" i="2359"/>
  <c r="G46" i="2358"/>
  <c r="K11" i="2359"/>
  <c r="G68" i="2358"/>
  <c r="E10" i="2359"/>
  <c r="G22" i="2358"/>
  <c r="K12" i="2359"/>
  <c r="G69" i="2358"/>
  <c r="H8" i="2359"/>
  <c r="G45" i="2358"/>
  <c r="H16" i="2359"/>
  <c r="G47" i="2358"/>
  <c r="E11" i="2359"/>
  <c r="G23" i="2358"/>
  <c r="K17" i="2359"/>
  <c r="G70" i="2358"/>
  <c r="D18" i="2322"/>
  <c r="F18" i="2322" s="1"/>
  <c r="D21" i="2322"/>
  <c r="F21" i="2322" s="1"/>
  <c r="D17" i="2322"/>
  <c r="F17" i="2322" s="1"/>
  <c r="D20" i="2322"/>
  <c r="F20" i="2322" s="1"/>
  <c r="D22" i="2322"/>
  <c r="F22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15" i="2359"/>
  <c r="D48" i="2322" s="1"/>
  <c r="F48" i="2322" s="1"/>
  <c r="O22" i="2359"/>
  <c r="D56" i="2322" s="1"/>
  <c r="F56" i="2322" s="1"/>
  <c r="O12" i="2359"/>
  <c r="D45" i="2322" s="1"/>
  <c r="F45" i="2322" s="1"/>
  <c r="O21" i="2359"/>
  <c r="D55" i="2322" s="1"/>
  <c r="F55" i="2322" s="1"/>
  <c r="O26" i="2359"/>
  <c r="D60" i="2322" s="1"/>
  <c r="F60" i="2322" s="1"/>
  <c r="O23" i="2359"/>
  <c r="D57" i="2322" s="1"/>
  <c r="F57" i="2322" s="1"/>
  <c r="K10" i="2359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J10" i="2359"/>
  <c r="J11" i="2359"/>
  <c r="O9" i="2359"/>
  <c r="D42" i="2322" s="1"/>
  <c r="F42" i="2322" s="1"/>
  <c r="O13" i="2359"/>
  <c r="D46" i="2322" s="1"/>
  <c r="F46" i="2322" s="1"/>
  <c r="M11" i="2357"/>
  <c r="H31" i="2361"/>
  <c r="M9" i="2357"/>
  <c r="I8" i="2359"/>
  <c r="I11" i="2359"/>
  <c r="D23" i="2322"/>
  <c r="F23" i="2322" s="1"/>
  <c r="G8" i="2359"/>
  <c r="I16" i="2359"/>
  <c r="D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D75" i="2322" l="1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sharedStrings.xml><?xml version="1.0" encoding="utf-8"?>
<sst xmlns="http://schemas.openxmlformats.org/spreadsheetml/2006/main" count="1757" uniqueCount="529">
  <si>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</si>
  <si>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</si>
  <si>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</si>
  <si>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</si>
  <si>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</si>
  <si>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</si>
  <si>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</si>
  <si>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</si>
  <si>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</si>
  <si>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</si>
  <si>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</si>
  <si>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</si>
  <si>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</si>
  <si>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</si>
  <si>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</si>
  <si>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</si>
  <si>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</si>
  <si>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</si>
  <si>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</si>
  <si>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</si>
  <si>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</si>
  <si>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</si>
  <si>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</si>
  <si>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</si>
  <si>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</si>
  <si>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</si>
  <si>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</si>
  <si>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</si>
  <si>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</si>
  <si>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</si>
  <si>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</si>
  <si>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</si>
  <si>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</si>
  <si>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</si>
  <si>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</si>
  <si>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</si>
  <si>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</si>
  <si>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</si>
  <si>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</si>
  <si>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</si>
  <si>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</si>
  <si>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</si>
  <si>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</si>
  <si>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</si>
  <si>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</si>
  <si>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</si>
  <si>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</si>
  <si>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</si>
  <si>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</si>
  <si>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</si>
  <si>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</si>
  <si>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</si>
  <si>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</si>
  <si>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</si>
  <si>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</si>
  <si>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</si>
  <si>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</si>
  <si>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</si>
  <si>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</si>
  <si>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</si>
  <si>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</si>
  <si>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</si>
  <si>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</si>
  <si>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</si>
  <si>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</si>
  <si>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</si>
  <si>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</si>
  <si>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</si>
  <si>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</si>
  <si>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</si>
  <si>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</si>
  <si>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</si>
  <si>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</si>
  <si>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</si>
  <si>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</si>
  <si>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</si>
  <si>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</si>
  <si>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</si>
  <si>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</si>
  <si>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</si>
  <si>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</si>
  <si>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</si>
  <si>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</si>
  <si>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</si>
  <si>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</si>
  <si>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</si>
  <si>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</si>
  <si>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</si>
  <si>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</si>
  <si>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</si>
  <si>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</si>
  <si>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</si>
  <si>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</si>
  <si>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</si>
  <si>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</si>
  <si>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</si>
  <si>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</si>
  <si>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</si>
  <si>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</si>
  <si>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</si>
  <si>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</si>
  <si>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</si>
  <si>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</si>
  <si>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</si>
  <si>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</si>
  <si>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</si>
  <si>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</si>
  <si>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</si>
  <si>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</si>
  <si>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</si>
  <si>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</si>
  <si>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</si>
  <si>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</si>
  <si>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</si>
  <si>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</si>
  <si>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</si>
  <si>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</si>
  <si>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</si>
  <si>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</si>
  <si>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</si>
  <si>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</si>
  <si>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</si>
  <si>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</si>
  <si>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</si>
  <si>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</si>
  <si>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</si>
  <si>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</si>
  <si>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</si>
  <si>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</si>
  <si>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</si>
  <si>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</si>
  <si>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</si>
  <si>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</si>
  <si>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</si>
  <si>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</si>
  <si>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</si>
  <si>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</si>
  <si>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</si>
  <si>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</si>
  <si>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</si>
  <si>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</si>
  <si>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</si>
  <si>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</si>
  <si>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</si>
  <si>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</si>
  <si>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</si>
  <si>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</si>
  <si>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</si>
  <si>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</si>
  <si>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</si>
  <si>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</si>
  <si>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</si>
  <si>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</si>
  <si>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</si>
  <si>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</si>
  <si>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</si>
  <si>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</si>
  <si>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</si>
  <si>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</si>
  <si>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</si>
  <si>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</si>
  <si>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</si>
  <si>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</si>
  <si>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</si>
  <si>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</si>
  <si>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</si>
  <si>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</si>
  <si>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</si>
  <si>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</si>
  <si>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</si>
  <si>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</si>
  <si>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</si>
  <si>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</si>
  <si>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</si>
  <si>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</si>
  <si>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</si>
  <si>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</si>
  <si>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</si>
  <si>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</si>
  <si>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</si>
  <si>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</si>
  <si>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rPr>
        <sz val="11"/>
        <rFont val="細明體"/>
        <family val="3"/>
      </rPr>
      <t>鋼筋彎紮及組立</t>
    </r>
    <r>
      <rPr>
        <sz val="11"/>
        <rFont val="Times New Roman"/>
        <family val="1"/>
      </rPr>
      <t>SD280(D10~D16)</t>
    </r>
    <phoneticPr fontId="3" type="noConversion"/>
  </si>
  <si>
    <r>
      <rPr>
        <sz val="11"/>
        <rFont val="細明體"/>
        <family val="3"/>
      </rPr>
      <t>鋼筋彎紮及組立</t>
    </r>
    <r>
      <rPr>
        <sz val="11"/>
        <rFont val="Times New Roman"/>
        <family val="1"/>
      </rPr>
      <t>SD420(D19~D32)</t>
    </r>
    <phoneticPr fontId="3" type="noConversion"/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</si>
  <si>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</si>
  <si>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</si>
  <si>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</si>
  <si>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</si>
  <si>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</si>
  <si>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</si>
  <si>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</si>
  <si>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</si>
  <si>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</si>
  <si>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</si>
  <si>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</si>
  <si>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</si>
  <si>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</si>
  <si>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</si>
  <si>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</si>
  <si>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</si>
  <si>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</si>
  <si>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</si>
  <si>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</si>
  <si>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</si>
  <si>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</si>
  <si>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</si>
  <si>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</si>
  <si>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</si>
  <si>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</si>
  <si>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</si>
  <si>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</si>
  <si>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</si>
  <si>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</si>
  <si>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</si>
  <si>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</si>
  <si>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</si>
  <si>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</si>
  <si>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</si>
  <si>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</si>
  <si>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</si>
  <si>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</si>
  <si>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r>
      <rPr>
        <sz val="12"/>
        <rFont val="細明體"/>
        <family val="3"/>
      </rPr>
      <t>普通模板</t>
    </r>
    <phoneticPr fontId="3" type="noConversion"/>
  </si>
  <si>
    <r>
      <rPr>
        <sz val="12"/>
        <rFont val="細明體"/>
        <family val="3"/>
      </rPr>
      <t>普通模板</t>
    </r>
    <r>
      <rPr>
        <sz val="12"/>
        <rFont val="Times New Roman"/>
        <family val="1"/>
      </rPr>
      <t>(</t>
    </r>
    <r>
      <rPr>
        <sz val="12"/>
        <rFont val="細明體"/>
        <family val="3"/>
      </rPr>
      <t>作業高度超過</t>
    </r>
    <r>
      <rPr>
        <sz val="12"/>
        <rFont val="Times New Roman"/>
        <family val="1"/>
      </rPr>
      <t>2</t>
    </r>
    <r>
      <rPr>
        <sz val="12"/>
        <rFont val="細明體"/>
        <family val="3"/>
      </rPr>
      <t>公尺</t>
    </r>
    <r>
      <rPr>
        <sz val="12"/>
        <rFont val="Times New Roman"/>
        <family val="1"/>
      </rPr>
      <t>)</t>
    </r>
    <phoneticPr fontId="3" type="noConversion"/>
  </si>
  <si>
    <r>
      <rPr>
        <sz val="12"/>
        <rFont val="細明體"/>
        <family val="3"/>
      </rPr>
      <t>組</t>
    </r>
    <phoneticPr fontId="3" type="noConversion"/>
  </si>
  <si>
    <t>橋梁工程</t>
    <phoneticPr fontId="3" type="noConversion"/>
  </si>
  <si>
    <t>道路排水工程</t>
    <phoneticPr fontId="3" type="noConversion"/>
  </si>
  <si>
    <r>
      <t>280KG/CM2</t>
    </r>
    <r>
      <rPr>
        <sz val="12"/>
        <rFont val="細明體"/>
        <family val="3"/>
        <charset val="136"/>
      </rPr>
      <t>預拌混凝土含澆置</t>
    </r>
  </si>
  <si>
    <r>
      <t>140KG/CM2</t>
    </r>
    <r>
      <rPr>
        <sz val="12"/>
        <rFont val="細明體"/>
        <family val="3"/>
        <charset val="136"/>
      </rPr>
      <t>預拌混凝土含澆置</t>
    </r>
    <phoneticPr fontId="3" type="noConversion"/>
  </si>
  <si>
    <r>
      <t>350KG/CM2</t>
    </r>
    <r>
      <rPr>
        <sz val="12"/>
        <rFont val="細明體"/>
        <family val="3"/>
        <charset val="136"/>
      </rPr>
      <t>預拌混凝土含澆置</t>
    </r>
    <phoneticPr fontId="3" type="noConversion"/>
  </si>
  <si>
    <t>處</t>
    <phoneticPr fontId="3" type="noConversion"/>
  </si>
  <si>
    <t>鋼模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</si>
  <si>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</si>
  <si>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</si>
  <si>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</si>
  <si>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</si>
  <si>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</si>
  <si>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</si>
  <si>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</si>
  <si>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</si>
  <si>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</si>
  <si>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</si>
  <si>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M2</t>
    <phoneticPr fontId="3" type="noConversion"/>
  </si>
  <si>
    <t>M3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</si>
  <si>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</si>
  <si>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</si>
  <si>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</si>
  <si>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</si>
  <si>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</si>
  <si>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</si>
  <si>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</si>
  <si>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</si>
  <si>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</si>
  <si>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</si>
  <si>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</si>
  <si>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</si>
  <si>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</si>
  <si>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</si>
  <si>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</si>
  <si>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</si>
  <si>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</si>
  <si>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</si>
  <si>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</si>
  <si>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</si>
  <si>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</si>
  <si>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</si>
  <si>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r>
      <rPr>
        <sz val="12"/>
        <rFont val="細明體"/>
        <family val="1"/>
        <charset val="136"/>
      </rPr>
      <t>水中混凝土</t>
    </r>
    <r>
      <rPr>
        <sz val="12"/>
        <rFont val="Times New Roman"/>
        <family val="1"/>
      </rPr>
      <t>280KG/CM2</t>
    </r>
    <r>
      <rPr>
        <sz val="12"/>
        <rFont val="細明體"/>
        <family val="1"/>
        <charset val="136"/>
      </rPr>
      <t>混凝土</t>
    </r>
    <phoneticPr fontId="3" type="noConversion"/>
  </si>
  <si>
    <t>組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</si>
  <si>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</si>
  <si>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</si>
  <si>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</si>
  <si>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</si>
  <si>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錨座補強處理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</si>
  <si>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</si>
  <si>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</si>
  <si>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</si>
  <si>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</si>
  <si>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</si>
  <si>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</si>
  <si>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</si>
  <si>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</si>
  <si>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</si>
  <si>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</si>
  <si>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</si>
  <si>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</si>
  <si>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</si>
  <si>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</si>
  <si>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</si>
  <si>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</si>
  <si>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</si>
  <si>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</si>
  <si>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</si>
  <si>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</si>
  <si>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</si>
  <si>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</si>
  <si>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</si>
  <si>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</si>
  <si>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</si>
  <si>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</si>
  <si>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</si>
  <si>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</si>
  <si>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</si>
  <si>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</si>
  <si>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</si>
  <si>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</si>
  <si>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</si>
  <si>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</si>
  <si>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</si>
  <si>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</si>
  <si>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</si>
  <si>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</si>
  <si>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</si>
  <si>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</si>
  <si>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</si>
  <si>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</si>
  <si>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引道箱涵(H=1.2m~5.9m)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</si>
  <si>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</si>
  <si>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</si>
  <si>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</si>
  <si>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</si>
  <si>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</si>
  <si>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</si>
  <si>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</si>
  <si>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</si>
  <si>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</si>
  <si>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</si>
  <si>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</si>
  <si>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</si>
  <si>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</si>
  <si>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</si>
  <si>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</si>
  <si>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</si>
  <si>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</si>
  <si>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</si>
  <si>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</si>
  <si>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</si>
  <si>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</si>
  <si>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</si>
  <si>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</si>
  <si>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</si>
  <si>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</si>
  <si>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</si>
  <si>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</si>
  <si>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</si>
  <si>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</si>
  <si>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</si>
  <si>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</si>
  <si>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</si>
  <si>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</si>
  <si>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</si>
  <si>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</si>
  <si>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</si>
  <si>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</si>
  <si>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</si>
  <si>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</si>
  <si>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</si>
  <si>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</si>
  <si>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</si>
  <si>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</si>
  <si>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</si>
  <si>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</si>
  <si>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r>
      <t>420KG/CM2</t>
    </r>
    <r>
      <rPr>
        <sz val="12"/>
        <rFont val="細明體"/>
        <family val="3"/>
        <charset val="136"/>
      </rPr>
      <t>預拌混凝土含澆置</t>
    </r>
    <phoneticPr fontId="3" type="noConversion"/>
  </si>
  <si>
    <r>
      <t>210KG/CM2</t>
    </r>
    <r>
      <rPr>
        <sz val="12"/>
        <rFont val="細明體"/>
        <family val="3"/>
        <charset val="136"/>
      </rPr>
      <t>預拌混凝土含澆置</t>
    </r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</si>
  <si>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</si>
  <si>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</si>
  <si>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</si>
  <si>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</si>
  <si>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</rPr>
      <t>鋼筋彎紮及組立</t>
    </r>
    <r>
      <rPr>
        <sz val="11"/>
        <rFont val="Times New Roman"/>
        <family val="1"/>
      </rPr>
      <t>SD420(D10~D16)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</si>
  <si>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</si>
  <si>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</si>
  <si>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</si>
  <si>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</si>
  <si>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</si>
  <si>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</si>
  <si>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</si>
  <si>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</si>
  <si>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</si>
  <si>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</si>
  <si>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</si>
  <si>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</si>
  <si>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</si>
  <si>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</si>
  <si>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</si>
  <si>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</si>
  <si>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</si>
  <si>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</si>
  <si>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</si>
  <si>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</si>
  <si>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</si>
  <si>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</si>
  <si>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</si>
  <si>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</si>
  <si>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</si>
  <si>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</si>
  <si>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</si>
  <si>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</si>
  <si>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</si>
  <si>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</si>
  <si>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</si>
  <si>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</si>
  <si>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</si>
  <si>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</si>
  <si>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</si>
  <si>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組</t>
    <phoneticPr fontId="3" type="noConversion"/>
  </si>
  <si>
    <t>13線-∮12.7㎜鋼鉸線</t>
    <phoneticPr fontId="3" type="noConversion"/>
  </si>
  <si>
    <t>17線-∮12.7㎜鋼鉸線</t>
    <phoneticPr fontId="3" type="noConversion"/>
  </si>
  <si>
    <t>13線-12.7㎜錨錐</t>
    <phoneticPr fontId="3" type="noConversion"/>
  </si>
  <si>
    <t>17線-12.7㎜錨錐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</si>
  <si>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</si>
  <si>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</si>
  <si>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</si>
  <si>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</si>
  <si>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</si>
  <si>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</si>
  <si>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</si>
  <si>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</si>
  <si>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</si>
  <si>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</si>
  <si>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</si>
  <si>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</si>
  <si>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</si>
  <si>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</si>
  <si>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</si>
  <si>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</si>
  <si>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</si>
  <si>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</si>
  <si>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</si>
  <si>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</si>
  <si>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</si>
  <si>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</si>
  <si>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</si>
  <si>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</si>
  <si>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</si>
  <si>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填縫板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</si>
  <si>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</si>
  <si>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</si>
  <si>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</si>
  <si>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</si>
  <si>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下田便道(H=0.4~1.4M，L=6.5m)含封牆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</si>
  <si>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</si>
  <si>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</si>
  <si>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</si>
  <si>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</si>
  <si>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</si>
  <si>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</si>
  <si>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</si>
  <si>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</si>
  <si>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</si>
  <si>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</si>
  <si>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</si>
  <si>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</si>
  <si>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</si>
  <si>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</si>
  <si>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</si>
  <si>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</si>
  <si>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</si>
  <si>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</si>
  <si>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</si>
  <si>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</si>
  <si>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</si>
  <si>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</si>
  <si>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</si>
  <si>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</si>
  <si>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</si>
  <si>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</si>
  <si>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</si>
  <si>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</si>
  <si>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</si>
  <si>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</si>
  <si>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</si>
  <si>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</si>
  <si>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</si>
  <si>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</si>
  <si>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道路排水溝(0.8m*0.8~1.8m)</t>
    <phoneticPr fontId="3" type="noConversion"/>
  </si>
  <si>
    <t>集水井</t>
    <phoneticPr fontId="3" type="noConversion"/>
  </si>
  <si>
    <t>紐澤西護欄</t>
    <phoneticPr fontId="3" type="noConversion"/>
  </si>
  <si>
    <t>下田便道(H=0.4~1.4M，L=58m)含封牆</t>
    <phoneticPr fontId="3" type="noConversion"/>
  </si>
  <si>
    <t>下田便道(H=1.0~6.3M，L=30.5m)含封牆</t>
    <phoneticPr fontId="3" type="noConversion"/>
  </si>
  <si>
    <t>下田便道(H=1.0~5.5M，L=26.5m)含封牆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</si>
  <si>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</si>
  <si>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</si>
  <si>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</si>
  <si>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</si>
  <si>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</si>
  <si>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</si>
  <si>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</si>
  <si>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</si>
  <si>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</si>
  <si>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</si>
  <si>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</si>
  <si>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</si>
  <si>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</si>
  <si>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</si>
  <si>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</si>
  <si>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</si>
  <si>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</si>
  <si>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</si>
  <si>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</si>
  <si>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</si>
  <si>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</si>
  <si>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</si>
  <si>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</si>
  <si>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</si>
  <si>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</si>
  <si>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</si>
  <si>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</si>
  <si>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</si>
  <si>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</si>
  <si>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</si>
  <si>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</si>
  <si>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</si>
  <si>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</si>
  <si>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</si>
  <si>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</si>
  <si>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</si>
  <si>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</si>
  <si>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鋼筋彎紮及組立SD280(D10~D16)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</si>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</sst>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_ &quot;m&quot;"/>
    <numFmt numFmtId="189" formatCode="0&quot;支&quot;"/>
    <numFmt numFmtId="190" formatCode="0.0\ &quot;m&quot;"/>
    <numFmt numFmtId="191" formatCode="0.0\ &quot;m2&quot;"/>
  </numFmts>
  <fonts count="60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03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44" fillId="0" borderId="0" xfId="8" applyFont="1" applyFill="1" applyBorder="1" applyAlignment="1" applyProtection="1">
      <alignment horizontal="left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55" fillId="0" borderId="1" xfId="0" applyFont="1" applyBorder="1" applyAlignment="1">
      <alignment horizontal="left" vertical="center" wrapText="1"/>
    </xf>
    <xf numFmtId="188" fontId="4" fillId="3" borderId="31" xfId="0" applyNumberFormat="1" applyFont="1" applyFill="1" applyBorder="1" applyAlignment="1">
      <alignment horizontal="center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 shrinkToFit="1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5" fontId="4" fillId="3" borderId="3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90" fontId="4" fillId="3" borderId="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9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191" fontId="4" fillId="3" borderId="31" xfId="0" applyNumberFormat="1" applyFont="1" applyFill="1" applyBorder="1" applyAlignment="1">
      <alignment horizontal="center"/>
    </xf>
    <xf numFmtId="0" fontId="0" fillId="0" borderId="1" xfId="0" applyBorder="1"/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35" xfId="0" applyFont="1" applyBorder="1"/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35" xfId="0" applyFont="1" applyBorder="1" applyAlignment="1">
      <alignment horizontal="left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right"/>
    </xf>
    <xf numFmtId="0" fontId="13" fillId="0" borderId="1" xfId="0" applyFont="1" applyBorder="1" applyAlignment="1">
      <alignment horizontal="left" wrapText="1" shrinkToFit="1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8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63" Type="http://schemas.openxmlformats.org/officeDocument/2006/relationships/externalLink" Target="externalLinks/externalLink55.xml"/><Relationship Id="rId68" Type="http://schemas.openxmlformats.org/officeDocument/2006/relationships/externalLink" Target="externalLinks/externalLink60.xml"/><Relationship Id="rId84" Type="http://schemas.openxmlformats.org/officeDocument/2006/relationships/externalLink" Target="externalLinks/externalLink76.xml"/><Relationship Id="rId89" Type="http://schemas.openxmlformats.org/officeDocument/2006/relationships/externalLink" Target="externalLinks/externalLink81.xml"/><Relationship Id="rId16" Type="http://schemas.openxmlformats.org/officeDocument/2006/relationships/externalLink" Target="externalLinks/externalLink8.xml"/><Relationship Id="rId11" Type="http://schemas.openxmlformats.org/officeDocument/2006/relationships/externalLink" Target="externalLinks/externalLink3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74" Type="http://schemas.openxmlformats.org/officeDocument/2006/relationships/externalLink" Target="externalLinks/externalLink66.xml"/><Relationship Id="rId79" Type="http://schemas.openxmlformats.org/officeDocument/2006/relationships/externalLink" Target="externalLinks/externalLink71.xml"/><Relationship Id="rId102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2.xml"/><Relationship Id="rId95" Type="http://schemas.openxmlformats.org/officeDocument/2006/relationships/externalLink" Target="externalLinks/externalLink87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64" Type="http://schemas.openxmlformats.org/officeDocument/2006/relationships/externalLink" Target="externalLinks/externalLink56.xml"/><Relationship Id="rId69" Type="http://schemas.openxmlformats.org/officeDocument/2006/relationships/externalLink" Target="externalLinks/externalLink61.xml"/><Relationship Id="rId80" Type="http://schemas.openxmlformats.org/officeDocument/2006/relationships/externalLink" Target="externalLinks/externalLink72.xml"/><Relationship Id="rId85" Type="http://schemas.openxmlformats.org/officeDocument/2006/relationships/externalLink" Target="externalLinks/externalLink7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51.xml"/><Relationship Id="rId103" Type="http://schemas.openxmlformats.org/officeDocument/2006/relationships/sharedStrings" Target="sharedStrings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54" Type="http://schemas.openxmlformats.org/officeDocument/2006/relationships/externalLink" Target="externalLinks/externalLink46.xml"/><Relationship Id="rId62" Type="http://schemas.openxmlformats.org/officeDocument/2006/relationships/externalLink" Target="externalLinks/externalLink54.xml"/><Relationship Id="rId70" Type="http://schemas.openxmlformats.org/officeDocument/2006/relationships/externalLink" Target="externalLinks/externalLink62.xml"/><Relationship Id="rId75" Type="http://schemas.openxmlformats.org/officeDocument/2006/relationships/externalLink" Target="externalLinks/externalLink67.xml"/><Relationship Id="rId83" Type="http://schemas.openxmlformats.org/officeDocument/2006/relationships/externalLink" Target="externalLinks/externalLink75.xml"/><Relationship Id="rId88" Type="http://schemas.openxmlformats.org/officeDocument/2006/relationships/externalLink" Target="externalLinks/externalLink80.xml"/><Relationship Id="rId91" Type="http://schemas.openxmlformats.org/officeDocument/2006/relationships/externalLink" Target="externalLinks/externalLink83.xml"/><Relationship Id="rId96" Type="http://schemas.openxmlformats.org/officeDocument/2006/relationships/externalLink" Target="externalLinks/externalLink8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36" Type="http://schemas.openxmlformats.org/officeDocument/2006/relationships/externalLink" Target="externalLinks/externalLink28.xml"/><Relationship Id="rId49" Type="http://schemas.openxmlformats.org/officeDocument/2006/relationships/externalLink" Target="externalLinks/externalLink41.xml"/><Relationship Id="rId57" Type="http://schemas.openxmlformats.org/officeDocument/2006/relationships/externalLink" Target="externalLinks/externalLink49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44" Type="http://schemas.openxmlformats.org/officeDocument/2006/relationships/externalLink" Target="externalLinks/externalLink36.xml"/><Relationship Id="rId52" Type="http://schemas.openxmlformats.org/officeDocument/2006/relationships/externalLink" Target="externalLinks/externalLink44.xml"/><Relationship Id="rId60" Type="http://schemas.openxmlformats.org/officeDocument/2006/relationships/externalLink" Target="externalLinks/externalLink52.xml"/><Relationship Id="rId65" Type="http://schemas.openxmlformats.org/officeDocument/2006/relationships/externalLink" Target="externalLinks/externalLink57.xml"/><Relationship Id="rId73" Type="http://schemas.openxmlformats.org/officeDocument/2006/relationships/externalLink" Target="externalLinks/externalLink65.xml"/><Relationship Id="rId78" Type="http://schemas.openxmlformats.org/officeDocument/2006/relationships/externalLink" Target="externalLinks/externalLink70.xml"/><Relationship Id="rId81" Type="http://schemas.openxmlformats.org/officeDocument/2006/relationships/externalLink" Target="externalLinks/externalLink73.xml"/><Relationship Id="rId86" Type="http://schemas.openxmlformats.org/officeDocument/2006/relationships/externalLink" Target="externalLinks/externalLink78.xml"/><Relationship Id="rId94" Type="http://schemas.openxmlformats.org/officeDocument/2006/relationships/externalLink" Target="externalLinks/externalLink86.xml"/><Relationship Id="rId99" Type="http://schemas.openxmlformats.org/officeDocument/2006/relationships/externalLink" Target="externalLinks/externalLink91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76" Type="http://schemas.openxmlformats.org/officeDocument/2006/relationships/externalLink" Target="externalLinks/externalLink68.xml"/><Relationship Id="rId97" Type="http://schemas.openxmlformats.org/officeDocument/2006/relationships/externalLink" Target="externalLinks/externalLink89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3.xml"/><Relationship Id="rId92" Type="http://schemas.openxmlformats.org/officeDocument/2006/relationships/externalLink" Target="externalLinks/externalLink84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1.xml"/><Relationship Id="rId24" Type="http://schemas.openxmlformats.org/officeDocument/2006/relationships/externalLink" Target="externalLinks/externalLink16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66" Type="http://schemas.openxmlformats.org/officeDocument/2006/relationships/externalLink" Target="externalLinks/externalLink58.xml"/><Relationship Id="rId87" Type="http://schemas.openxmlformats.org/officeDocument/2006/relationships/externalLink" Target="externalLinks/externalLink79.xml"/><Relationship Id="rId61" Type="http://schemas.openxmlformats.org/officeDocument/2006/relationships/externalLink" Target="externalLinks/externalLink53.xml"/><Relationship Id="rId82" Type="http://schemas.openxmlformats.org/officeDocument/2006/relationships/externalLink" Target="externalLinks/externalLink74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56" Type="http://schemas.openxmlformats.org/officeDocument/2006/relationships/externalLink" Target="externalLinks/externalLink48.xml"/><Relationship Id="rId77" Type="http://schemas.openxmlformats.org/officeDocument/2006/relationships/externalLink" Target="externalLinks/externalLink69.xml"/><Relationship Id="rId100" Type="http://schemas.openxmlformats.org/officeDocument/2006/relationships/externalLink" Target="externalLinks/externalLink92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72" Type="http://schemas.openxmlformats.org/officeDocument/2006/relationships/externalLink" Target="externalLinks/externalLink64.xml"/><Relationship Id="rId93" Type="http://schemas.openxmlformats.org/officeDocument/2006/relationships/externalLink" Target="externalLinks/externalLink85.xml"/><Relationship Id="rId98" Type="http://schemas.openxmlformats.org/officeDocument/2006/relationships/externalLink" Target="externalLinks/externalLink90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7.xml"/><Relationship Id="rId46" Type="http://schemas.openxmlformats.org/officeDocument/2006/relationships/externalLink" Target="externalLinks/externalLink38.xml"/><Relationship Id="rId67" Type="http://schemas.openxmlformats.org/officeDocument/2006/relationships/externalLink" Target="externalLinks/externalLink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C414619-50AC-4E26-924E-D97C7272AAF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WG\CHIH\SHW\19T2-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4037;&#31243;&#38928;&#31639;&#26360;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TC\SBK8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MIS\BG8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MIS\BG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Desktop\RD16-6\&#26368;&#24460;&#38928;&#31639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PROGRAM%20FILES\MICROSOFT%20OFFICE\OFFICE\xlstart\Engineer.xla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2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file01\JOB\CC\Cc038lc\Cc03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file01\JOB\SS\SS057WT\Ss057-&#36914;&#21513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nkey\d\CHENG\162S2\162-13K\PRECAL\162-P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38515;&#22372;&#37586;\C\CHENG\162S2\162-13K\PRECAL\162-P2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at\e\CHENG\162S2\162-13K\PRECAL\162-P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user\Local%20Settings\Temporary%20Internet%20Files\Content.IE5\KRQNWJ4Z\88\8813&#39640;&#38596;&#28207;58&#34399;&#30908;&#38957;&#25913;&#24314;\budget\USER\ARCH\CHANGE1\CHANGE1B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2\d\WINDOWS\TEMP\9007-BU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XCEL5\TMP\MADSU.XLQ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05\Volume_1\PROGRAM%20FILES\MICROSOFT%20OFFICE\OFFICE\xlstart\Engineer.xla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2&#26954;&#24950;&#28304;\Excel\89&#32645;&#36947;2-8(810-77)1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2&#26954;&#24950;&#28304;\Excel\&#32736;&#23792;&#26519;&#36947;13,14,15K&#26893;&#29983;&#32160;&#21270;&#24037;&#31243;end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&#24373;&#25991;&#21746;\89&#21644;&#24179;&#26519;&#36947;&#24037;&#31243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1)\HCH\HCH\02_&#38928;&#27770;&#31639;\88&#32645;&#36947;1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01\&#26412;&#27231;&#30913;&#30879;%20(d)\&#24609;&#25991;&#20633;&#20221;\&#36335;&#31481;&#31185;&#23416;&#22290;&#21312;\&#24037;&#31243;&#20272;&#39511;\&#20272;&#39511;02\&#26368;&#24460;&#38928;&#31639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4\d\CHENG\162S2\162-13K\PRECAL\162-P2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KS47\XLS\ANALYSIS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HENG\162S2\162-13K\PRECAL\162-P2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0061;&#20108;&#24180;&#24230;\&#23560;&#19968;&#32173;&#35703;\&#38928;&#31639;&#26360;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n\&#26412;&#27231;&#30913;&#30879;%20(f)\&#20061;&#20108;&#24180;&#24230;\&#23560;&#19968;&#32173;&#35703;\&#38928;&#31639;&#26360;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00\&#22294;&#27284;\01&#20844;&#33288;&#26449;&#40845;&#32654;4-2&#34399;&#27700;&#22303;&#20445;&#25345;&#24037;&#31243;\&#20844;&#33288;&#26449;&#40845;&#32654;4-2&#34399;&#27700;&#22303;&#20445;&#25345;&#24037;&#31243;_&#38928;&#31639;&#26360;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MIS\BG8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My%20Documents\&#22823;&#27193;&#37129;&#28246;&#24213;&#28317;&#19977;&#34399;&#27211;&#19978;&#19979;&#28216;&#25490;&#27700;&#25913;&#21892;&#24037;&#31243;2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WINDOWS\Desktop\&#22522;&#26412;&#20316;&#26989;&#26684;&#24335;\&#20316;&#26989;&#26684;&#24335;\~&#38463;&#34030;&#37129;&#24037;&#31243;\&#24180;&#24230;&#38928;&#31639;\90&#24180;&#24230;\88&#21450;89&#24180;&#24230;&#37129;&#36947;&#25913;&#21892;&#31680;&#39192;&#27454;\~&#26771;&#23448;&#37129;&#24037;&#31243;\&#24037;&#31243;\90&#24180;&#24230;\&#35696;&#21729;&#24314;&#35696;&#26696;\&#34081;&#28165;&#22283;&#35696;&#21729;\&#34485;&#20180;&#23534;&#22320;&#21312;\&#21934;&#20729;&#20998;&#26512;&#36611;&#23436;&#25972;&#29256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38928;&#31639;&#26360;&#29256;&#26412;&#21312;\&#35531;&#27454;\&#27700;&#21033;\&#21407;&#22987;&#35531;&#27454;&#20316;&#26989;&#34920;&#26684;(&#27700;&#21033;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38928;&#31639;&#26360;&#29256;&#26412;&#21312;\Auxiwork\&#35531;&#27454;&#20316;&#26989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HENG\162S2\162-13K\PRECAL\162S2-Q2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HENG\159-9-13\PRECAL\159-P2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r\dar-d\Sharon\&#27211;&#38754;&#21319;&#39640;&#24037;&#31243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MIS\BG8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32862;&#37586;&#21930;&#33213;\&#26412;&#27231;&#30913;&#30879;%20(d)%20&#32862;&#37586;&#21930;&#33213;\CHENG\162S2\162-13K\PRECAL\162-P2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m-p4\d\CHENG\162S2\162-13K\PRECAL\162-P2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Administrator\Local%20Settings\Temporary%20Internet%20Files\Content.IE5\8BIHKH8H\Old-D\OLD-C\prop\90179\&#32048;&#35373;\&#26612;&#38957;&#28207;&#27211;\_&#20116;&#24231;&#27211;\&#28961;&#21517;&#27211;\&#38928;&#31639;&#21512;&#32004;\Documents%20and%20Settings\lmk\My%20Documents\&#26612;&#38957;&#28207;&#28330;\&#38928;&#31639;&#35722;&#26356;\&#38928;&#31639;&#26360;&#25475;&#25551;&#27284;\&#19968;&#24037;&#21312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tp\&#20998;&#20139;\&#29141;\98&#24180;&#24230;\&#19979;&#27954;&#20180;&#20013;&#25490;&#20108;-&#21021;&#31295;\&#19979;&#27954;&#20180;&#20013;&#25490;&#20108;&#25490;&#27700;&#36335;&#28797;&#23475;&#24489;&#24314;&#24037;&#31243;-&#21021;&#31295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00\&#22294;&#27284;\002&#22303;&#26408;&#39006;\01&#36947;&#36335;\&#22025;&#32681;&#32291;&#25919;&#24220;\&#37129;&#20844;&#25152;\&#31481;&#23822;&#37129;\0&#31481;&#23822;_&#28797;&#20462;\&#28961;&#24213;&#28525;\&#28961;&#24213;&#28525;&#36947;&#36335;&#25913;&#21892;&#24037;&#31243;1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1-&#23447;&#38678;\D\My%20Documents\Excel&#36039;&#26009;&#22846;\90&#22303;&#26408;&#35373;&#35336;\&#22823;&#26519;&#37806;\90&#32080;&#26696;\&#19977;&#35282;&#37324;&#36947;&#36335;&#25490;&#27700;&#24037;&#31243;.xlw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ork_01\3125\&#38928;&#31639;\3210\SUM\PRICE-6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MIS\BG8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tp\&#20998;&#20139;\Lee\98\&#36039;&#28304;&#22238;&#25910;&#22580;&#25913;&#21892;&#24037;&#31243;\&#36039;&#28304;&#22238;&#25910;&#22580;&#25913;&#21892;&#24037;&#31243;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tp\&#20998;&#20139;\JOB\CC\cc008wt\cc008-2\cc008-2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MIS\BG8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f-xp\&#23567;&#26607;&#30340;d&#27133;%20(d)\calBK\&#20013;&#24066;&#27827;&#24029;\&#40635;&#28304;&#38957;&#28330;89\&#40635;&#22290;&#38957;&#28330;&#24037;&#31243;&#38928;&#31639;-&#30332;&#21253;0508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4800;&#33984;&#19977;&#20191;&#33836;\&#24800;&#33984;&#26519;&#22580;&#19977;&#20191;&#33836;&#38928;&#31639;(&#30332;&#21253;&#24460;&#35519;&#25972;&#21934;&#20729;)\&#24800;&#33984;&#19977;&#20191;&#33836;&#38928;&#31639;&#26360;(NEW)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file01\002&#22303;&#26408;&#39006;\01&#36947;&#36335;\&#21488;&#20013;&#32291;&#25919;&#24220;\02&#27700;&#20445;&#35506;\00&#32080;&#31639;&#23436;&#30050;&#30340;&#26696;&#20214;\&#22826;&#24179;&#24063;&#26481;&#24179;&#37324;&#34382;&#23665;&#36786;&#36335;&#25913;&#21892;&#31561;&#20845;&#20214;&#24037;&#31243;\&#22826;&#24179;&#24063;&#26481;&#24179;&#37324;&#34382;&#23665;&#36786;&#36335;&#25913;&#21892;&#31561;&#20845;&#20214;&#24037;&#31243;&#38928;&#31639;&#26360;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00\&#22294;&#27284;\&#37138;&#23447;&#32946;\&#27770;&#31639;&#26360;\&#21335;&#25237;&#32291;&#25919;&#24220;\&#27700;&#20445;&#35506;-2&#20221;\&#31481;&#23665;\&#29509;&#22353;&#27770;&#31639;&#34920;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091207_&#33274;&#21335;&#24066;&#25919;&#24220;&#24037;&#21209;&#23616;(&#39178;&#35703;)_110&#24180;&#24230;&#33274;&#21335;&#24066;&#25919;&#24220;&#36335;&#24179;&#23560;&#26696;&#21450;&#28797;&#24460;&#24489;&#24314;&#24037;&#31243;&#22996;&#35351;&#21208;&#26597;&#12289;&#35215;&#21123;&#35373;&#35336;&#21450;&#30435;&#36896;&#26696;&#38283;&#21475;&#22865;&#32004;%20_01_0\12_&#27704;&#24247;&#21312;&#29579;&#34892;&#36335;(&#33274;&#19968;&#32218;&#33267;&#33258;&#24375;&#36335;&#21475;)&#21450;&#23578;&#38914;&#36335;(&#33274;&#19968;&#32218;&#33267;&#27491;&#21335;&#19977;&#36335;)&#36335;&#38754;&#25913;&#21892;&#24037;&#31243;\01_&#32048;&#37096;&#35373;&#35336;\V4.0\&#29579;&#34892;&#36335;\03-2&#25976;04~08_&#27704;&#24247;&#29579;&#34892;&#36335;(10cm)_&#38754;&#23652;&#23436;&#25104;&#38754;&#39640;&#31243;&#34920;&#21450;AC&#25976;&#37327;&#35336;&#31639;&#34920;(&#22869;&#37523;)_1100715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&#19992;&#20272;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B4F60C4\708-3cco08(&#21152;&#20837;&#25803;&#22303;&#29254;&#33287;&#20154;&#26376;)final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in\system%20(d)\&#31119;&#22266;\169k&#32080;&#31639;\My%20Documents\My%20Documents\&#21488;21&#32218;&#21644;&#31038;&#29151;&#26519;&#21312;&#27161;&#21934;&#21450;&#21934;&#20729;&#20998;&#26512;&#34920;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SKSTATION\Office\&#36039;&#26009;&#24235;&#25972;&#29702;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Ygl\&#38928;&#31639;&#26360;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MIS\BG8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0061;&#19968;&#23478;&#28304;&#27211;&#33267;&#22826;&#24179;&#23665;\&#20161;&#28580;1k\&#20161;&#28580;1k&#38928;&#31639;&#26360;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n\&#26412;&#27231;&#30913;&#30879;%20(f)\&#20061;&#19968;&#23478;&#28304;&#27211;&#33267;&#22826;&#24179;&#23665;\&#20161;&#28580;1k\&#20161;&#28580;1k&#38928;&#31639;&#26360;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file01\&#31481;&#23822;&#37129;\&#31481;&#23822;&#26045;&#24037;&#24037;&#31243;&#25152;&#26377;&#26989;&#20027;&#21517;&#20874;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nts%20and%20Settings\Administrator\Local%20Settings\Temporary%20Internet%20Files\Content.IE5\8BIHKH8H\Old-D\OLD-C\prop\90179\&#32048;&#35373;\&#26612;&#38957;&#28207;&#27211;\_&#20116;&#24231;&#27211;\&#28961;&#21517;&#27211;\&#38928;&#31639;&#21512;&#32004;\EXCELEX1\USANSTD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1)\02_&#38928;&#27770;&#31639;\HCH\02_&#38928;&#27770;&#31639;\88&#24180;\880921&#38663;&#28797;\88&#32645;&#36947;&#24489;3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01\&#26412;&#27231;&#30913;&#30879;%20(d)\&#24101;&#21733;&#30340;&#35948;&#26009;\&#25010;&#20161;&#23560;&#29992;\&#24231;&#39381;&#25490;&#27700;\&#26368;&#24460;&#38928;&#31639;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00\&#22294;&#27284;\&#37138;&#23447;&#32946;\&#30435;&#24037;&#26085;&#22577;&#34920;\&#27700;&#20445;&#35506;\&#29509;&#22353;&#37326;&#28330;&#28797;&#20462;&#24037;&#31243;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6368;&#24460;&#38928;&#31639;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3\e\&#37138;&#23447;&#32946;\&#27770;&#31639;&#26360;\&#21335;&#25237;&#32291;&#25919;&#24220;\&#27700;&#20445;&#35506;-2&#20221;\&#31481;&#23665;\&#29509;&#22353;&#27770;&#31639;&#34920;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home.kimo.com.tw/danyang.tw/&#22522;&#30990;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tp\&#20998;&#20139;\&#29141;\&#21892;&#21270;&#37806;&#23665;&#19978;&#25490;&#27700;&#21271;&#21218;&#27954;&#27573;&#28797;&#20462;&#24489;&#24314;&#24037;&#31243;\&#21892;&#21270;&#37806;&#23665;&#19978;&#25490;&#27700;&#21271;&#21218;&#27954;&#27573;&#28797;&#20462;&#24489;&#24314;&#24037;&#31243;-980213\&#23665;&#19978;&#25490;&#27700;&#21271;&#21218;&#27954;&#27573;&#20462;&#27491;98.3.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&amp;C&amp;T"/>
      <sheetName val="cov"/>
      <sheetName val="BUD"/>
      <sheetName val="材料表"/>
      <sheetName val="Sheet1"/>
      <sheetName val="UNIT"/>
      <sheetName val="標單1"/>
      <sheetName val="標單1-1"/>
      <sheetName val="標單1-2"/>
      <sheetName val="路總"/>
      <sheetName val="橋總"/>
      <sheetName val="BG"/>
      <sheetName val="U-stl"/>
      <sheetName val="U"/>
      <sheetName val="B&amp;CB&amp;P"/>
      <sheetName val="U2-h"/>
      <sheetName val="U4,5,6-h"/>
      <sheetName val="土石方"/>
      <sheetName val="補充說明(1)"/>
      <sheetName val="包商單價分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A1"/>
      <sheetName val="A2"/>
      <sheetName val="A3"/>
      <sheetName val="人孔1"/>
      <sheetName val="人孔2"/>
      <sheetName val="人孔3"/>
      <sheetName val="道路側溝"/>
      <sheetName val="道路標誌"/>
      <sheetName val="預算明細表"/>
      <sheetName val="單價分析"/>
      <sheetName val="計算表"/>
      <sheetName val="統計表"/>
      <sheetName val="計算總表 "/>
      <sheetName val="計畫說明書"/>
      <sheetName val="進度表"/>
      <sheetName val="預算書"/>
      <sheetName val="審查意見及回覆表"/>
      <sheetName val="封面"/>
      <sheetName val="資料庫"/>
      <sheetName val="Sheet1"/>
      <sheetName val="工程預算書 "/>
      <sheetName val="工程數量計算表"/>
      <sheetName val="工程預算書 -空白"/>
      <sheetName val="單價分析-空白"/>
      <sheetName val="基本資料"/>
      <sheetName val="Sheet2"/>
      <sheetName val="Sheet3"/>
      <sheetName val="工程預算"/>
      <sheetName val="工程預"/>
      <sheetName val="工程"/>
      <sheetName val="工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封面 (結算)"/>
      <sheetName val="數量表"/>
      <sheetName val="封面 (決算) "/>
      <sheetName val="驗收證明"/>
      <sheetName val="驗收紀錄表(1)"/>
      <sheetName val="驗收紀錄表 (2)"/>
      <sheetName val="竣工驗收表"/>
      <sheetName val="結算明細表(竣)"/>
      <sheetName val="決算明細(直)"/>
      <sheetName val="決算明細表"/>
      <sheetName val="工程數量表"/>
      <sheetName val="單價分析表(1-11)"/>
      <sheetName val="程預算書"/>
      <sheetName val="算書"/>
      <sheetName val="書"/>
      <sheetName val="初稿審查意見處理表"/>
      <sheetName val="初稿審核單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預算"/>
      <sheetName val="土木"/>
      <sheetName val="單價表"/>
      <sheetName val="資料表"/>
      <sheetName val="單價分析表"/>
      <sheetName val="單價總表"/>
      <sheetName val="接法(估驗)"/>
      <sheetName val="預算單價"/>
      <sheetName val="合約2"/>
      <sheetName val="單價分析表 "/>
      <sheetName val="變更單價分析表 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/>
      <sheetData sheetId="90"/>
      <sheetData sheetId="91"/>
      <sheetData sheetId="92" refreshError="1"/>
      <sheetData sheetId="93" refreshError="1"/>
      <sheetData sheetId="94"/>
      <sheetData sheetId="95" refreshError="1"/>
      <sheetData sheetId="96" refreshError="1"/>
      <sheetData sheetId="97"/>
      <sheetData sheetId="9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  <sheetName val="BG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電信"/>
      <sheetName val="預算"/>
      <sheetName val="單價1"/>
      <sheetName val="單價2"/>
    </sheetNames>
    <sheetDataSet>
      <sheetData sheetId="0" refreshError="1"/>
      <sheetData sheetId="1"/>
      <sheetData sheetId="2"/>
      <sheetData sheetId="3" refreshError="1"/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水文計算函式"/>
      <sheetName val="水理計算函式"/>
      <sheetName val="滯洪池出口檢算"/>
      <sheetName val="Sheet1"/>
      <sheetName val="Engineer"/>
      <sheetName val=""/>
    </sheetNames>
    <definedNames>
      <definedName name="ChannelSection"/>
      <definedName name="CriticalDepth"/>
      <definedName name="CriticalSlope"/>
      <definedName name="Discharge"/>
      <definedName name="FlowVelocity"/>
      <definedName name="FreeBoardCheck"/>
      <definedName name="FroudeNumber"/>
      <definedName name="HydraulicDepth"/>
      <definedName name="HydraulicRadius"/>
      <definedName name="NormDepth"/>
      <definedName name="SpecificEnergy"/>
      <definedName name="StateOfFlow"/>
      <definedName name="TopWidth"/>
      <definedName name="VelocietyCheck"/>
      <definedName name="WettedPerimeter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2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試驗"/>
      <sheetName val="封面 (3)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東勢估"/>
      <sheetName val="估價單"/>
      <sheetName val="標單"/>
    </sheetNames>
    <sheetDataSet>
      <sheetData sheetId="0">
        <row r="19">
          <cell r="L19" t="str">
            <v>挖方</v>
          </cell>
          <cell r="M19" t="str">
            <v>M3</v>
          </cell>
          <cell r="N19">
            <v>311</v>
          </cell>
          <cell r="O19">
            <v>48</v>
          </cell>
          <cell r="P19">
            <v>14928</v>
          </cell>
          <cell r="Q19">
            <v>0</v>
          </cell>
          <cell r="X19">
            <v>0</v>
          </cell>
          <cell r="AC19">
            <v>6274</v>
          </cell>
          <cell r="AE19">
            <v>0</v>
          </cell>
        </row>
        <row r="20">
          <cell r="L20" t="str">
            <v>基礎回填夯實</v>
          </cell>
          <cell r="M20" t="str">
            <v>M3</v>
          </cell>
          <cell r="N20">
            <v>138</v>
          </cell>
          <cell r="O20">
            <v>71</v>
          </cell>
          <cell r="P20">
            <v>9798</v>
          </cell>
          <cell r="Q20">
            <v>0</v>
          </cell>
          <cell r="X20">
            <v>0</v>
          </cell>
          <cell r="AC20">
            <v>63227.6</v>
          </cell>
          <cell r="AE20">
            <v>0</v>
          </cell>
        </row>
        <row r="21">
          <cell r="L21" t="str">
            <v>機械打除混凝土</v>
          </cell>
          <cell r="M21" t="str">
            <v>M3</v>
          </cell>
          <cell r="N21">
            <v>53</v>
          </cell>
          <cell r="O21">
            <v>345</v>
          </cell>
          <cell r="P21">
            <v>18285</v>
          </cell>
          <cell r="Q21">
            <v>0</v>
          </cell>
          <cell r="X21">
            <v>0</v>
          </cell>
          <cell r="AC21">
            <v>0</v>
          </cell>
          <cell r="AE21">
            <v>0</v>
          </cell>
        </row>
        <row r="22">
          <cell r="L22" t="str">
            <v>廢方處理</v>
          </cell>
          <cell r="M22" t="str">
            <v>M3</v>
          </cell>
          <cell r="N22">
            <v>232</v>
          </cell>
          <cell r="O22">
            <v>40</v>
          </cell>
          <cell r="P22">
            <v>9280</v>
          </cell>
          <cell r="Q22">
            <v>0</v>
          </cell>
          <cell r="X22">
            <v>0</v>
          </cell>
          <cell r="AC22">
            <v>0</v>
          </cell>
          <cell r="AE22">
            <v>0</v>
          </cell>
        </row>
        <row r="23">
          <cell r="L23" t="str">
            <v>瀝青混凝土及舖設</v>
          </cell>
          <cell r="M23" t="str">
            <v>M3</v>
          </cell>
          <cell r="N23">
            <v>30</v>
          </cell>
          <cell r="O23">
            <v>2260</v>
          </cell>
          <cell r="P23">
            <v>67800</v>
          </cell>
          <cell r="Q23">
            <v>0</v>
          </cell>
          <cell r="X23">
            <v>0</v>
          </cell>
          <cell r="AC23">
            <v>42687</v>
          </cell>
          <cell r="AE23">
            <v>0</v>
          </cell>
        </row>
        <row r="24">
          <cell r="L24" t="str">
            <v>10cm厚碎石級配料底層舖壓</v>
          </cell>
          <cell r="M24" t="str">
            <v>M3</v>
          </cell>
          <cell r="N24">
            <v>41</v>
          </cell>
          <cell r="O24">
            <v>500</v>
          </cell>
          <cell r="P24">
            <v>20500</v>
          </cell>
          <cell r="Q24">
            <v>0</v>
          </cell>
          <cell r="X24">
            <v>0</v>
          </cell>
          <cell r="AC24">
            <v>0</v>
          </cell>
          <cell r="AE24">
            <v>0</v>
          </cell>
        </row>
        <row r="25">
          <cell r="L25" t="str">
            <v>舖設透層</v>
          </cell>
          <cell r="M25" t="str">
            <v>M2</v>
          </cell>
          <cell r="N25">
            <v>592</v>
          </cell>
          <cell r="O25">
            <v>13.7</v>
          </cell>
          <cell r="P25">
            <v>8110.4</v>
          </cell>
          <cell r="Q25">
            <v>0</v>
          </cell>
          <cell r="X25">
            <v>0</v>
          </cell>
          <cell r="AC25">
            <v>5976</v>
          </cell>
          <cell r="AE25">
            <v>0</v>
          </cell>
        </row>
        <row r="26">
          <cell r="L26" t="str">
            <v>路床滾壓</v>
          </cell>
          <cell r="M26" t="str">
            <v>M2</v>
          </cell>
          <cell r="N26">
            <v>534</v>
          </cell>
          <cell r="O26">
            <v>11</v>
          </cell>
          <cell r="P26">
            <v>5874</v>
          </cell>
          <cell r="Q26">
            <v>0</v>
          </cell>
          <cell r="X26">
            <v>0</v>
          </cell>
          <cell r="AC26">
            <v>0</v>
          </cell>
          <cell r="AE26">
            <v>0</v>
          </cell>
        </row>
        <row r="27">
          <cell r="L27" t="str">
            <v>140kg/cm2預拌混凝土</v>
          </cell>
          <cell r="M27" t="str">
            <v>M3</v>
          </cell>
          <cell r="N27">
            <v>28</v>
          </cell>
          <cell r="O27">
            <v>1520</v>
          </cell>
          <cell r="P27">
            <v>42560</v>
          </cell>
          <cell r="Q27">
            <v>0</v>
          </cell>
          <cell r="X27">
            <v>0</v>
          </cell>
          <cell r="AC27">
            <v>0</v>
          </cell>
          <cell r="AE27">
            <v>0</v>
          </cell>
        </row>
        <row r="28">
          <cell r="L28" t="str">
            <v>175kg/cm2預拌混凝土</v>
          </cell>
          <cell r="M28" t="str">
            <v>M3</v>
          </cell>
          <cell r="N28">
            <v>103</v>
          </cell>
          <cell r="O28">
            <v>1640</v>
          </cell>
          <cell r="P28">
            <v>168920</v>
          </cell>
          <cell r="Q28">
            <v>0</v>
          </cell>
          <cell r="X28" t="str">
            <v/>
          </cell>
          <cell r="AC28" t="str">
            <v/>
          </cell>
          <cell r="AE28" t="str">
            <v/>
          </cell>
        </row>
        <row r="29">
          <cell r="L29" t="str">
            <v>210kg/cm2預拌混凝土</v>
          </cell>
          <cell r="M29" t="str">
            <v>M3</v>
          </cell>
          <cell r="N29">
            <v>34</v>
          </cell>
          <cell r="O29">
            <v>1780</v>
          </cell>
          <cell r="P29">
            <v>60520</v>
          </cell>
          <cell r="Q29">
            <v>0</v>
          </cell>
          <cell r="X29" t="str">
            <v/>
          </cell>
          <cell r="AC29" t="str">
            <v/>
          </cell>
          <cell r="AE29" t="str">
            <v/>
          </cell>
        </row>
        <row r="30">
          <cell r="L30" t="str">
            <v>軀體模板</v>
          </cell>
          <cell r="M30" t="str">
            <v>M2</v>
          </cell>
          <cell r="N30">
            <v>549</v>
          </cell>
          <cell r="O30">
            <v>268</v>
          </cell>
          <cell r="P30">
            <v>147132</v>
          </cell>
          <cell r="Q30">
            <v>0</v>
          </cell>
          <cell r="X30" t="str">
            <v/>
          </cell>
          <cell r="AC30" t="str">
            <v/>
          </cell>
          <cell r="AE30" t="str">
            <v/>
          </cell>
        </row>
        <row r="31">
          <cell r="L31" t="str">
            <v>鋼筋及彎紮組立</v>
          </cell>
          <cell r="M31" t="str">
            <v>KG</v>
          </cell>
          <cell r="N31">
            <v>2620</v>
          </cell>
          <cell r="O31">
            <v>23</v>
          </cell>
          <cell r="P31">
            <v>60260</v>
          </cell>
          <cell r="Q31">
            <v>0</v>
          </cell>
          <cell r="X31" t="str">
            <v/>
          </cell>
          <cell r="AC31" t="str">
            <v/>
          </cell>
          <cell r="AE31" t="str">
            <v/>
          </cell>
        </row>
        <row r="32">
          <cell r="L32" t="str">
            <v>清潔孔熱浸鍍鋅格柵板及安裝(30cm)</v>
          </cell>
          <cell r="M32" t="str">
            <v>組</v>
          </cell>
          <cell r="N32">
            <v>5</v>
          </cell>
          <cell r="O32">
            <v>1953</v>
          </cell>
          <cell r="P32">
            <v>9765</v>
          </cell>
          <cell r="Q32">
            <v>0</v>
          </cell>
          <cell r="X32" t="str">
            <v/>
          </cell>
          <cell r="AC32" t="str">
            <v/>
          </cell>
          <cell r="AE32" t="str">
            <v/>
          </cell>
        </row>
        <row r="33">
          <cell r="L33" t="str">
            <v>清潔孔熱浸鍍鋅格柵板及安裝(40cm)</v>
          </cell>
          <cell r="M33" t="str">
            <v>組</v>
          </cell>
          <cell r="N33">
            <v>19</v>
          </cell>
          <cell r="O33">
            <v>2418</v>
          </cell>
          <cell r="P33">
            <v>45942</v>
          </cell>
          <cell r="Q33">
            <v>0</v>
          </cell>
          <cell r="X33" t="str">
            <v/>
          </cell>
          <cell r="AC33" t="str">
            <v/>
          </cell>
          <cell r="AE33" t="str">
            <v/>
          </cell>
        </row>
        <row r="34">
          <cell r="L34" t="str">
            <v>清潔孔熱浸鍍鋅格柵板及安裝(50cm)</v>
          </cell>
          <cell r="M34" t="str">
            <v>組</v>
          </cell>
          <cell r="N34">
            <v>9</v>
          </cell>
          <cell r="O34">
            <v>2875</v>
          </cell>
          <cell r="P34">
            <v>25875</v>
          </cell>
          <cell r="Q34">
            <v>0</v>
          </cell>
          <cell r="X34" t="str">
            <v/>
          </cell>
          <cell r="AC34" t="str">
            <v/>
          </cell>
          <cell r="AE34" t="str">
            <v/>
          </cell>
        </row>
        <row r="35">
          <cell r="L35" t="str">
            <v>挖土機剷除路面</v>
          </cell>
          <cell r="M35" t="str">
            <v>M3</v>
          </cell>
          <cell r="N35">
            <v>6</v>
          </cell>
          <cell r="O35">
            <v>101</v>
          </cell>
          <cell r="P35">
            <v>606</v>
          </cell>
          <cell r="Q35">
            <v>0</v>
          </cell>
          <cell r="X35" t="str">
            <v/>
          </cell>
          <cell r="AC35" t="str">
            <v/>
          </cell>
          <cell r="AE35" t="str">
            <v/>
          </cell>
        </row>
        <row r="36">
          <cell r="L36" t="str">
            <v>預置式排水器</v>
          </cell>
          <cell r="M36" t="str">
            <v>處</v>
          </cell>
          <cell r="N36">
            <v>24</v>
          </cell>
          <cell r="O36">
            <v>120</v>
          </cell>
          <cell r="P36">
            <v>2880</v>
          </cell>
          <cell r="Q36">
            <v>0</v>
          </cell>
          <cell r="X36" t="str">
            <v/>
          </cell>
          <cell r="AC36" t="str">
            <v/>
          </cell>
          <cell r="AE36" t="str">
            <v/>
          </cell>
        </row>
        <row r="37"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X37" t="str">
            <v/>
          </cell>
          <cell r="AC37" t="str">
            <v/>
          </cell>
          <cell r="AE37" t="str">
            <v/>
          </cell>
        </row>
        <row r="38"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X38" t="str">
            <v/>
          </cell>
          <cell r="AC38" t="str">
            <v/>
          </cell>
          <cell r="AE38" t="str">
            <v/>
          </cell>
        </row>
        <row r="39"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X39" t="str">
            <v/>
          </cell>
          <cell r="AC39" t="str">
            <v/>
          </cell>
          <cell r="AE39" t="str">
            <v/>
          </cell>
        </row>
        <row r="40"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X40" t="str">
            <v/>
          </cell>
          <cell r="AC40" t="str">
            <v/>
          </cell>
          <cell r="AE40" t="str">
            <v/>
          </cell>
        </row>
        <row r="41"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X41" t="str">
            <v/>
          </cell>
          <cell r="AC41" t="str">
            <v/>
          </cell>
          <cell r="AE41" t="str">
            <v/>
          </cell>
        </row>
        <row r="42"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X42" t="str">
            <v/>
          </cell>
          <cell r="AC42" t="str">
            <v/>
          </cell>
          <cell r="AE42" t="str">
            <v/>
          </cell>
        </row>
        <row r="43"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X43" t="str">
            <v/>
          </cell>
          <cell r="AC43" t="str">
            <v/>
          </cell>
          <cell r="AE43" t="str">
            <v/>
          </cell>
        </row>
        <row r="44"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X44" t="str">
            <v/>
          </cell>
          <cell r="AC44" t="str">
            <v/>
          </cell>
          <cell r="AE44" t="str">
            <v/>
          </cell>
        </row>
        <row r="45"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X45" t="str">
            <v/>
          </cell>
          <cell r="AC45" t="str">
            <v/>
          </cell>
          <cell r="AE45" t="str">
            <v/>
          </cell>
        </row>
        <row r="46"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X46" t="str">
            <v/>
          </cell>
          <cell r="AC46" t="str">
            <v/>
          </cell>
          <cell r="AE46" t="str">
            <v/>
          </cell>
        </row>
        <row r="47"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X47" t="str">
            <v/>
          </cell>
          <cell r="AC47" t="str">
            <v/>
          </cell>
          <cell r="AE47" t="str">
            <v/>
          </cell>
        </row>
        <row r="48"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X48" t="str">
            <v/>
          </cell>
          <cell r="AC48" t="str">
            <v/>
          </cell>
          <cell r="AE48" t="str">
            <v/>
          </cell>
        </row>
        <row r="49"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X49" t="str">
            <v/>
          </cell>
          <cell r="AC49" t="str">
            <v/>
          </cell>
          <cell r="AE49" t="str">
            <v/>
          </cell>
        </row>
        <row r="50"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X50" t="str">
            <v/>
          </cell>
          <cell r="AC50" t="str">
            <v/>
          </cell>
          <cell r="AE50" t="str">
            <v/>
          </cell>
        </row>
        <row r="51"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X51" t="str">
            <v/>
          </cell>
          <cell r="AC51" t="str">
            <v/>
          </cell>
          <cell r="AE51" t="str">
            <v/>
          </cell>
        </row>
        <row r="52"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X52" t="str">
            <v/>
          </cell>
          <cell r="AC52" t="str">
            <v/>
          </cell>
          <cell r="AE52" t="str">
            <v/>
          </cell>
        </row>
        <row r="53"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X53" t="str">
            <v/>
          </cell>
          <cell r="AC53" t="str">
            <v/>
          </cell>
          <cell r="AE53" t="str">
            <v/>
          </cell>
        </row>
        <row r="54"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X54" t="str">
            <v/>
          </cell>
          <cell r="AC54" t="str">
            <v/>
          </cell>
          <cell r="AE54" t="str">
            <v/>
          </cell>
        </row>
        <row r="55"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X55" t="str">
            <v/>
          </cell>
          <cell r="AC55" t="str">
            <v/>
          </cell>
          <cell r="AE55" t="str">
            <v/>
          </cell>
        </row>
        <row r="56"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X56" t="str">
            <v/>
          </cell>
          <cell r="AC56" t="str">
            <v/>
          </cell>
        </row>
        <row r="63">
          <cell r="Z63" t="str">
            <v>工  程  項  目</v>
          </cell>
          <cell r="AA63" t="str">
            <v>單位</v>
          </cell>
          <cell r="AB63" t="str">
            <v>數   量</v>
          </cell>
          <cell r="AC63" t="str">
            <v>單   價</v>
          </cell>
          <cell r="AD63" t="str">
            <v>總   價</v>
          </cell>
        </row>
        <row r="64">
          <cell r="Y64" t="str">
            <v>豐原市公所1</v>
          </cell>
          <cell r="Z64" t="str">
            <v>材料試驗費</v>
          </cell>
          <cell r="AA64" t="str">
            <v>式</v>
          </cell>
          <cell r="AB64">
            <v>1</v>
          </cell>
          <cell r="AC64">
            <v>11420</v>
          </cell>
          <cell r="AD64">
            <v>6274</v>
          </cell>
        </row>
        <row r="65">
          <cell r="Y65" t="str">
            <v>豐原市公所2</v>
          </cell>
          <cell r="Z65" t="str">
            <v>營造綜合保險費</v>
          </cell>
          <cell r="AA65" t="str">
            <v>式</v>
          </cell>
          <cell r="AB65">
            <v>1</v>
          </cell>
          <cell r="AC65">
            <v>6324</v>
          </cell>
          <cell r="AD65">
            <v>63228</v>
          </cell>
        </row>
        <row r="66">
          <cell r="Y66" t="str">
            <v>豐原市公所3</v>
          </cell>
          <cell r="Z66" t="str">
            <v>勞工安全衛生及交通維護費</v>
          </cell>
          <cell r="AA66" t="str">
            <v>式</v>
          </cell>
          <cell r="AB66">
            <v>1</v>
          </cell>
          <cell r="AC66">
            <v>23715</v>
          </cell>
          <cell r="AD66">
            <v>0</v>
          </cell>
        </row>
        <row r="67">
          <cell r="Y67" t="str">
            <v>豐原市公所4</v>
          </cell>
          <cell r="Z67" t="str">
            <v>包商利潤</v>
          </cell>
          <cell r="AA67" t="str">
            <v>式</v>
          </cell>
          <cell r="AB67">
            <v>1</v>
          </cell>
          <cell r="AC67">
            <v>39512.32</v>
          </cell>
          <cell r="AD67">
            <v>0</v>
          </cell>
        </row>
        <row r="68">
          <cell r="Y68" t="str">
            <v>豐原市公所5</v>
          </cell>
          <cell r="Z68" t="str">
            <v>稅捐</v>
          </cell>
          <cell r="AA68" t="str">
            <v>式</v>
          </cell>
          <cell r="AB68">
            <v>1</v>
          </cell>
          <cell r="AC68">
            <v>42687</v>
          </cell>
          <cell r="AD68">
            <v>42687</v>
          </cell>
        </row>
        <row r="69">
          <cell r="Y69" t="str">
            <v>豐原市公所6</v>
          </cell>
          <cell r="Z69" t="str">
            <v>合      計</v>
          </cell>
          <cell r="AD69">
            <v>1750161</v>
          </cell>
        </row>
        <row r="72">
          <cell r="Z72" t="str">
            <v>工  程  項  目</v>
          </cell>
          <cell r="AA72" t="str">
            <v>單位</v>
          </cell>
          <cell r="AB72" t="str">
            <v>數   量</v>
          </cell>
          <cell r="AC72" t="str">
            <v>單   價</v>
          </cell>
          <cell r="AD72" t="str">
            <v>總   價</v>
          </cell>
        </row>
        <row r="73">
          <cell r="Y73" t="str">
            <v>縣府土木課1</v>
          </cell>
          <cell r="Z73" t="str">
            <v>材料試驗費</v>
          </cell>
          <cell r="AA73" t="str">
            <v>式</v>
          </cell>
          <cell r="AB73">
            <v>1</v>
          </cell>
          <cell r="AC73">
            <v>11420</v>
          </cell>
          <cell r="AD73">
            <v>6274</v>
          </cell>
        </row>
        <row r="74">
          <cell r="Y74" t="str">
            <v>縣府土木課2</v>
          </cell>
          <cell r="Z74" t="str">
            <v>勞工安全衛生費</v>
          </cell>
          <cell r="AA74" t="str">
            <v>式</v>
          </cell>
          <cell r="AB74">
            <v>1</v>
          </cell>
          <cell r="AC74">
            <v>7905</v>
          </cell>
          <cell r="AD74">
            <v>63228</v>
          </cell>
        </row>
        <row r="75">
          <cell r="Y75" t="str">
            <v>縣府土木課3</v>
          </cell>
          <cell r="Z75" t="str">
            <v>包商利潤及管理費(含施工標示牌)</v>
          </cell>
          <cell r="AA75" t="str">
            <v>式</v>
          </cell>
          <cell r="AB75">
            <v>1</v>
          </cell>
          <cell r="AC75">
            <v>63227.6</v>
          </cell>
          <cell r="AD75">
            <v>0</v>
          </cell>
        </row>
        <row r="76">
          <cell r="Y76" t="str">
            <v>縣府土木課4</v>
          </cell>
          <cell r="Z76" t="str">
            <v>加值營業稅</v>
          </cell>
          <cell r="AA76" t="str">
            <v>式</v>
          </cell>
          <cell r="AB76">
            <v>1</v>
          </cell>
          <cell r="AC76">
            <v>42687</v>
          </cell>
          <cell r="AD76">
            <v>0</v>
          </cell>
        </row>
        <row r="77">
          <cell r="Y77" t="str">
            <v>縣府土木課5</v>
          </cell>
          <cell r="Z77" t="str">
            <v>合      計</v>
          </cell>
          <cell r="AD77">
            <v>1707474</v>
          </cell>
        </row>
        <row r="81">
          <cell r="Z81" t="str">
            <v>工  程  項  目</v>
          </cell>
          <cell r="AA81" t="str">
            <v>單位</v>
          </cell>
          <cell r="AB81" t="str">
            <v>數   量</v>
          </cell>
          <cell r="AC81" t="str">
            <v>單   價</v>
          </cell>
          <cell r="AD81" t="str">
            <v>總   價</v>
          </cell>
        </row>
        <row r="82">
          <cell r="Y82" t="str">
            <v>大肚鄉公所1</v>
          </cell>
          <cell r="Z82" t="str">
            <v>材料試驗費</v>
          </cell>
          <cell r="AA82" t="str">
            <v>式</v>
          </cell>
          <cell r="AB82">
            <v>1</v>
          </cell>
          <cell r="AC82">
            <v>11420</v>
          </cell>
          <cell r="AD82">
            <v>6274</v>
          </cell>
          <cell r="AU82" t="str">
            <v>豐原市公所</v>
          </cell>
          <cell r="AV82" t="str">
            <v>項次</v>
          </cell>
          <cell r="AW82" t="str">
            <v>工程項目</v>
          </cell>
          <cell r="AX82" t="str">
            <v>單位</v>
          </cell>
          <cell r="AY82" t="str">
            <v>數   量</v>
          </cell>
          <cell r="AZ82" t="str">
            <v>單   價</v>
          </cell>
          <cell r="BA82" t="str">
            <v>總   價</v>
          </cell>
          <cell r="BB82" t="str">
            <v>附   註</v>
          </cell>
          <cell r="BD82" t="str">
            <v>項次</v>
          </cell>
          <cell r="BE82" t="str">
            <v>工程項目</v>
          </cell>
          <cell r="BF82" t="str">
            <v>單位</v>
          </cell>
          <cell r="BG82" t="str">
            <v>數   量</v>
          </cell>
          <cell r="BH82" t="str">
            <v>單   價</v>
          </cell>
          <cell r="BI82" t="str">
            <v>總   價</v>
          </cell>
          <cell r="BJ82" t="str">
            <v>附   註</v>
          </cell>
        </row>
        <row r="83">
          <cell r="Y83" t="str">
            <v>大肚鄉公所2</v>
          </cell>
          <cell r="Z83" t="str">
            <v>勞工安全衛生管理費(約0.8%)</v>
          </cell>
          <cell r="AA83" t="str">
            <v>式</v>
          </cell>
          <cell r="AB83">
            <v>1</v>
          </cell>
          <cell r="AC83">
            <v>6324</v>
          </cell>
          <cell r="AD83">
            <v>63228</v>
          </cell>
          <cell r="AU83" t="str">
            <v>豐原市公所1</v>
          </cell>
        </row>
        <row r="84">
          <cell r="Y84" t="str">
            <v>大肚鄉公所3</v>
          </cell>
          <cell r="Z84" t="str">
            <v>包商利潤(約8%)</v>
          </cell>
          <cell r="AA84" t="str">
            <v>式</v>
          </cell>
          <cell r="AB84">
            <v>1</v>
          </cell>
          <cell r="AC84">
            <v>68285.810000000012</v>
          </cell>
          <cell r="AD84">
            <v>0</v>
          </cell>
          <cell r="AU84" t="str">
            <v>豐原市公所2</v>
          </cell>
          <cell r="AV84">
            <v>1</v>
          </cell>
          <cell r="AW84" t="str">
            <v>發 包 工 程 費</v>
          </cell>
          <cell r="AX84" t="str">
            <v>式</v>
          </cell>
          <cell r="AY84">
            <v>1</v>
          </cell>
          <cell r="AZ84" t="str">
            <v xml:space="preserve">---------   </v>
          </cell>
          <cell r="BA84">
            <v>1750161</v>
          </cell>
          <cell r="BD84">
            <v>1</v>
          </cell>
          <cell r="BE84" t="str">
            <v>發 包 工 程 費</v>
          </cell>
          <cell r="BF84" t="str">
            <v>式</v>
          </cell>
          <cell r="BG84">
            <v>1</v>
          </cell>
          <cell r="BH84" t="str">
            <v xml:space="preserve">---------   </v>
          </cell>
          <cell r="BI84">
            <v>1750161</v>
          </cell>
        </row>
        <row r="85">
          <cell r="Y85" t="str">
            <v>大肚鄉公所4</v>
          </cell>
          <cell r="Z85" t="str">
            <v>小      計</v>
          </cell>
          <cell r="AD85">
            <v>1707474</v>
          </cell>
          <cell r="AU85" t="str">
            <v>豐原市公所3</v>
          </cell>
        </row>
        <row r="86">
          <cell r="Y86" t="str">
            <v>大肚鄉公所5</v>
          </cell>
          <cell r="Z86" t="str">
            <v>營造綜合保險費(約1.0%)</v>
          </cell>
          <cell r="AA86" t="str">
            <v>式</v>
          </cell>
          <cell r="AB86">
            <v>1</v>
          </cell>
          <cell r="AC86">
            <v>8537</v>
          </cell>
          <cell r="AD86">
            <v>42687</v>
          </cell>
          <cell r="AU86" t="str">
            <v>豐原市公所4</v>
          </cell>
        </row>
        <row r="87">
          <cell r="Y87" t="str">
            <v>大肚鄉公所6</v>
          </cell>
          <cell r="Z87" t="str">
            <v>稅捐(約5%)</v>
          </cell>
          <cell r="AA87" t="str">
            <v>式</v>
          </cell>
          <cell r="AB87">
            <v>1</v>
          </cell>
          <cell r="AC87">
            <v>44821</v>
          </cell>
          <cell r="AD87">
            <v>0</v>
          </cell>
          <cell r="AU87" t="str">
            <v>豐原市公所5</v>
          </cell>
          <cell r="AV87">
            <v>2</v>
          </cell>
          <cell r="AW87" t="str">
            <v>工 程 管 理 費</v>
          </cell>
          <cell r="AX87" t="str">
            <v>式</v>
          </cell>
          <cell r="AY87">
            <v>1</v>
          </cell>
          <cell r="AZ87" t="str">
            <v xml:space="preserve">---------   </v>
          </cell>
          <cell r="BA87">
            <v>49134</v>
          </cell>
          <cell r="BD87">
            <v>2</v>
          </cell>
          <cell r="BE87" t="str">
            <v>工 程 管 理 費</v>
          </cell>
          <cell r="BF87" t="str">
            <v>式</v>
          </cell>
          <cell r="BG87">
            <v>1</v>
          </cell>
          <cell r="BH87" t="str">
            <v xml:space="preserve">---------   </v>
          </cell>
          <cell r="BI87">
            <v>49134</v>
          </cell>
        </row>
        <row r="88">
          <cell r="Y88" t="str">
            <v>大肚鄉公所7</v>
          </cell>
          <cell r="Z88" t="str">
            <v>合            計</v>
          </cell>
          <cell r="AD88">
            <v>42687</v>
          </cell>
          <cell r="AU88" t="str">
            <v>豐原市公所6</v>
          </cell>
          <cell r="AW88" t="str">
            <v>500萬元以下3%</v>
          </cell>
          <cell r="BE88" t="str">
            <v>500萬元以下3%</v>
          </cell>
        </row>
        <row r="89">
          <cell r="AU89" t="str">
            <v>豐原市公所7</v>
          </cell>
          <cell r="AW89">
            <v>0</v>
          </cell>
          <cell r="BE89">
            <v>0</v>
          </cell>
        </row>
        <row r="90">
          <cell r="AU90" t="str">
            <v>豐原市公所8</v>
          </cell>
        </row>
        <row r="91">
          <cell r="Z91" t="str">
            <v>工  程  項  目</v>
          </cell>
          <cell r="AA91" t="str">
            <v>單位</v>
          </cell>
          <cell r="AB91" t="str">
            <v>數   量</v>
          </cell>
          <cell r="AC91" t="str">
            <v>單   價</v>
          </cell>
          <cell r="AD91" t="str">
            <v>總   價</v>
          </cell>
          <cell r="AU91" t="str">
            <v>豐原市公所9</v>
          </cell>
        </row>
        <row r="92">
          <cell r="Y92" t="str">
            <v>太平市公所1</v>
          </cell>
          <cell r="Z92" t="str">
            <v>勞工安全衛生費(約0.8%)</v>
          </cell>
          <cell r="AA92" t="str">
            <v>式</v>
          </cell>
          <cell r="AB92">
            <v>1</v>
          </cell>
          <cell r="AC92">
            <v>6274</v>
          </cell>
          <cell r="AD92">
            <v>6274</v>
          </cell>
          <cell r="AU92" t="str">
            <v>豐原市公所10</v>
          </cell>
          <cell r="AV92">
            <v>3</v>
          </cell>
          <cell r="AW92" t="str">
            <v>委  託  技  術  服  務  費</v>
          </cell>
          <cell r="AX92" t="str">
            <v>式</v>
          </cell>
          <cell r="AY92">
            <v>1</v>
          </cell>
          <cell r="AZ92" t="str">
            <v xml:space="preserve">---------   </v>
          </cell>
          <cell r="BA92">
            <v>111809</v>
          </cell>
          <cell r="BD92">
            <v>3</v>
          </cell>
          <cell r="BE92" t="str">
            <v>空 氣 污 染 防 制 費</v>
          </cell>
          <cell r="BF92" t="str">
            <v>式</v>
          </cell>
          <cell r="BG92">
            <v>1</v>
          </cell>
          <cell r="BH92" t="str">
            <v xml:space="preserve">---------   </v>
          </cell>
          <cell r="BI92">
            <v>2707</v>
          </cell>
        </row>
        <row r="93">
          <cell r="Y93" t="str">
            <v>太平市公所2</v>
          </cell>
          <cell r="Z93" t="str">
            <v>交通安全維護費(約0.8%)</v>
          </cell>
          <cell r="AA93" t="str">
            <v>式</v>
          </cell>
          <cell r="AB93">
            <v>1</v>
          </cell>
          <cell r="AC93">
            <v>6274</v>
          </cell>
          <cell r="AD93">
            <v>63228</v>
          </cell>
          <cell r="AU93" t="str">
            <v>豐原市公所11</v>
          </cell>
          <cell r="AW93" t="str">
            <v>1000萬元以下6.8%</v>
          </cell>
          <cell r="BE93" t="str">
            <v>(0.3%*發包工程費)</v>
          </cell>
          <cell r="BH93" t="str">
            <v xml:space="preserve"> </v>
          </cell>
        </row>
        <row r="94">
          <cell r="Y94" t="str">
            <v>太平市公所3</v>
          </cell>
          <cell r="Z94" t="str">
            <v>環境清潔衛生維護費(約0.6%)</v>
          </cell>
          <cell r="AA94" t="str">
            <v>式</v>
          </cell>
          <cell r="AB94">
            <v>1</v>
          </cell>
          <cell r="AC94">
            <v>4705</v>
          </cell>
          <cell r="AD94">
            <v>0</v>
          </cell>
          <cell r="AU94" t="str">
            <v>豐原市公所12</v>
          </cell>
          <cell r="AW94">
            <v>0</v>
          </cell>
          <cell r="BE94">
            <v>0</v>
          </cell>
        </row>
        <row r="95">
          <cell r="Y95" t="str">
            <v>太平市公所4</v>
          </cell>
          <cell r="Z95" t="str">
            <v>材料品質試驗費(約0.6%)</v>
          </cell>
          <cell r="AA95" t="str">
            <v>式</v>
          </cell>
          <cell r="AB95">
            <v>1</v>
          </cell>
          <cell r="AC95">
            <v>4705</v>
          </cell>
          <cell r="AD95">
            <v>0</v>
          </cell>
          <cell r="AU95" t="str">
            <v>豐原市公所13</v>
          </cell>
        </row>
        <row r="96">
          <cell r="Y96" t="str">
            <v>太平市公所5</v>
          </cell>
          <cell r="Z96" t="str">
            <v>營造綜合保險費(約0.6%)</v>
          </cell>
          <cell r="AA96" t="str">
            <v>式</v>
          </cell>
          <cell r="AB96">
            <v>1</v>
          </cell>
          <cell r="AC96">
            <v>4705</v>
          </cell>
          <cell r="AD96">
            <v>42687</v>
          </cell>
          <cell r="AU96" t="str">
            <v>豐原市公所14</v>
          </cell>
        </row>
        <row r="97">
          <cell r="Y97" t="str">
            <v>太平市公所6</v>
          </cell>
          <cell r="Z97" t="str">
            <v>包商利潤費(約7%)</v>
          </cell>
          <cell r="AA97" t="str">
            <v>式</v>
          </cell>
          <cell r="AB97">
            <v>1</v>
          </cell>
          <cell r="AC97">
            <v>54883.33</v>
          </cell>
          <cell r="AD97">
            <v>0</v>
          </cell>
          <cell r="AU97" t="str">
            <v>豐原市公所15</v>
          </cell>
          <cell r="AV97">
            <v>4</v>
          </cell>
          <cell r="AW97" t="str">
            <v>空 氣 污 染 防 制 費</v>
          </cell>
          <cell r="AX97" t="str">
            <v>式</v>
          </cell>
          <cell r="AY97">
            <v>1</v>
          </cell>
          <cell r="AZ97" t="str">
            <v xml:space="preserve">---------   </v>
          </cell>
          <cell r="BA97">
            <v>2707</v>
          </cell>
        </row>
        <row r="98">
          <cell r="Y98" t="str">
            <v>太平市公所7</v>
          </cell>
          <cell r="Z98" t="str">
            <v>加值營業稅(約5%)</v>
          </cell>
          <cell r="AA98" t="str">
            <v>式</v>
          </cell>
          <cell r="AB98">
            <v>1</v>
          </cell>
          <cell r="AC98">
            <v>44821</v>
          </cell>
          <cell r="AD98">
            <v>5976</v>
          </cell>
          <cell r="AU98" t="str">
            <v>豐原市公所16</v>
          </cell>
          <cell r="AW98" t="str">
            <v>(0.3%*發包工程費)</v>
          </cell>
          <cell r="AZ98" t="str">
            <v xml:space="preserve"> </v>
          </cell>
        </row>
        <row r="99">
          <cell r="Y99" t="str">
            <v>太平市公所8</v>
          </cell>
          <cell r="Z99" t="str">
            <v>小      計</v>
          </cell>
          <cell r="AD99">
            <v>1756137</v>
          </cell>
          <cell r="AU99" t="str">
            <v>豐原市公所17</v>
          </cell>
        </row>
        <row r="100">
          <cell r="AU100" t="str">
            <v>豐原市公所18</v>
          </cell>
        </row>
        <row r="101">
          <cell r="AU101" t="str">
            <v>豐原市公所19</v>
          </cell>
          <cell r="BE101" t="str">
            <v>合計</v>
          </cell>
          <cell r="BI101">
            <v>1802002</v>
          </cell>
        </row>
        <row r="102">
          <cell r="Z102" t="str">
            <v>工  程  項  目</v>
          </cell>
          <cell r="AA102" t="str">
            <v>單位</v>
          </cell>
          <cell r="AB102" t="str">
            <v>數   量</v>
          </cell>
          <cell r="AC102" t="str">
            <v>單   價</v>
          </cell>
          <cell r="AD102" t="str">
            <v>總   價</v>
          </cell>
          <cell r="AU102" t="str">
            <v>豐原市公所20</v>
          </cell>
        </row>
        <row r="103">
          <cell r="Y103" t="str">
            <v>石岡鄉公所1</v>
          </cell>
          <cell r="Z103" t="str">
            <v>材料試驗費</v>
          </cell>
          <cell r="AA103" t="str">
            <v>式</v>
          </cell>
          <cell r="AB103">
            <v>1</v>
          </cell>
          <cell r="AC103">
            <v>11420</v>
          </cell>
          <cell r="AD103">
            <v>6274</v>
          </cell>
          <cell r="AU103" t="str">
            <v>豐原市公所21</v>
          </cell>
        </row>
        <row r="104">
          <cell r="Y104" t="str">
            <v>石岡鄉公所2</v>
          </cell>
          <cell r="Z104" t="str">
            <v>勞工安全衛生費</v>
          </cell>
          <cell r="AA104" t="str">
            <v>式</v>
          </cell>
          <cell r="AB104">
            <v>1</v>
          </cell>
          <cell r="AC104">
            <v>7905</v>
          </cell>
          <cell r="AD104">
            <v>63228</v>
          </cell>
          <cell r="AU104" t="str">
            <v>豐原市公所22</v>
          </cell>
        </row>
        <row r="105">
          <cell r="Y105" t="str">
            <v>石岡鄉公所3</v>
          </cell>
          <cell r="Z105" t="str">
            <v>營造綜合保險費</v>
          </cell>
          <cell r="AA105" t="str">
            <v>式</v>
          </cell>
          <cell r="AB105">
            <v>1</v>
          </cell>
          <cell r="AC105">
            <v>4269</v>
          </cell>
          <cell r="AD105">
            <v>0</v>
          </cell>
          <cell r="AU105" t="str">
            <v>豐原市公所23</v>
          </cell>
          <cell r="AW105" t="str">
            <v>合計</v>
          </cell>
          <cell r="BA105">
            <v>1913811</v>
          </cell>
        </row>
        <row r="106">
          <cell r="Y106" t="str">
            <v>石岡鄉公所4</v>
          </cell>
          <cell r="Z106" t="str">
            <v>包商利潤及管理費</v>
          </cell>
          <cell r="AA106" t="str">
            <v>式</v>
          </cell>
          <cell r="AB106">
            <v>1</v>
          </cell>
          <cell r="AC106">
            <v>68285.810000000012</v>
          </cell>
          <cell r="AD106">
            <v>0</v>
          </cell>
          <cell r="AU106" t="str">
            <v>豐原市公所24</v>
          </cell>
        </row>
        <row r="107">
          <cell r="Y107" t="str">
            <v>石岡鄉公所5</v>
          </cell>
          <cell r="Z107" t="str">
            <v>加值營業稅</v>
          </cell>
          <cell r="AA107" t="str">
            <v>式</v>
          </cell>
          <cell r="AB107">
            <v>1</v>
          </cell>
          <cell r="AC107">
            <v>42687</v>
          </cell>
          <cell r="AD107">
            <v>42687</v>
          </cell>
          <cell r="AU107" t="str">
            <v>豐原市公所25</v>
          </cell>
        </row>
        <row r="108">
          <cell r="Y108" t="str">
            <v>石岡鄉公所6</v>
          </cell>
          <cell r="Z108" t="str">
            <v>合      計</v>
          </cell>
          <cell r="AD108">
            <v>1750161</v>
          </cell>
          <cell r="AU108" t="str">
            <v>豐原市公所26</v>
          </cell>
        </row>
        <row r="109">
          <cell r="AU109" t="str">
            <v>豐原市公所27</v>
          </cell>
        </row>
        <row r="110">
          <cell r="AU110" t="str">
            <v>豐原市公所28</v>
          </cell>
        </row>
        <row r="111">
          <cell r="Z111" t="str">
            <v>工  程  項  目</v>
          </cell>
          <cell r="AA111" t="str">
            <v>單位</v>
          </cell>
          <cell r="AB111" t="str">
            <v>數   量</v>
          </cell>
          <cell r="AC111" t="str">
            <v>單   價</v>
          </cell>
          <cell r="AD111" t="str">
            <v>總   價</v>
          </cell>
          <cell r="AU111" t="str">
            <v>豐原市公所29</v>
          </cell>
        </row>
        <row r="112">
          <cell r="Y112" t="str">
            <v>霧峰鄉公所1</v>
          </cell>
          <cell r="Z112" t="str">
            <v>材料試驗費</v>
          </cell>
          <cell r="AA112" t="str">
            <v>式</v>
          </cell>
          <cell r="AB112">
            <v>1</v>
          </cell>
          <cell r="AC112">
            <v>11420</v>
          </cell>
          <cell r="AD112">
            <v>6274</v>
          </cell>
          <cell r="AU112" t="str">
            <v>豐原市公所30</v>
          </cell>
        </row>
        <row r="113">
          <cell r="Y113" t="str">
            <v>霧峰鄉公所2</v>
          </cell>
          <cell r="Z113" t="str">
            <v>營造綜合保險費(約1.0%)</v>
          </cell>
          <cell r="AA113" t="str">
            <v>式</v>
          </cell>
          <cell r="AB113">
            <v>1</v>
          </cell>
          <cell r="AC113">
            <v>7905</v>
          </cell>
          <cell r="AD113">
            <v>63228</v>
          </cell>
          <cell r="AU113" t="str">
            <v>豐原市公所31</v>
          </cell>
        </row>
        <row r="114">
          <cell r="Y114" t="str">
            <v>霧峰鄉公所3</v>
          </cell>
          <cell r="Z114" t="str">
            <v>勞工安全衛生管理費(約1.0%)</v>
          </cell>
          <cell r="AA114" t="str">
            <v>式</v>
          </cell>
          <cell r="AB114">
            <v>1</v>
          </cell>
          <cell r="AC114">
            <v>7905</v>
          </cell>
          <cell r="AD114">
            <v>0</v>
          </cell>
          <cell r="AU114" t="str">
            <v>豐原市公所32</v>
          </cell>
        </row>
        <row r="115">
          <cell r="Y115" t="str">
            <v>霧峰鄉公所4</v>
          </cell>
          <cell r="Z115" t="str">
            <v>包商利潤(約8%)</v>
          </cell>
          <cell r="AA115" t="str">
            <v>式</v>
          </cell>
          <cell r="AB115">
            <v>1</v>
          </cell>
          <cell r="AC115">
            <v>63227.6</v>
          </cell>
          <cell r="AD115">
            <v>0</v>
          </cell>
          <cell r="AU115" t="str">
            <v>豐原市公所33</v>
          </cell>
        </row>
        <row r="116">
          <cell r="Y116" t="str">
            <v>霧峰鄉公所5</v>
          </cell>
          <cell r="Z116" t="str">
            <v>營業稅(約5%)</v>
          </cell>
          <cell r="AA116" t="str">
            <v>式</v>
          </cell>
          <cell r="AB116">
            <v>1</v>
          </cell>
          <cell r="AC116">
            <v>43477</v>
          </cell>
          <cell r="AD116">
            <v>42687</v>
          </cell>
          <cell r="AU116" t="str">
            <v>豐原市公所34</v>
          </cell>
        </row>
        <row r="117">
          <cell r="Y117" t="str">
            <v>霧峰鄉公所6</v>
          </cell>
          <cell r="Z117" t="str">
            <v>小計</v>
          </cell>
          <cell r="AD117">
            <v>1750161</v>
          </cell>
          <cell r="AU117" t="str">
            <v>豐原市公所35</v>
          </cell>
        </row>
        <row r="118">
          <cell r="Y118" t="str">
            <v>霧峰鄉公所7</v>
          </cell>
          <cell r="AU118" t="str">
            <v>豐原市公所36</v>
          </cell>
        </row>
        <row r="119">
          <cell r="Y119" t="str">
            <v>霧峰鄉公所8</v>
          </cell>
          <cell r="Z119" t="str">
            <v>工程管理費(3%)</v>
          </cell>
          <cell r="AA119" t="str">
            <v>式</v>
          </cell>
          <cell r="AB119">
            <v>1</v>
          </cell>
          <cell r="AD119">
            <v>49134</v>
          </cell>
          <cell r="AU119" t="str">
            <v>豐原市公所37</v>
          </cell>
        </row>
        <row r="120">
          <cell r="Y120" t="str">
            <v>霧峰鄉公所9</v>
          </cell>
          <cell r="AU120" t="str">
            <v>豐原市公所38</v>
          </cell>
        </row>
        <row r="121">
          <cell r="Y121" t="str">
            <v>霧峰鄉公所10</v>
          </cell>
          <cell r="Z121" t="str">
            <v>委託技術服務費(6.8%)</v>
          </cell>
          <cell r="AA121" t="str">
            <v>式</v>
          </cell>
          <cell r="AB121">
            <v>1</v>
          </cell>
          <cell r="AD121">
            <v>111809</v>
          </cell>
          <cell r="AU121" t="str">
            <v>豐原市公所39</v>
          </cell>
        </row>
        <row r="122">
          <cell r="Y122" t="str">
            <v>霧峰鄉公所11</v>
          </cell>
          <cell r="AU122" t="str">
            <v>豐原市公所40</v>
          </cell>
          <cell r="AV122" t="str">
            <v xml:space="preserve">     本工程預算總額計新台幣</v>
          </cell>
          <cell r="BA122" t="str">
            <v>壹佰玖拾壹萬參仟捌佰壹拾壹元整</v>
          </cell>
          <cell r="BD122" t="str">
            <v xml:space="preserve">     本工程預算總額計新台幣</v>
          </cell>
          <cell r="BI122" t="str">
            <v>壹佰捌拾萬貳仟零貳元整</v>
          </cell>
        </row>
        <row r="123">
          <cell r="Y123" t="str">
            <v>霧峰鄉公所12</v>
          </cell>
          <cell r="Z123" t="str">
            <v>空氣污染防制費</v>
          </cell>
          <cell r="AA123" t="str">
            <v>式</v>
          </cell>
          <cell r="AB123">
            <v>1</v>
          </cell>
          <cell r="AD123">
            <v>2707</v>
          </cell>
        </row>
        <row r="124">
          <cell r="Y124" t="str">
            <v>霧峰鄉公所13</v>
          </cell>
          <cell r="Z124" t="str">
            <v>(0.3%*發包工程費)</v>
          </cell>
          <cell r="AU124" t="str">
            <v>縣府土木課</v>
          </cell>
          <cell r="AV124" t="str">
            <v>項次</v>
          </cell>
          <cell r="AW124" t="str">
            <v>工程項目</v>
          </cell>
          <cell r="AX124" t="str">
            <v>單位</v>
          </cell>
          <cell r="AY124" t="str">
            <v>數   量</v>
          </cell>
          <cell r="AZ124" t="str">
            <v>單   價</v>
          </cell>
          <cell r="BA124" t="str">
            <v>總   價</v>
          </cell>
          <cell r="BB124" t="str">
            <v>附   註</v>
          </cell>
          <cell r="BD124" t="str">
            <v>項次</v>
          </cell>
          <cell r="BE124" t="str">
            <v>工程項目</v>
          </cell>
          <cell r="BF124" t="str">
            <v>單位</v>
          </cell>
          <cell r="BG124" t="str">
            <v>數   量</v>
          </cell>
          <cell r="BH124" t="str">
            <v>單   價</v>
          </cell>
          <cell r="BI124" t="str">
            <v>總   價</v>
          </cell>
          <cell r="BJ124" t="str">
            <v>附   註</v>
          </cell>
        </row>
        <row r="125">
          <cell r="Y125" t="str">
            <v>霧峰鄉公所14</v>
          </cell>
          <cell r="AU125" t="str">
            <v>縣府土木課1</v>
          </cell>
        </row>
        <row r="126">
          <cell r="Y126" t="str">
            <v>霧峰鄉公所15</v>
          </cell>
          <cell r="Z126" t="str">
            <v>總    計</v>
          </cell>
          <cell r="AD126">
            <v>908376</v>
          </cell>
          <cell r="AU126" t="str">
            <v>縣府土木課2</v>
          </cell>
          <cell r="AV126">
            <v>1</v>
          </cell>
          <cell r="AW126" t="str">
            <v>發包工程費</v>
          </cell>
          <cell r="AX126" t="str">
            <v>式</v>
          </cell>
          <cell r="AY126">
            <v>1</v>
          </cell>
          <cell r="AZ126" t="str">
            <v xml:space="preserve">---------   </v>
          </cell>
          <cell r="BA126">
            <v>1707474</v>
          </cell>
          <cell r="BD126">
            <v>1</v>
          </cell>
          <cell r="BE126" t="str">
            <v>發包工程費</v>
          </cell>
          <cell r="BF126" t="str">
            <v>式</v>
          </cell>
          <cell r="BG126">
            <v>1</v>
          </cell>
          <cell r="BH126" t="str">
            <v xml:space="preserve">---------   </v>
          </cell>
          <cell r="BI126">
            <v>1707474</v>
          </cell>
        </row>
        <row r="127">
          <cell r="AU127" t="str">
            <v>縣府土木課3</v>
          </cell>
        </row>
        <row r="128">
          <cell r="AU128" t="str">
            <v>縣府土木課4</v>
          </cell>
        </row>
        <row r="129">
          <cell r="Z129" t="str">
            <v>工  程  項  目</v>
          </cell>
          <cell r="AA129" t="str">
            <v>單位</v>
          </cell>
          <cell r="AB129" t="str">
            <v>數   量</v>
          </cell>
          <cell r="AC129" t="str">
            <v>單   價</v>
          </cell>
          <cell r="AD129" t="str">
            <v>總   價</v>
          </cell>
          <cell r="AU129" t="str">
            <v>縣府土木課5</v>
          </cell>
          <cell r="AV129">
            <v>2</v>
          </cell>
          <cell r="AW129" t="str">
            <v>工程管理費</v>
          </cell>
          <cell r="AX129" t="str">
            <v>式</v>
          </cell>
          <cell r="AY129">
            <v>1</v>
          </cell>
          <cell r="AZ129" t="str">
            <v xml:space="preserve">---------   </v>
          </cell>
          <cell r="BA129">
            <v>51031</v>
          </cell>
          <cell r="BD129">
            <v>2</v>
          </cell>
          <cell r="BE129" t="str">
            <v>工程管理費</v>
          </cell>
          <cell r="BF129" t="str">
            <v>式</v>
          </cell>
          <cell r="BG129">
            <v>1</v>
          </cell>
          <cell r="BH129" t="str">
            <v xml:space="preserve">---------   </v>
          </cell>
          <cell r="BI129">
            <v>51031</v>
          </cell>
        </row>
        <row r="130">
          <cell r="Y130" t="str">
            <v>龍井鄉公所1</v>
          </cell>
          <cell r="Z130" t="str">
            <v>勞工安全衛生管理費(約0.8%)</v>
          </cell>
          <cell r="AA130" t="str">
            <v>式</v>
          </cell>
          <cell r="AB130">
            <v>1</v>
          </cell>
          <cell r="AC130">
            <v>6274</v>
          </cell>
          <cell r="AD130">
            <v>6274</v>
          </cell>
          <cell r="AE130">
            <v>0</v>
          </cell>
          <cell r="AU130" t="str">
            <v>縣府土木課6</v>
          </cell>
          <cell r="AW130" t="str">
            <v>500萬元以下3%</v>
          </cell>
          <cell r="BE130" t="str">
            <v>500萬元以下3%</v>
          </cell>
        </row>
        <row r="131">
          <cell r="Y131" t="str">
            <v>龍井鄉公所2</v>
          </cell>
          <cell r="Z131" t="str">
            <v>包商利潤(約8%)</v>
          </cell>
          <cell r="AA131" t="str">
            <v>式</v>
          </cell>
          <cell r="AB131">
            <v>1</v>
          </cell>
          <cell r="AC131">
            <v>63227.6</v>
          </cell>
          <cell r="AD131">
            <v>63227.6</v>
          </cell>
          <cell r="AE131">
            <v>0</v>
          </cell>
          <cell r="AU131" t="str">
            <v>縣府土木課7</v>
          </cell>
          <cell r="AW131">
            <v>0</v>
          </cell>
          <cell r="BE131">
            <v>0</v>
          </cell>
        </row>
        <row r="132">
          <cell r="Y132" t="str">
            <v>龍井鄉公所3</v>
          </cell>
          <cell r="Z132" t="str">
            <v>小      計</v>
          </cell>
          <cell r="AD132">
            <v>853737</v>
          </cell>
          <cell r="AE132">
            <v>0</v>
          </cell>
          <cell r="AU132" t="str">
            <v>縣府土木課8</v>
          </cell>
        </row>
        <row r="133">
          <cell r="Y133" t="str">
            <v>龍井鄉公所4</v>
          </cell>
          <cell r="AU133" t="str">
            <v>縣府土木課9</v>
          </cell>
        </row>
        <row r="134">
          <cell r="Y134" t="str">
            <v>龍井鄉公所5</v>
          </cell>
          <cell r="Z134" t="str">
            <v>稅捐(約5%)</v>
          </cell>
          <cell r="AA134" t="str">
            <v>式</v>
          </cell>
          <cell r="AB134">
            <v>1</v>
          </cell>
          <cell r="AC134">
            <v>42687</v>
          </cell>
          <cell r="AD134">
            <v>42687</v>
          </cell>
          <cell r="AE134">
            <v>0</v>
          </cell>
          <cell r="AU134" t="str">
            <v>縣府土木課10</v>
          </cell>
          <cell r="AV134">
            <v>3</v>
          </cell>
          <cell r="AW134" t="str">
            <v>委託技術服務費</v>
          </cell>
          <cell r="AX134" t="str">
            <v>式</v>
          </cell>
          <cell r="AY134">
            <v>1</v>
          </cell>
          <cell r="AZ134" t="str">
            <v xml:space="preserve">---------   </v>
          </cell>
          <cell r="BA134">
            <v>116108</v>
          </cell>
          <cell r="BD134">
            <v>3</v>
          </cell>
          <cell r="BE134" t="str">
            <v>空氣污染防制費</v>
          </cell>
          <cell r="BF134" t="str">
            <v>式</v>
          </cell>
          <cell r="BG134">
            <v>1</v>
          </cell>
          <cell r="BH134" t="str">
            <v xml:space="preserve">---------   </v>
          </cell>
          <cell r="BI134">
            <v>2707</v>
          </cell>
        </row>
        <row r="135">
          <cell r="Y135" t="str">
            <v>龍井鄉公所6</v>
          </cell>
          <cell r="AU135" t="str">
            <v>縣府土木課11</v>
          </cell>
          <cell r="AW135" t="str">
            <v>1000萬元以下6.8%</v>
          </cell>
          <cell r="BE135" t="str">
            <v>(0.3%*發包工程費)</v>
          </cell>
        </row>
        <row r="136">
          <cell r="Y136" t="str">
            <v>龍井鄉公所7</v>
          </cell>
          <cell r="Z136" t="str">
            <v>營造綜合保險費(約0.7%)</v>
          </cell>
          <cell r="AA136" t="str">
            <v>式</v>
          </cell>
          <cell r="AB136">
            <v>1</v>
          </cell>
          <cell r="AC136">
            <v>5976</v>
          </cell>
          <cell r="AD136">
            <v>5976</v>
          </cell>
          <cell r="AE136">
            <v>0</v>
          </cell>
          <cell r="AU136" t="str">
            <v>縣府土木課12</v>
          </cell>
          <cell r="AW136">
            <v>0</v>
          </cell>
        </row>
        <row r="137">
          <cell r="Y137" t="str">
            <v>龍井鄉公所8</v>
          </cell>
          <cell r="AU137" t="str">
            <v>縣府土木課13</v>
          </cell>
        </row>
        <row r="138">
          <cell r="Y138" t="str">
            <v>龍井鄉公所9</v>
          </cell>
          <cell r="Z138" t="str">
            <v>合      計</v>
          </cell>
          <cell r="AB138">
            <v>1</v>
          </cell>
          <cell r="AD138">
            <v>902400</v>
          </cell>
          <cell r="AE138">
            <v>0</v>
          </cell>
          <cell r="AU138" t="str">
            <v>縣府土木課14</v>
          </cell>
          <cell r="BE138" t="str">
            <v>總計</v>
          </cell>
          <cell r="BI138">
            <v>1761212</v>
          </cell>
        </row>
        <row r="139">
          <cell r="AU139" t="str">
            <v>縣府土木課15</v>
          </cell>
          <cell r="AV139">
            <v>4</v>
          </cell>
          <cell r="AW139" t="str">
            <v>空氣污染防制費</v>
          </cell>
          <cell r="AX139" t="str">
            <v>式</v>
          </cell>
          <cell r="AY139">
            <v>1</v>
          </cell>
          <cell r="AZ139" t="str">
            <v xml:space="preserve">---------   </v>
          </cell>
          <cell r="BA139">
            <v>2707</v>
          </cell>
        </row>
        <row r="140">
          <cell r="AU140" t="str">
            <v>縣府土木課16</v>
          </cell>
          <cell r="AW140" t="str">
            <v>(0.3%*發包工程費)</v>
          </cell>
        </row>
        <row r="141">
          <cell r="Z141" t="str">
            <v>工  程  項  目</v>
          </cell>
          <cell r="AA141" t="str">
            <v>單位</v>
          </cell>
          <cell r="AB141" t="str">
            <v>數   量</v>
          </cell>
          <cell r="AC141" t="str">
            <v>單   價</v>
          </cell>
          <cell r="AD141" t="str">
            <v>總   價</v>
          </cell>
          <cell r="AU141" t="str">
            <v>縣府土木課17</v>
          </cell>
        </row>
        <row r="142">
          <cell r="Y142" t="str">
            <v>新社鄉公所1</v>
          </cell>
          <cell r="Z142" t="str">
            <v>材料試驗費</v>
          </cell>
          <cell r="AA142" t="str">
            <v>式</v>
          </cell>
          <cell r="AB142">
            <v>1</v>
          </cell>
          <cell r="AC142">
            <v>11420</v>
          </cell>
          <cell r="AD142">
            <v>6274</v>
          </cell>
          <cell r="AU142" t="str">
            <v>縣府土木課18</v>
          </cell>
        </row>
        <row r="143">
          <cell r="Y143" t="str">
            <v>新社鄉公所2</v>
          </cell>
          <cell r="Z143" t="str">
            <v>勞工安全衛生管理費(約1.0%)</v>
          </cell>
          <cell r="AA143" t="str">
            <v>式</v>
          </cell>
          <cell r="AB143">
            <v>1</v>
          </cell>
          <cell r="AC143">
            <v>7905</v>
          </cell>
          <cell r="AD143">
            <v>63228</v>
          </cell>
          <cell r="AU143" t="str">
            <v>縣府土木課19</v>
          </cell>
          <cell r="AW143" t="str">
            <v>總計</v>
          </cell>
          <cell r="BA143">
            <v>1877320</v>
          </cell>
        </row>
        <row r="144">
          <cell r="Y144" t="str">
            <v>新社鄉公所3</v>
          </cell>
          <cell r="Z144" t="str">
            <v>包商利潤(約8%)</v>
          </cell>
          <cell r="AA144" t="str">
            <v>式</v>
          </cell>
          <cell r="AB144">
            <v>1</v>
          </cell>
          <cell r="AC144">
            <v>68285.810000000012</v>
          </cell>
          <cell r="AD144">
            <v>0</v>
          </cell>
          <cell r="AU144" t="str">
            <v>縣府土木課20</v>
          </cell>
        </row>
        <row r="145">
          <cell r="Y145" t="str">
            <v>新社鄉公所4</v>
          </cell>
          <cell r="Z145" t="str">
            <v>稅捐(約5%)</v>
          </cell>
          <cell r="AA145" t="str">
            <v>式</v>
          </cell>
          <cell r="AB145">
            <v>1</v>
          </cell>
          <cell r="AC145">
            <v>42687</v>
          </cell>
          <cell r="AD145">
            <v>0</v>
          </cell>
          <cell r="AU145" t="str">
            <v>縣府土木課21</v>
          </cell>
        </row>
        <row r="146">
          <cell r="Y146" t="str">
            <v>新社鄉公所5</v>
          </cell>
          <cell r="Z146" t="str">
            <v>保險費(約1%)</v>
          </cell>
          <cell r="AA146" t="str">
            <v>式</v>
          </cell>
          <cell r="AB146">
            <v>1</v>
          </cell>
          <cell r="AC146">
            <v>8537</v>
          </cell>
          <cell r="AD146">
            <v>42687</v>
          </cell>
          <cell r="AU146" t="str">
            <v>縣府土木課22</v>
          </cell>
        </row>
        <row r="147">
          <cell r="Y147" t="str">
            <v>新社鄉公所6</v>
          </cell>
          <cell r="Z147" t="str">
            <v>小          計</v>
          </cell>
          <cell r="AD147">
            <v>1750161</v>
          </cell>
          <cell r="AU147" t="str">
            <v>縣府土木課23</v>
          </cell>
        </row>
        <row r="148">
          <cell r="AU148" t="str">
            <v>縣府土木課24</v>
          </cell>
        </row>
        <row r="149">
          <cell r="AU149" t="str">
            <v>縣府土木課25</v>
          </cell>
        </row>
        <row r="150">
          <cell r="Z150" t="str">
            <v>工  程  項  目</v>
          </cell>
          <cell r="AA150" t="str">
            <v>單位</v>
          </cell>
          <cell r="AB150" t="str">
            <v>數   量</v>
          </cell>
          <cell r="AC150" t="str">
            <v>單   價</v>
          </cell>
          <cell r="AD150" t="str">
            <v>總   價</v>
          </cell>
          <cell r="AU150" t="str">
            <v>縣府土木課26</v>
          </cell>
        </row>
        <row r="151">
          <cell r="Y151" t="str">
            <v>清水鎮公所1</v>
          </cell>
          <cell r="Z151" t="str">
            <v>材料試驗費</v>
          </cell>
          <cell r="AA151" t="str">
            <v>式</v>
          </cell>
          <cell r="AB151">
            <v>1</v>
          </cell>
          <cell r="AC151">
            <v>11420</v>
          </cell>
          <cell r="AD151">
            <v>6274</v>
          </cell>
          <cell r="AU151" t="str">
            <v>縣府土木課27</v>
          </cell>
        </row>
        <row r="152">
          <cell r="Y152" t="str">
            <v>清水鎮公所2</v>
          </cell>
          <cell r="Z152" t="str">
            <v>營造綜合保險費(約0.5%)</v>
          </cell>
          <cell r="AA152" t="str">
            <v>式</v>
          </cell>
          <cell r="AB152">
            <v>1</v>
          </cell>
          <cell r="AC152">
            <v>3953</v>
          </cell>
          <cell r="AD152">
            <v>63228</v>
          </cell>
          <cell r="AU152" t="str">
            <v>縣府土木課28</v>
          </cell>
        </row>
        <row r="153">
          <cell r="Y153" t="str">
            <v>清水鎮公所3</v>
          </cell>
          <cell r="Z153" t="str">
            <v>勞工安全衛生管理費(約0.5%)</v>
          </cell>
          <cell r="AA153" t="str">
            <v>式</v>
          </cell>
          <cell r="AB153">
            <v>1</v>
          </cell>
          <cell r="AC153">
            <v>4269</v>
          </cell>
          <cell r="AD153">
            <v>0</v>
          </cell>
          <cell r="AU153" t="str">
            <v>縣府土木課29</v>
          </cell>
        </row>
        <row r="154">
          <cell r="Y154" t="str">
            <v>清水鎮公所4</v>
          </cell>
          <cell r="Z154" t="str">
            <v>包商利潤及管理費(約5%)</v>
          </cell>
          <cell r="AA154" t="str">
            <v>式</v>
          </cell>
          <cell r="AB154">
            <v>1</v>
          </cell>
          <cell r="AC154">
            <v>42673.7</v>
          </cell>
          <cell r="AD154">
            <v>0</v>
          </cell>
          <cell r="AU154" t="str">
            <v>縣府土木課30</v>
          </cell>
        </row>
        <row r="155">
          <cell r="Y155" t="str">
            <v>清水鎮公所5</v>
          </cell>
          <cell r="Z155" t="str">
            <v>營業稅(約5%)</v>
          </cell>
          <cell r="AA155" t="str">
            <v>式</v>
          </cell>
          <cell r="AB155">
            <v>1</v>
          </cell>
          <cell r="AC155">
            <v>42687</v>
          </cell>
          <cell r="AD155">
            <v>42687</v>
          </cell>
          <cell r="AU155" t="str">
            <v>縣府土木課31</v>
          </cell>
        </row>
        <row r="156">
          <cell r="Y156" t="str">
            <v>清水鎮公所6</v>
          </cell>
          <cell r="Z156" t="str">
            <v>合      計</v>
          </cell>
          <cell r="AD156">
            <v>1750161</v>
          </cell>
          <cell r="AU156" t="str">
            <v>縣府土木課32</v>
          </cell>
        </row>
        <row r="157">
          <cell r="AU157" t="str">
            <v>縣府土木課33</v>
          </cell>
        </row>
        <row r="158">
          <cell r="AU158" t="str">
            <v>縣府土木課34</v>
          </cell>
        </row>
        <row r="159">
          <cell r="Z159" t="str">
            <v>工  程  項  目</v>
          </cell>
          <cell r="AA159" t="str">
            <v>單位</v>
          </cell>
          <cell r="AB159" t="str">
            <v>數   量</v>
          </cell>
          <cell r="AC159" t="str">
            <v>單   價</v>
          </cell>
          <cell r="AD159" t="str">
            <v>總   價</v>
          </cell>
          <cell r="AU159" t="str">
            <v>縣府土木課35</v>
          </cell>
        </row>
        <row r="160">
          <cell r="Y160" t="str">
            <v>東勢鎮公所1</v>
          </cell>
          <cell r="Z160" t="str">
            <v>鑽心取樣試驗費</v>
          </cell>
          <cell r="AA160" t="str">
            <v>組</v>
          </cell>
          <cell r="AB160">
            <v>1</v>
          </cell>
          <cell r="AC160">
            <v>11420</v>
          </cell>
          <cell r="AD160">
            <v>6274</v>
          </cell>
          <cell r="AE160">
            <v>0</v>
          </cell>
          <cell r="AU160" t="str">
            <v>縣府土木課36</v>
          </cell>
        </row>
        <row r="161">
          <cell r="Y161" t="str">
            <v>東勢鎮公所2</v>
          </cell>
          <cell r="Z161" t="str">
            <v>營造綜合保險費(約0.7%)</v>
          </cell>
          <cell r="AA161" t="str">
            <v>式</v>
          </cell>
          <cell r="AB161">
            <v>1</v>
          </cell>
          <cell r="AC161">
            <v>5534</v>
          </cell>
          <cell r="AD161">
            <v>63228</v>
          </cell>
          <cell r="AE161">
            <v>0</v>
          </cell>
          <cell r="AU161" t="str">
            <v>縣府土木課37</v>
          </cell>
        </row>
        <row r="162">
          <cell r="Y162" t="str">
            <v>東勢鎮公所3</v>
          </cell>
          <cell r="Z162" t="str">
            <v>勞工安全衛生管理費(約0.8%)</v>
          </cell>
          <cell r="AA162" t="str">
            <v>式</v>
          </cell>
          <cell r="AB162">
            <v>1</v>
          </cell>
          <cell r="AC162">
            <v>6324</v>
          </cell>
          <cell r="AD162">
            <v>0</v>
          </cell>
          <cell r="AE162">
            <v>0</v>
          </cell>
          <cell r="AU162" t="str">
            <v>縣府土木課38</v>
          </cell>
        </row>
        <row r="163">
          <cell r="Y163" t="str">
            <v>東勢鎮公所4</v>
          </cell>
          <cell r="Z163" t="str">
            <v>包商管理及利潤(約7%)</v>
          </cell>
          <cell r="AA163" t="str">
            <v>式</v>
          </cell>
          <cell r="AB163">
            <v>1</v>
          </cell>
          <cell r="AC163">
            <v>55322.51</v>
          </cell>
          <cell r="AD163">
            <v>0</v>
          </cell>
          <cell r="AE163">
            <v>0</v>
          </cell>
          <cell r="AU163" t="str">
            <v>縣府土木課39</v>
          </cell>
        </row>
        <row r="164">
          <cell r="Y164" t="str">
            <v>東勢鎮公所5</v>
          </cell>
          <cell r="Z164" t="str">
            <v>稅捐(約5%)</v>
          </cell>
          <cell r="AA164" t="str">
            <v>式</v>
          </cell>
          <cell r="AB164">
            <v>1</v>
          </cell>
          <cell r="AC164">
            <v>42687</v>
          </cell>
          <cell r="AD164">
            <v>42687</v>
          </cell>
          <cell r="AE164">
            <v>0</v>
          </cell>
          <cell r="AU164" t="str">
            <v>縣府土木課40</v>
          </cell>
          <cell r="AV164" t="str">
            <v xml:space="preserve">     本工程預算總額計新台幣</v>
          </cell>
          <cell r="BA164" t="str">
            <v>壹佰捌拾柒萬柒仟參佰貳拾元整</v>
          </cell>
          <cell r="BD164" t="str">
            <v xml:space="preserve">     本工程預算總額計新台幣</v>
          </cell>
          <cell r="BI164" t="str">
            <v>壹佰柒拾陸萬壹仟貳佰壹拾貳元整</v>
          </cell>
        </row>
        <row r="165">
          <cell r="Y165" t="str">
            <v>東勢鎮公所6</v>
          </cell>
          <cell r="Z165" t="str">
            <v>小      計</v>
          </cell>
          <cell r="AD165">
            <v>1750161</v>
          </cell>
          <cell r="AE165">
            <v>0</v>
          </cell>
        </row>
        <row r="166">
          <cell r="AU166" t="str">
            <v>大肚鄉公所</v>
          </cell>
          <cell r="AV166" t="str">
            <v>項次</v>
          </cell>
          <cell r="AW166" t="str">
            <v>工程項目</v>
          </cell>
          <cell r="AX166" t="str">
            <v>單位</v>
          </cell>
          <cell r="AY166" t="str">
            <v>數   量</v>
          </cell>
          <cell r="AZ166" t="str">
            <v>單   價</v>
          </cell>
          <cell r="BA166" t="str">
            <v>總   價</v>
          </cell>
          <cell r="BB166" t="str">
            <v>附   註</v>
          </cell>
          <cell r="BD166" t="str">
            <v>項次</v>
          </cell>
          <cell r="BE166" t="str">
            <v>工程項目</v>
          </cell>
          <cell r="BF166" t="str">
            <v>單位</v>
          </cell>
          <cell r="BG166" t="str">
            <v>數   量</v>
          </cell>
          <cell r="BH166" t="str">
            <v>單   價</v>
          </cell>
          <cell r="BI166" t="str">
            <v>總   價</v>
          </cell>
          <cell r="BJ166" t="str">
            <v>附   註</v>
          </cell>
        </row>
        <row r="167">
          <cell r="AU167" t="str">
            <v>大肚鄉公所1</v>
          </cell>
        </row>
        <row r="168">
          <cell r="Z168" t="str">
            <v>工  程  項  目</v>
          </cell>
          <cell r="AA168" t="str">
            <v>單位</v>
          </cell>
          <cell r="AB168" t="str">
            <v>數   量</v>
          </cell>
          <cell r="AC168" t="str">
            <v>單   價</v>
          </cell>
          <cell r="AD168" t="str">
            <v>總   價</v>
          </cell>
          <cell r="AU168" t="str">
            <v>大肚鄉公所2</v>
          </cell>
          <cell r="AV168">
            <v>1</v>
          </cell>
          <cell r="AW168" t="str">
            <v>發 包 工 程 費</v>
          </cell>
          <cell r="AX168" t="str">
            <v>式</v>
          </cell>
          <cell r="AY168">
            <v>1</v>
          </cell>
          <cell r="AZ168" t="str">
            <v xml:space="preserve">---------   </v>
          </cell>
          <cell r="BA168">
            <v>42687</v>
          </cell>
          <cell r="BD168">
            <v>1</v>
          </cell>
          <cell r="BE168" t="str">
            <v>發 包 工 程 費</v>
          </cell>
          <cell r="BF168" t="str">
            <v>式</v>
          </cell>
          <cell r="BG168">
            <v>1</v>
          </cell>
          <cell r="BH168" t="str">
            <v xml:space="preserve">---------   </v>
          </cell>
          <cell r="BI168">
            <v>42687</v>
          </cell>
        </row>
        <row r="169">
          <cell r="Y169" t="str">
            <v>神岡鄉公所1</v>
          </cell>
          <cell r="Z169" t="str">
            <v>材料試驗費</v>
          </cell>
          <cell r="AA169" t="str">
            <v>式</v>
          </cell>
          <cell r="AB169">
            <v>1</v>
          </cell>
          <cell r="AC169">
            <v>11420</v>
          </cell>
          <cell r="AD169">
            <v>6274</v>
          </cell>
          <cell r="AU169" t="str">
            <v>大肚鄉公所3</v>
          </cell>
        </row>
        <row r="170">
          <cell r="Y170" t="str">
            <v>神岡鄉公所2</v>
          </cell>
          <cell r="Z170" t="str">
            <v>營造綜合保險費(約0.7%)</v>
          </cell>
          <cell r="AA170" t="str">
            <v>式</v>
          </cell>
          <cell r="AB170">
            <v>1</v>
          </cell>
          <cell r="AC170">
            <v>5534</v>
          </cell>
          <cell r="AD170">
            <v>63228</v>
          </cell>
          <cell r="AU170" t="str">
            <v>大肚鄉公所4</v>
          </cell>
        </row>
        <row r="171">
          <cell r="Y171" t="str">
            <v>神岡鄉公所3</v>
          </cell>
          <cell r="Z171" t="str">
            <v>勞工安全衛生管理費(約1%)</v>
          </cell>
          <cell r="AA171" t="str">
            <v>式</v>
          </cell>
          <cell r="AB171">
            <v>1</v>
          </cell>
          <cell r="AC171">
            <v>8537</v>
          </cell>
          <cell r="AD171">
            <v>0</v>
          </cell>
          <cell r="AU171" t="str">
            <v>大肚鄉公所5</v>
          </cell>
          <cell r="AV171">
            <v>2</v>
          </cell>
          <cell r="AW171" t="str">
            <v>工 程 管 理 費</v>
          </cell>
          <cell r="AX171" t="str">
            <v>式</v>
          </cell>
          <cell r="AY171">
            <v>1</v>
          </cell>
          <cell r="AZ171" t="str">
            <v xml:space="preserve">---------   </v>
          </cell>
          <cell r="BA171">
            <v>51031</v>
          </cell>
          <cell r="BD171">
            <v>2</v>
          </cell>
          <cell r="BE171" t="str">
            <v>工 程 管 理 費</v>
          </cell>
          <cell r="BF171" t="str">
            <v>式</v>
          </cell>
          <cell r="BG171">
            <v>1</v>
          </cell>
          <cell r="BH171" t="str">
            <v xml:space="preserve">---------   </v>
          </cell>
          <cell r="BI171">
            <v>51031</v>
          </cell>
        </row>
        <row r="172">
          <cell r="Y172" t="str">
            <v>神岡鄉公所4</v>
          </cell>
          <cell r="Z172" t="str">
            <v>包商利潤(約8%)</v>
          </cell>
          <cell r="AA172" t="str">
            <v>式</v>
          </cell>
          <cell r="AB172">
            <v>1</v>
          </cell>
          <cell r="AC172">
            <v>68285.810000000012</v>
          </cell>
          <cell r="AD172">
            <v>0</v>
          </cell>
          <cell r="AU172" t="str">
            <v>大肚鄉公所6</v>
          </cell>
          <cell r="AW172" t="str">
            <v>500萬元以下3%</v>
          </cell>
          <cell r="BE172" t="str">
            <v>500萬元以下3%</v>
          </cell>
        </row>
        <row r="173">
          <cell r="Y173" t="str">
            <v>神岡鄉公所5</v>
          </cell>
          <cell r="Z173" t="str">
            <v>稅捐(約5%)</v>
          </cell>
          <cell r="AA173" t="str">
            <v>式</v>
          </cell>
          <cell r="AB173">
            <v>1</v>
          </cell>
          <cell r="AC173">
            <v>42687</v>
          </cell>
          <cell r="AD173">
            <v>42687</v>
          </cell>
          <cell r="AU173" t="str">
            <v>大肚鄉公所7</v>
          </cell>
          <cell r="AW173">
            <v>0</v>
          </cell>
          <cell r="BE173">
            <v>0</v>
          </cell>
        </row>
        <row r="174">
          <cell r="Y174" t="str">
            <v>神岡鄉公所6</v>
          </cell>
          <cell r="Z174" t="str">
            <v>小      計</v>
          </cell>
          <cell r="AD174">
            <v>1750161</v>
          </cell>
          <cell r="AU174" t="str">
            <v>大肚鄉公所8</v>
          </cell>
        </row>
        <row r="175">
          <cell r="AU175" t="str">
            <v>大肚鄉公所9</v>
          </cell>
        </row>
        <row r="176">
          <cell r="AU176" t="str">
            <v>大肚鄉公所10</v>
          </cell>
          <cell r="AV176">
            <v>3</v>
          </cell>
          <cell r="AW176" t="str">
            <v>委託技術服務費</v>
          </cell>
          <cell r="AX176" t="str">
            <v>式</v>
          </cell>
          <cell r="AY176">
            <v>1</v>
          </cell>
          <cell r="AZ176" t="str">
            <v xml:space="preserve">---------   </v>
          </cell>
          <cell r="BA176">
            <v>116108</v>
          </cell>
          <cell r="BD176">
            <v>3</v>
          </cell>
          <cell r="BE176" t="str">
            <v>空 氣 污 染 防 制 費</v>
          </cell>
          <cell r="BF176" t="str">
            <v>式</v>
          </cell>
          <cell r="BG176">
            <v>1</v>
          </cell>
          <cell r="BH176" t="str">
            <v xml:space="preserve">---------   </v>
          </cell>
          <cell r="BI176">
            <v>2707</v>
          </cell>
        </row>
        <row r="177">
          <cell r="AU177" t="str">
            <v>大肚鄉公所11</v>
          </cell>
          <cell r="AW177" t="str">
            <v>1000萬元以下6.8%</v>
          </cell>
          <cell r="BE177" t="str">
            <v>(0.3%*發包工程費)</v>
          </cell>
        </row>
        <row r="178">
          <cell r="AU178" t="str">
            <v>大肚鄉公所12</v>
          </cell>
          <cell r="AW178">
            <v>0</v>
          </cell>
        </row>
        <row r="179">
          <cell r="AU179" t="str">
            <v>大肚鄉公所13</v>
          </cell>
        </row>
        <row r="180">
          <cell r="AU180" t="str">
            <v>大肚鄉公所14</v>
          </cell>
          <cell r="BE180" t="str">
            <v>合計</v>
          </cell>
          <cell r="BI180">
            <v>96425</v>
          </cell>
        </row>
        <row r="181">
          <cell r="AU181" t="str">
            <v>大肚鄉公所15</v>
          </cell>
          <cell r="AV181">
            <v>4</v>
          </cell>
          <cell r="AW181" t="str">
            <v>空 氣 污 染 防 制 費</v>
          </cell>
          <cell r="AX181" t="str">
            <v>式</v>
          </cell>
          <cell r="AY181">
            <v>1</v>
          </cell>
          <cell r="AZ181" t="str">
            <v xml:space="preserve">---------   </v>
          </cell>
          <cell r="BA181">
            <v>2707</v>
          </cell>
        </row>
        <row r="182">
          <cell r="AU182" t="str">
            <v>大肚鄉公所16</v>
          </cell>
          <cell r="AW182" t="str">
            <v>(0.3%*發包工程費)</v>
          </cell>
        </row>
        <row r="183">
          <cell r="AU183" t="str">
            <v>大肚鄉公所17</v>
          </cell>
        </row>
        <row r="184">
          <cell r="AU184" t="str">
            <v>大肚鄉公所18</v>
          </cell>
        </row>
        <row r="185">
          <cell r="AU185" t="str">
            <v>大肚鄉公所19</v>
          </cell>
          <cell r="AW185" t="str">
            <v>合計</v>
          </cell>
          <cell r="BA185">
            <v>212533</v>
          </cell>
        </row>
        <row r="186">
          <cell r="AU186" t="str">
            <v>大肚鄉公所20</v>
          </cell>
        </row>
        <row r="187">
          <cell r="AU187" t="str">
            <v>大肚鄉公所21</v>
          </cell>
        </row>
        <row r="188">
          <cell r="AU188" t="str">
            <v>大肚鄉公所22</v>
          </cell>
        </row>
        <row r="189">
          <cell r="AU189" t="str">
            <v>大肚鄉公所23</v>
          </cell>
        </row>
        <row r="190">
          <cell r="AU190" t="str">
            <v>大肚鄉公所24</v>
          </cell>
        </row>
        <row r="191">
          <cell r="AU191" t="str">
            <v>大肚鄉公所25</v>
          </cell>
        </row>
        <row r="192">
          <cell r="AU192" t="str">
            <v>大肚鄉公所26</v>
          </cell>
        </row>
        <row r="193">
          <cell r="AU193" t="str">
            <v>大肚鄉公所27</v>
          </cell>
        </row>
        <row r="194">
          <cell r="AU194" t="str">
            <v>大肚鄉公所28</v>
          </cell>
        </row>
        <row r="195">
          <cell r="AU195" t="str">
            <v>大肚鄉公所29</v>
          </cell>
        </row>
        <row r="196">
          <cell r="AU196" t="str">
            <v>大肚鄉公所30</v>
          </cell>
        </row>
        <row r="197">
          <cell r="AU197" t="str">
            <v>大肚鄉公所31</v>
          </cell>
        </row>
        <row r="198">
          <cell r="AU198" t="str">
            <v>大肚鄉公所32</v>
          </cell>
        </row>
        <row r="199">
          <cell r="AU199" t="str">
            <v>大肚鄉公所33</v>
          </cell>
        </row>
        <row r="200">
          <cell r="AU200" t="str">
            <v>大肚鄉公所34</v>
          </cell>
        </row>
        <row r="201">
          <cell r="AU201" t="str">
            <v>大肚鄉公所35</v>
          </cell>
        </row>
        <row r="202">
          <cell r="AU202" t="str">
            <v>大肚鄉公所36</v>
          </cell>
        </row>
        <row r="203">
          <cell r="AU203" t="str">
            <v>大肚鄉公所37</v>
          </cell>
        </row>
        <row r="204">
          <cell r="AU204" t="str">
            <v>大肚鄉公所38</v>
          </cell>
        </row>
        <row r="205">
          <cell r="AU205" t="str">
            <v>大肚鄉公所39</v>
          </cell>
        </row>
        <row r="206">
          <cell r="AU206" t="str">
            <v>大肚鄉公所40</v>
          </cell>
          <cell r="AV206" t="str">
            <v xml:space="preserve">     本工程預算總額計新台幣</v>
          </cell>
          <cell r="BA206" t="str">
            <v>貳拾壹萬貳仟伍佰參拾參元整</v>
          </cell>
          <cell r="BD206" t="str">
            <v xml:space="preserve">     本工程預算總額計新台幣</v>
          </cell>
          <cell r="BI206" t="str">
            <v>玖萬陸仟肆佰貳拾伍元整</v>
          </cell>
        </row>
        <row r="208">
          <cell r="AU208" t="str">
            <v>太平市公所</v>
          </cell>
          <cell r="AV208" t="str">
            <v>項次</v>
          </cell>
          <cell r="AW208" t="str">
            <v>工程項目</v>
          </cell>
          <cell r="AX208" t="str">
            <v>單位</v>
          </cell>
          <cell r="AY208" t="str">
            <v>數   量</v>
          </cell>
          <cell r="AZ208" t="str">
            <v>單   價</v>
          </cell>
          <cell r="BA208" t="str">
            <v>總   價</v>
          </cell>
          <cell r="BB208" t="str">
            <v>附   註</v>
          </cell>
          <cell r="BD208" t="str">
            <v>項次</v>
          </cell>
          <cell r="BE208" t="str">
            <v>工程項目</v>
          </cell>
          <cell r="BF208" t="str">
            <v>單位</v>
          </cell>
          <cell r="BG208" t="str">
            <v>數   量</v>
          </cell>
          <cell r="BH208" t="str">
            <v>單   價</v>
          </cell>
          <cell r="BI208" t="str">
            <v>總   價</v>
          </cell>
          <cell r="BJ208" t="str">
            <v>附   註</v>
          </cell>
        </row>
        <row r="209">
          <cell r="AU209" t="str">
            <v>太平市公所1</v>
          </cell>
        </row>
        <row r="210">
          <cell r="AU210" t="str">
            <v>太平市公所2</v>
          </cell>
          <cell r="AV210">
            <v>1</v>
          </cell>
          <cell r="AW210" t="str">
            <v>發 包 工 程 費</v>
          </cell>
          <cell r="AX210" t="str">
            <v>式</v>
          </cell>
          <cell r="AY210">
            <v>1</v>
          </cell>
          <cell r="AZ210" t="str">
            <v xml:space="preserve">---------   </v>
          </cell>
          <cell r="BA210">
            <v>1756137</v>
          </cell>
          <cell r="BD210">
            <v>1</v>
          </cell>
          <cell r="BE210" t="str">
            <v>發 包 工 程 費</v>
          </cell>
          <cell r="BF210" t="str">
            <v>式</v>
          </cell>
          <cell r="BG210">
            <v>1</v>
          </cell>
          <cell r="BH210" t="str">
            <v xml:space="preserve">---------   </v>
          </cell>
          <cell r="BI210">
            <v>1756137</v>
          </cell>
        </row>
        <row r="211">
          <cell r="AU211" t="str">
            <v>太平市公所3</v>
          </cell>
        </row>
        <row r="212">
          <cell r="AU212" t="str">
            <v>太平市公所4</v>
          </cell>
        </row>
        <row r="213">
          <cell r="AU213" t="str">
            <v>太平市公所5</v>
          </cell>
          <cell r="AV213">
            <v>2</v>
          </cell>
          <cell r="AW213" t="str">
            <v>工 程 管 理 費</v>
          </cell>
          <cell r="AX213" t="str">
            <v>式</v>
          </cell>
          <cell r="AY213">
            <v>1</v>
          </cell>
          <cell r="AZ213" t="str">
            <v xml:space="preserve">---------   </v>
          </cell>
          <cell r="BA213">
            <v>51031</v>
          </cell>
          <cell r="BD213">
            <v>2</v>
          </cell>
          <cell r="BE213" t="str">
            <v>工 程 管 理 費</v>
          </cell>
          <cell r="BF213" t="str">
            <v>式</v>
          </cell>
          <cell r="BG213">
            <v>1</v>
          </cell>
          <cell r="BH213" t="str">
            <v xml:space="preserve">---------   </v>
          </cell>
          <cell r="BI213">
            <v>51031</v>
          </cell>
        </row>
        <row r="214">
          <cell r="AU214" t="str">
            <v>太平市公所6</v>
          </cell>
          <cell r="AW214" t="str">
            <v>500萬元以下3%</v>
          </cell>
          <cell r="BE214" t="str">
            <v>500萬元以下3%</v>
          </cell>
        </row>
        <row r="215">
          <cell r="AU215" t="str">
            <v>太平市公所7</v>
          </cell>
          <cell r="AW215">
            <v>0</v>
          </cell>
          <cell r="BE215">
            <v>0</v>
          </cell>
        </row>
        <row r="216">
          <cell r="AU216" t="str">
            <v>太平市公所8</v>
          </cell>
        </row>
        <row r="217">
          <cell r="AU217" t="str">
            <v>太平市公所9</v>
          </cell>
        </row>
        <row r="218">
          <cell r="AU218" t="str">
            <v>太平市公所10</v>
          </cell>
          <cell r="AV218">
            <v>3</v>
          </cell>
          <cell r="AW218" t="str">
            <v>委託技術服務費</v>
          </cell>
          <cell r="AX218" t="str">
            <v>式</v>
          </cell>
          <cell r="AY218">
            <v>1</v>
          </cell>
          <cell r="AZ218" t="str">
            <v xml:space="preserve">---------   </v>
          </cell>
          <cell r="BA218">
            <v>116108</v>
          </cell>
          <cell r="BD218">
            <v>4</v>
          </cell>
          <cell r="BE218" t="str">
            <v>空 氣 污 染 防 制 費</v>
          </cell>
          <cell r="BF218" t="str">
            <v>式</v>
          </cell>
          <cell r="BG218">
            <v>1</v>
          </cell>
          <cell r="BH218" t="str">
            <v xml:space="preserve">---------   </v>
          </cell>
          <cell r="BI218">
            <v>2707</v>
          </cell>
        </row>
        <row r="219">
          <cell r="AU219" t="str">
            <v>太平市公所11</v>
          </cell>
          <cell r="AW219" t="str">
            <v>1000萬元以下6.8%</v>
          </cell>
          <cell r="BE219" t="str">
            <v>(0.3%*發包工程費)</v>
          </cell>
        </row>
        <row r="220">
          <cell r="AU220" t="str">
            <v>太平市公所12</v>
          </cell>
          <cell r="AW220">
            <v>0</v>
          </cell>
        </row>
        <row r="221">
          <cell r="AU221" t="str">
            <v>太平市公所13</v>
          </cell>
        </row>
        <row r="222">
          <cell r="AU222" t="str">
            <v>太平市公所14</v>
          </cell>
          <cell r="BE222" t="str">
            <v>合計</v>
          </cell>
          <cell r="BI222">
            <v>1809875</v>
          </cell>
        </row>
        <row r="223">
          <cell r="AU223" t="str">
            <v>太平市公所15</v>
          </cell>
          <cell r="AV223">
            <v>4</v>
          </cell>
          <cell r="AW223" t="str">
            <v>空 氣 污 染 防 制 費</v>
          </cell>
          <cell r="AX223" t="str">
            <v>式</v>
          </cell>
          <cell r="AY223">
            <v>1</v>
          </cell>
          <cell r="AZ223" t="str">
            <v xml:space="preserve">---------   </v>
          </cell>
          <cell r="BA223">
            <v>2707</v>
          </cell>
        </row>
        <row r="224">
          <cell r="AU224" t="str">
            <v>太平市公所16</v>
          </cell>
          <cell r="AW224" t="str">
            <v>(0.3%*發包工程費)</v>
          </cell>
        </row>
        <row r="225">
          <cell r="AU225" t="str">
            <v>太平市公所17</v>
          </cell>
        </row>
        <row r="226">
          <cell r="AU226" t="str">
            <v>太平市公所18</v>
          </cell>
        </row>
        <row r="227">
          <cell r="AU227" t="str">
            <v>太平市公所19</v>
          </cell>
          <cell r="AW227" t="str">
            <v>合計</v>
          </cell>
          <cell r="BA227">
            <v>1925983</v>
          </cell>
        </row>
        <row r="228">
          <cell r="AU228" t="str">
            <v>太平市公所20</v>
          </cell>
        </row>
        <row r="229">
          <cell r="AU229" t="str">
            <v>太平市公所21</v>
          </cell>
        </row>
        <row r="230">
          <cell r="AU230" t="str">
            <v>太平市公所22</v>
          </cell>
        </row>
        <row r="231">
          <cell r="AU231" t="str">
            <v>太平市公所23</v>
          </cell>
        </row>
        <row r="232">
          <cell r="AU232" t="str">
            <v>太平市公所24</v>
          </cell>
        </row>
        <row r="233">
          <cell r="AU233" t="str">
            <v>太平市公所25</v>
          </cell>
        </row>
        <row r="234">
          <cell r="AU234" t="str">
            <v>太平市公所26</v>
          </cell>
        </row>
        <row r="235">
          <cell r="AU235" t="str">
            <v>太平市公所27</v>
          </cell>
        </row>
        <row r="236">
          <cell r="AU236" t="str">
            <v>太平市公所28</v>
          </cell>
        </row>
        <row r="237">
          <cell r="AU237" t="str">
            <v>太平市公所29</v>
          </cell>
        </row>
        <row r="238">
          <cell r="AU238" t="str">
            <v>太平市公所30</v>
          </cell>
        </row>
        <row r="239">
          <cell r="AU239" t="str">
            <v>太平市公所31</v>
          </cell>
        </row>
        <row r="240">
          <cell r="AU240" t="str">
            <v>太平市公所32</v>
          </cell>
        </row>
        <row r="241">
          <cell r="AU241" t="str">
            <v>太平市公所33</v>
          </cell>
        </row>
        <row r="242">
          <cell r="AU242" t="str">
            <v>太平市公所34</v>
          </cell>
        </row>
        <row r="243">
          <cell r="AU243" t="str">
            <v>太平市公所35</v>
          </cell>
        </row>
        <row r="244">
          <cell r="AU244" t="str">
            <v>太平市公所36</v>
          </cell>
        </row>
        <row r="245">
          <cell r="AU245" t="str">
            <v>太平市公所37</v>
          </cell>
        </row>
        <row r="246">
          <cell r="AU246" t="str">
            <v>太平市公所38</v>
          </cell>
        </row>
        <row r="247">
          <cell r="AU247" t="str">
            <v>太平市公所39</v>
          </cell>
        </row>
        <row r="248">
          <cell r="AU248" t="str">
            <v>太平市公所40</v>
          </cell>
          <cell r="AV248" t="str">
            <v xml:space="preserve">     本工程預算總額計新台幣</v>
          </cell>
          <cell r="BA248" t="str">
            <v>壹佰玖拾貳萬伍仟玖佰捌拾參元整</v>
          </cell>
          <cell r="BD248" t="str">
            <v xml:space="preserve">     本工程預算總額計新台幣</v>
          </cell>
          <cell r="BI248" t="str">
            <v>壹佰捌拾萬玖仟捌佰柒拾伍元整</v>
          </cell>
        </row>
        <row r="250">
          <cell r="AU250" t="str">
            <v>石岡鄉公所</v>
          </cell>
          <cell r="AV250" t="str">
            <v>項次</v>
          </cell>
          <cell r="AW250" t="str">
            <v>工程項目</v>
          </cell>
          <cell r="AX250" t="str">
            <v>單位</v>
          </cell>
          <cell r="AY250" t="str">
            <v>數   量</v>
          </cell>
          <cell r="AZ250" t="str">
            <v>單   價</v>
          </cell>
          <cell r="BA250" t="str">
            <v>總   價</v>
          </cell>
          <cell r="BB250" t="str">
            <v>附   註</v>
          </cell>
          <cell r="BD250" t="str">
            <v>項次</v>
          </cell>
          <cell r="BE250" t="str">
            <v>工程項目</v>
          </cell>
          <cell r="BF250" t="str">
            <v>單位</v>
          </cell>
          <cell r="BG250" t="str">
            <v>數   量</v>
          </cell>
          <cell r="BH250" t="str">
            <v>單   價</v>
          </cell>
          <cell r="BI250" t="str">
            <v>總   價</v>
          </cell>
          <cell r="BJ250" t="str">
            <v>附   註</v>
          </cell>
        </row>
        <row r="251">
          <cell r="AU251" t="str">
            <v>石岡鄉公所1</v>
          </cell>
        </row>
        <row r="252">
          <cell r="AU252" t="str">
            <v>石岡鄉公所2</v>
          </cell>
          <cell r="AV252">
            <v>1</v>
          </cell>
          <cell r="AW252" t="str">
            <v>發 包 工 程 費</v>
          </cell>
          <cell r="AX252" t="str">
            <v>式</v>
          </cell>
          <cell r="AY252">
            <v>1</v>
          </cell>
          <cell r="AZ252" t="str">
            <v xml:space="preserve">---------   </v>
          </cell>
          <cell r="BA252">
            <v>1750161</v>
          </cell>
          <cell r="BD252">
            <v>1</v>
          </cell>
          <cell r="BE252" t="str">
            <v>發 包 工 程 費</v>
          </cell>
          <cell r="BF252" t="str">
            <v>式</v>
          </cell>
          <cell r="BG252">
            <v>1</v>
          </cell>
          <cell r="BH252" t="str">
            <v xml:space="preserve">---------   </v>
          </cell>
          <cell r="BI252">
            <v>1750161</v>
          </cell>
        </row>
        <row r="253">
          <cell r="AU253" t="str">
            <v>石岡鄉公所3</v>
          </cell>
        </row>
        <row r="254">
          <cell r="AU254" t="str">
            <v>石岡鄉公所4</v>
          </cell>
        </row>
        <row r="255">
          <cell r="AU255" t="str">
            <v>石岡鄉公所5</v>
          </cell>
          <cell r="AV255">
            <v>2</v>
          </cell>
          <cell r="AW255" t="str">
            <v>工 程 管 理 費</v>
          </cell>
          <cell r="AX255" t="str">
            <v>式</v>
          </cell>
          <cell r="AY255">
            <v>1</v>
          </cell>
          <cell r="AZ255" t="str">
            <v xml:space="preserve">---------   </v>
          </cell>
          <cell r="BA255">
            <v>51031</v>
          </cell>
          <cell r="BD255">
            <v>2</v>
          </cell>
          <cell r="BE255" t="str">
            <v>工 程 管 理 費</v>
          </cell>
          <cell r="BF255" t="str">
            <v>式</v>
          </cell>
          <cell r="BG255">
            <v>1</v>
          </cell>
          <cell r="BH255" t="str">
            <v xml:space="preserve">---------   </v>
          </cell>
          <cell r="BI255">
            <v>51031</v>
          </cell>
        </row>
        <row r="256">
          <cell r="AU256" t="str">
            <v>石岡鄉公所6</v>
          </cell>
          <cell r="AW256" t="str">
            <v>500萬元以下3%</v>
          </cell>
          <cell r="BA256" t="str">
            <v xml:space="preserve"> </v>
          </cell>
          <cell r="BE256" t="str">
            <v>500萬元以下3%</v>
          </cell>
          <cell r="BI256" t="str">
            <v xml:space="preserve"> </v>
          </cell>
        </row>
        <row r="257">
          <cell r="AU257" t="str">
            <v>石岡鄉公所7</v>
          </cell>
          <cell r="AW257">
            <v>0</v>
          </cell>
          <cell r="BE257">
            <v>0</v>
          </cell>
        </row>
        <row r="258">
          <cell r="AU258" t="str">
            <v>石岡鄉公所8</v>
          </cell>
        </row>
        <row r="259">
          <cell r="AU259" t="str">
            <v>石岡鄉公所9</v>
          </cell>
        </row>
        <row r="260">
          <cell r="AU260" t="str">
            <v>石岡鄉公所10</v>
          </cell>
          <cell r="AV260">
            <v>3</v>
          </cell>
          <cell r="AW260" t="str">
            <v>委託技術服務費</v>
          </cell>
          <cell r="AX260" t="str">
            <v>式</v>
          </cell>
          <cell r="AY260">
            <v>1</v>
          </cell>
          <cell r="AZ260" t="str">
            <v xml:space="preserve">---------   </v>
          </cell>
          <cell r="BA260">
            <v>116108</v>
          </cell>
          <cell r="BD260">
            <v>3</v>
          </cell>
          <cell r="BE260" t="str">
            <v>空 氣 污 染 防 制 費</v>
          </cell>
          <cell r="BF260" t="str">
            <v>式</v>
          </cell>
          <cell r="BG260">
            <v>1</v>
          </cell>
          <cell r="BH260" t="str">
            <v xml:space="preserve">---------   </v>
          </cell>
          <cell r="BI260">
            <v>2707</v>
          </cell>
        </row>
        <row r="261">
          <cell r="AU261" t="str">
            <v>石岡鄉公所11</v>
          </cell>
          <cell r="AW261" t="str">
            <v>1000萬元以下6.8%</v>
          </cell>
          <cell r="BA261" t="str">
            <v xml:space="preserve"> </v>
          </cell>
          <cell r="BE261" t="str">
            <v>(0.3%*發包工程費)</v>
          </cell>
        </row>
        <row r="262">
          <cell r="AU262" t="str">
            <v>石岡鄉公所12</v>
          </cell>
          <cell r="AW262">
            <v>0</v>
          </cell>
        </row>
        <row r="263">
          <cell r="AU263" t="str">
            <v>石岡鄉公所13</v>
          </cell>
        </row>
        <row r="264">
          <cell r="AU264" t="str">
            <v>石岡鄉公所14</v>
          </cell>
          <cell r="BE264" t="str">
            <v>合計</v>
          </cell>
          <cell r="BI264">
            <v>1803899</v>
          </cell>
        </row>
        <row r="265">
          <cell r="AU265" t="str">
            <v>石岡鄉公所15</v>
          </cell>
          <cell r="AV265">
            <v>4</v>
          </cell>
          <cell r="AW265" t="str">
            <v>空 氣 污 染 防 制 費</v>
          </cell>
          <cell r="AX265" t="str">
            <v>式</v>
          </cell>
          <cell r="AY265">
            <v>1</v>
          </cell>
          <cell r="AZ265" t="str">
            <v xml:space="preserve">---------   </v>
          </cell>
          <cell r="BA265">
            <v>2707</v>
          </cell>
        </row>
        <row r="266">
          <cell r="AU266" t="str">
            <v>石岡鄉公所16</v>
          </cell>
          <cell r="AW266" t="str">
            <v>(0.3%*發包工程費)</v>
          </cell>
        </row>
        <row r="267">
          <cell r="AU267" t="str">
            <v>石岡鄉公所17</v>
          </cell>
        </row>
        <row r="268">
          <cell r="AU268" t="str">
            <v>石岡鄉公所18</v>
          </cell>
        </row>
        <row r="269">
          <cell r="AU269" t="str">
            <v>石岡鄉公所19</v>
          </cell>
          <cell r="AW269" t="str">
            <v>合計</v>
          </cell>
          <cell r="BA269">
            <v>1920007</v>
          </cell>
        </row>
        <row r="270">
          <cell r="AU270" t="str">
            <v>石岡鄉公所20</v>
          </cell>
        </row>
        <row r="271">
          <cell r="AU271" t="str">
            <v>石岡鄉公所21</v>
          </cell>
        </row>
        <row r="272">
          <cell r="AU272" t="str">
            <v>石岡鄉公所22</v>
          </cell>
        </row>
        <row r="273">
          <cell r="AU273" t="str">
            <v>石岡鄉公所23</v>
          </cell>
        </row>
        <row r="274">
          <cell r="AU274" t="str">
            <v>石岡鄉公所24</v>
          </cell>
        </row>
        <row r="275">
          <cell r="AU275" t="str">
            <v>石岡鄉公所25</v>
          </cell>
        </row>
        <row r="276">
          <cell r="AU276" t="str">
            <v>石岡鄉公所26</v>
          </cell>
        </row>
        <row r="277">
          <cell r="AU277" t="str">
            <v>石岡鄉公所27</v>
          </cell>
        </row>
        <row r="278">
          <cell r="AU278" t="str">
            <v>石岡鄉公所28</v>
          </cell>
        </row>
        <row r="279">
          <cell r="AU279" t="str">
            <v>石岡鄉公所29</v>
          </cell>
        </row>
        <row r="280">
          <cell r="AU280" t="str">
            <v>石岡鄉公所30</v>
          </cell>
        </row>
        <row r="281">
          <cell r="AU281" t="str">
            <v>石岡鄉公所31</v>
          </cell>
        </row>
        <row r="282">
          <cell r="AU282" t="str">
            <v>石岡鄉公所32</v>
          </cell>
        </row>
        <row r="283">
          <cell r="AU283" t="str">
            <v>石岡鄉公所33</v>
          </cell>
        </row>
        <row r="284">
          <cell r="AU284" t="str">
            <v>石岡鄉公所34</v>
          </cell>
        </row>
        <row r="285">
          <cell r="AU285" t="str">
            <v>石岡鄉公所35</v>
          </cell>
        </row>
        <row r="286">
          <cell r="AU286" t="str">
            <v>石岡鄉公所36</v>
          </cell>
        </row>
        <row r="287">
          <cell r="AU287" t="str">
            <v>石岡鄉公所37</v>
          </cell>
        </row>
        <row r="288">
          <cell r="AU288" t="str">
            <v>石岡鄉公所38</v>
          </cell>
        </row>
        <row r="289">
          <cell r="AU289" t="str">
            <v>石岡鄉公所39</v>
          </cell>
        </row>
        <row r="290">
          <cell r="AU290" t="str">
            <v>石岡鄉公所40</v>
          </cell>
          <cell r="AV290" t="str">
            <v xml:space="preserve">     本工程預算總額計新台幣</v>
          </cell>
          <cell r="BA290" t="str">
            <v>壹佰玖拾貳萬零柒元整</v>
          </cell>
          <cell r="BD290" t="str">
            <v xml:space="preserve">     本工程預算總額計新台幣</v>
          </cell>
          <cell r="BI290" t="str">
            <v>壹佰捌拾萬參仟捌佰玖拾玖元整</v>
          </cell>
        </row>
        <row r="292">
          <cell r="AU292" t="str">
            <v>霧峰鄉公所</v>
          </cell>
          <cell r="AV292" t="str">
            <v>項次</v>
          </cell>
          <cell r="AW292" t="str">
            <v>工程項目</v>
          </cell>
          <cell r="AX292" t="str">
            <v>單位</v>
          </cell>
          <cell r="AY292" t="str">
            <v>數   量</v>
          </cell>
          <cell r="AZ292" t="str">
            <v>單   價</v>
          </cell>
          <cell r="BA292" t="str">
            <v>總   價</v>
          </cell>
          <cell r="BB292" t="str">
            <v>附   註</v>
          </cell>
          <cell r="BD292" t="str">
            <v>項次</v>
          </cell>
          <cell r="BE292" t="str">
            <v>工程項目</v>
          </cell>
          <cell r="BF292" t="str">
            <v>單位</v>
          </cell>
          <cell r="BG292" t="str">
            <v>數   量</v>
          </cell>
          <cell r="BH292" t="str">
            <v>單   價</v>
          </cell>
          <cell r="BI292" t="str">
            <v>總   價</v>
          </cell>
          <cell r="BJ292" t="str">
            <v>附   註</v>
          </cell>
        </row>
        <row r="293">
          <cell r="AU293" t="str">
            <v>霧峰鄉公所1</v>
          </cell>
        </row>
        <row r="294">
          <cell r="AU294" t="str">
            <v>霧峰鄉公所2</v>
          </cell>
          <cell r="AV294">
            <v>1</v>
          </cell>
          <cell r="AW294" t="str">
            <v>發 包 工 程 費</v>
          </cell>
          <cell r="AX294" t="str">
            <v>式</v>
          </cell>
          <cell r="AY294">
            <v>1</v>
          </cell>
          <cell r="AZ294" t="str">
            <v xml:space="preserve">---------   </v>
          </cell>
          <cell r="BA294">
            <v>1750161</v>
          </cell>
          <cell r="BD294">
            <v>1</v>
          </cell>
          <cell r="BE294" t="str">
            <v>發 包 工 程 費</v>
          </cell>
          <cell r="BF294" t="str">
            <v>式</v>
          </cell>
          <cell r="BG294">
            <v>1</v>
          </cell>
          <cell r="BH294" t="str">
            <v xml:space="preserve">---------   </v>
          </cell>
          <cell r="BI294">
            <v>1750161</v>
          </cell>
        </row>
        <row r="295">
          <cell r="AU295" t="str">
            <v>霧峰鄉公所3</v>
          </cell>
        </row>
        <row r="296">
          <cell r="AU296" t="str">
            <v>霧峰鄉公所4</v>
          </cell>
        </row>
        <row r="297">
          <cell r="AU297" t="str">
            <v>霧峰鄉公所5</v>
          </cell>
          <cell r="AV297">
            <v>2</v>
          </cell>
          <cell r="AW297" t="str">
            <v>工 程 管 理 費</v>
          </cell>
          <cell r="AX297" t="str">
            <v>式</v>
          </cell>
          <cell r="AY297">
            <v>1</v>
          </cell>
          <cell r="AZ297" t="str">
            <v xml:space="preserve">---------   </v>
          </cell>
          <cell r="BA297">
            <v>49134</v>
          </cell>
          <cell r="BD297">
            <v>2</v>
          </cell>
          <cell r="BE297" t="str">
            <v>工 程 管 理 費</v>
          </cell>
          <cell r="BF297" t="str">
            <v>式</v>
          </cell>
          <cell r="BG297">
            <v>1</v>
          </cell>
          <cell r="BH297" t="str">
            <v xml:space="preserve">---------   </v>
          </cell>
          <cell r="BI297">
            <v>49134</v>
          </cell>
        </row>
        <row r="298">
          <cell r="AU298" t="str">
            <v>霧峰鄉公所6</v>
          </cell>
          <cell r="AW298" t="str">
            <v>500萬元以下3%</v>
          </cell>
          <cell r="BE298" t="str">
            <v>500萬元以下3%</v>
          </cell>
        </row>
        <row r="299">
          <cell r="AU299" t="str">
            <v>霧峰鄉公所7</v>
          </cell>
          <cell r="AW299">
            <v>0</v>
          </cell>
          <cell r="BE299">
            <v>0</v>
          </cell>
        </row>
        <row r="300">
          <cell r="AU300" t="str">
            <v>霧峰鄉公所8</v>
          </cell>
        </row>
        <row r="301">
          <cell r="AU301" t="str">
            <v>霧峰鄉公所9</v>
          </cell>
        </row>
        <row r="302">
          <cell r="AU302" t="str">
            <v>霧峰鄉公所10</v>
          </cell>
          <cell r="AV302">
            <v>3</v>
          </cell>
          <cell r="AW302" t="str">
            <v>委託技術服務費</v>
          </cell>
          <cell r="AX302" t="str">
            <v>式</v>
          </cell>
          <cell r="AY302">
            <v>1</v>
          </cell>
          <cell r="AZ302" t="str">
            <v xml:space="preserve">---------   </v>
          </cell>
          <cell r="BA302">
            <v>111809</v>
          </cell>
          <cell r="BD302">
            <v>3</v>
          </cell>
          <cell r="BE302" t="str">
            <v>空 氣 污 染 防 制 費</v>
          </cell>
          <cell r="BF302" t="str">
            <v>式</v>
          </cell>
          <cell r="BG302">
            <v>1</v>
          </cell>
          <cell r="BH302" t="str">
            <v xml:space="preserve">---------   </v>
          </cell>
          <cell r="BI302">
            <v>2707</v>
          </cell>
        </row>
        <row r="303">
          <cell r="AU303" t="str">
            <v>霧峰鄉公所11</v>
          </cell>
          <cell r="AW303" t="str">
            <v>1000萬元以下6.8%</v>
          </cell>
          <cell r="BE303" t="str">
            <v>(0.3%*發包工程費)</v>
          </cell>
        </row>
        <row r="304">
          <cell r="AU304" t="str">
            <v>霧峰鄉公所12</v>
          </cell>
          <cell r="AW304">
            <v>0</v>
          </cell>
        </row>
        <row r="305">
          <cell r="AU305" t="str">
            <v>霧峰鄉公所13</v>
          </cell>
        </row>
        <row r="306">
          <cell r="AU306" t="str">
            <v>霧峰鄉公所14</v>
          </cell>
          <cell r="BE306" t="str">
            <v>總    計</v>
          </cell>
          <cell r="BI306">
            <v>1802002</v>
          </cell>
        </row>
        <row r="307">
          <cell r="AU307" t="str">
            <v>霧峰鄉公所15</v>
          </cell>
          <cell r="AV307">
            <v>4</v>
          </cell>
          <cell r="AW307" t="str">
            <v>空 氣 污 染 防 制 費</v>
          </cell>
          <cell r="AX307" t="str">
            <v>式</v>
          </cell>
          <cell r="AY307">
            <v>1</v>
          </cell>
          <cell r="AZ307" t="str">
            <v xml:space="preserve">---------   </v>
          </cell>
          <cell r="BA307">
            <v>2707</v>
          </cell>
        </row>
        <row r="308">
          <cell r="AU308" t="str">
            <v>霧峰鄉公所16</v>
          </cell>
          <cell r="AW308" t="str">
            <v>(0.3%*發包工程費)</v>
          </cell>
        </row>
        <row r="309">
          <cell r="AU309" t="str">
            <v>霧峰鄉公所17</v>
          </cell>
        </row>
        <row r="310">
          <cell r="AU310" t="str">
            <v>霧峰鄉公所18</v>
          </cell>
        </row>
        <row r="311">
          <cell r="AU311" t="str">
            <v>霧峰鄉公所19</v>
          </cell>
          <cell r="AW311" t="str">
            <v>總    計</v>
          </cell>
          <cell r="BA311">
            <v>1913811</v>
          </cell>
        </row>
        <row r="312">
          <cell r="AU312" t="str">
            <v>霧峰鄉公所20</v>
          </cell>
        </row>
        <row r="313">
          <cell r="AU313" t="str">
            <v>霧峰鄉公所21</v>
          </cell>
        </row>
        <row r="314">
          <cell r="AU314" t="str">
            <v>霧峰鄉公所22</v>
          </cell>
        </row>
        <row r="315">
          <cell r="AU315" t="str">
            <v>霧峰鄉公所23</v>
          </cell>
        </row>
        <row r="316">
          <cell r="AU316" t="str">
            <v>霧峰鄉公所24</v>
          </cell>
        </row>
        <row r="317">
          <cell r="AU317" t="str">
            <v>霧峰鄉公所25</v>
          </cell>
        </row>
        <row r="318">
          <cell r="AU318" t="str">
            <v>霧峰鄉公所26</v>
          </cell>
        </row>
        <row r="319">
          <cell r="AU319" t="str">
            <v>霧峰鄉公所27</v>
          </cell>
        </row>
        <row r="320">
          <cell r="AU320" t="str">
            <v>霧峰鄉公所28</v>
          </cell>
        </row>
        <row r="321">
          <cell r="AU321" t="str">
            <v>霧峰鄉公所29</v>
          </cell>
        </row>
        <row r="322">
          <cell r="AU322" t="str">
            <v>霧峰鄉公所30</v>
          </cell>
        </row>
        <row r="323">
          <cell r="AU323" t="str">
            <v>霧峰鄉公所31</v>
          </cell>
        </row>
        <row r="324">
          <cell r="AU324" t="str">
            <v>霧峰鄉公所32</v>
          </cell>
        </row>
        <row r="325">
          <cell r="AU325" t="str">
            <v>霧峰鄉公所33</v>
          </cell>
        </row>
        <row r="326">
          <cell r="AU326" t="str">
            <v>霧峰鄉公所34</v>
          </cell>
        </row>
        <row r="327">
          <cell r="AU327" t="str">
            <v>霧峰鄉公所35</v>
          </cell>
        </row>
        <row r="328">
          <cell r="AU328" t="str">
            <v>霧峰鄉公所36</v>
          </cell>
        </row>
        <row r="329">
          <cell r="AU329" t="str">
            <v>霧峰鄉公所37</v>
          </cell>
        </row>
        <row r="330">
          <cell r="AU330" t="str">
            <v>霧峰鄉公所38</v>
          </cell>
        </row>
        <row r="331">
          <cell r="AU331" t="str">
            <v>霧峰鄉公所39</v>
          </cell>
        </row>
        <row r="332">
          <cell r="AU332" t="str">
            <v>霧峰鄉公所40</v>
          </cell>
          <cell r="BA332" t="str">
            <v>壹佰玖拾壹萬參仟捌佰壹拾壹元整</v>
          </cell>
          <cell r="BI332" t="str">
            <v>壹佰捌拾萬貳仟零貳元整</v>
          </cell>
        </row>
        <row r="334">
          <cell r="AU334" t="str">
            <v>龍井鄉公所</v>
          </cell>
          <cell r="AV334" t="str">
            <v>項次</v>
          </cell>
          <cell r="AW334" t="str">
            <v>工程項目</v>
          </cell>
          <cell r="AX334" t="str">
            <v>單位</v>
          </cell>
          <cell r="AY334" t="str">
            <v>數   量</v>
          </cell>
          <cell r="AZ334" t="str">
            <v>單   價</v>
          </cell>
          <cell r="BA334" t="str">
            <v>總   價</v>
          </cell>
          <cell r="BB334" t="str">
            <v>附   註</v>
          </cell>
          <cell r="BD334" t="str">
            <v>項次</v>
          </cell>
          <cell r="BE334" t="str">
            <v>工程項目</v>
          </cell>
          <cell r="BF334" t="str">
            <v>單位</v>
          </cell>
          <cell r="BG334" t="str">
            <v>數   量</v>
          </cell>
          <cell r="BH334" t="str">
            <v>單   價</v>
          </cell>
          <cell r="BI334" t="str">
            <v>總   價</v>
          </cell>
          <cell r="BJ334" t="str">
            <v>附   註</v>
          </cell>
        </row>
        <row r="335">
          <cell r="AU335" t="str">
            <v>龍井鄉公所1</v>
          </cell>
        </row>
        <row r="336">
          <cell r="AU336" t="str">
            <v>龍井鄉公所2</v>
          </cell>
          <cell r="AV336">
            <v>1</v>
          </cell>
          <cell r="AW336" t="str">
            <v>發 包 工 程 費</v>
          </cell>
          <cell r="AX336" t="str">
            <v>式</v>
          </cell>
          <cell r="AY336">
            <v>1</v>
          </cell>
          <cell r="AZ336" t="str">
            <v xml:space="preserve">---------   </v>
          </cell>
          <cell r="BA336">
            <v>902400</v>
          </cell>
          <cell r="BD336">
            <v>1</v>
          </cell>
          <cell r="BE336" t="str">
            <v>發 包 工 程 費</v>
          </cell>
          <cell r="BF336" t="str">
            <v>式</v>
          </cell>
          <cell r="BG336">
            <v>1</v>
          </cell>
          <cell r="BH336" t="str">
            <v xml:space="preserve">---------   </v>
          </cell>
          <cell r="BI336">
            <v>902400</v>
          </cell>
        </row>
        <row r="337">
          <cell r="AU337" t="str">
            <v>龍井鄉公所3</v>
          </cell>
        </row>
        <row r="338">
          <cell r="AU338" t="str">
            <v>龍井鄉公所4</v>
          </cell>
        </row>
        <row r="339">
          <cell r="AU339" t="str">
            <v>龍井鄉公所5</v>
          </cell>
          <cell r="AV339">
            <v>2</v>
          </cell>
          <cell r="AW339" t="str">
            <v>工 程 管 理 費</v>
          </cell>
          <cell r="AX339" t="str">
            <v>式</v>
          </cell>
          <cell r="AY339">
            <v>1</v>
          </cell>
          <cell r="AZ339" t="str">
            <v xml:space="preserve">---------   </v>
          </cell>
          <cell r="BA339">
            <v>25419</v>
          </cell>
          <cell r="BD339">
            <v>2</v>
          </cell>
          <cell r="BE339" t="str">
            <v>工 程 管 理 費</v>
          </cell>
          <cell r="BF339" t="str">
            <v>式</v>
          </cell>
          <cell r="BG339">
            <v>1</v>
          </cell>
          <cell r="BH339" t="str">
            <v xml:space="preserve">---------   </v>
          </cell>
          <cell r="BI339">
            <v>25419</v>
          </cell>
        </row>
        <row r="340">
          <cell r="AU340" t="str">
            <v>龍井鄉公所6</v>
          </cell>
          <cell r="AW340" t="str">
            <v>500萬元以下3%</v>
          </cell>
          <cell r="BE340" t="str">
            <v>500萬元以下3%</v>
          </cell>
        </row>
        <row r="341">
          <cell r="AU341" t="str">
            <v>龍井鄉公所7</v>
          </cell>
          <cell r="AW341">
            <v>0</v>
          </cell>
          <cell r="BE341">
            <v>0</v>
          </cell>
        </row>
        <row r="342">
          <cell r="AU342" t="str">
            <v>龍井鄉公所8</v>
          </cell>
        </row>
        <row r="343">
          <cell r="AU343" t="str">
            <v>龍井鄉公所9</v>
          </cell>
        </row>
        <row r="344">
          <cell r="AU344" t="str">
            <v>龍井鄉公所10</v>
          </cell>
          <cell r="AV344">
            <v>3</v>
          </cell>
          <cell r="AW344" t="str">
            <v>委託技術服務費</v>
          </cell>
          <cell r="AX344" t="str">
            <v>式</v>
          </cell>
          <cell r="AY344">
            <v>1</v>
          </cell>
          <cell r="AZ344" t="str">
            <v xml:space="preserve">---------   </v>
          </cell>
          <cell r="BA344">
            <v>58054</v>
          </cell>
          <cell r="BD344">
            <v>3</v>
          </cell>
          <cell r="BE344" t="str">
            <v>空 氣 污 染 防 制 費</v>
          </cell>
          <cell r="BF344" t="str">
            <v>式</v>
          </cell>
          <cell r="BG344">
            <v>1</v>
          </cell>
          <cell r="BH344" t="str">
            <v xml:space="preserve">---------   </v>
          </cell>
          <cell r="BI344">
            <v>2707</v>
          </cell>
        </row>
        <row r="345">
          <cell r="AU345" t="str">
            <v>龍井鄉公所11</v>
          </cell>
          <cell r="AW345" t="str">
            <v>1000萬元以下6.8%</v>
          </cell>
          <cell r="BE345" t="str">
            <v>(0.3%*發包工程費)</v>
          </cell>
        </row>
        <row r="346">
          <cell r="AU346" t="str">
            <v>龍井鄉公所12</v>
          </cell>
          <cell r="AW346">
            <v>0</v>
          </cell>
        </row>
        <row r="347">
          <cell r="AU347" t="str">
            <v>龍井鄉公所13</v>
          </cell>
        </row>
        <row r="348">
          <cell r="AU348" t="str">
            <v>龍井鄉公所14</v>
          </cell>
          <cell r="BD348">
            <v>4</v>
          </cell>
          <cell r="BE348" t="str">
            <v>材 料 試 驗 費</v>
          </cell>
          <cell r="BF348" t="str">
            <v>式</v>
          </cell>
          <cell r="BG348" t="str">
            <v>1.00</v>
          </cell>
          <cell r="BH348" t="str">
            <v xml:space="preserve">---------   </v>
          </cell>
          <cell r="BI348">
            <v>11420</v>
          </cell>
        </row>
        <row r="349">
          <cell r="AU349" t="str">
            <v>龍井鄉公所15</v>
          </cell>
          <cell r="AV349">
            <v>4</v>
          </cell>
          <cell r="AW349" t="str">
            <v>空 氣 污 染 防 制 費</v>
          </cell>
          <cell r="AX349" t="str">
            <v>式</v>
          </cell>
          <cell r="AY349">
            <v>1</v>
          </cell>
          <cell r="AZ349" t="str">
            <v xml:space="preserve">---------   </v>
          </cell>
          <cell r="BA349">
            <v>2707</v>
          </cell>
        </row>
        <row r="350">
          <cell r="AU350" t="str">
            <v>龍井鄉公所16</v>
          </cell>
          <cell r="AW350" t="str">
            <v>(0.3%*發包工程費)</v>
          </cell>
          <cell r="BH350" t="str">
            <v xml:space="preserve"> </v>
          </cell>
        </row>
        <row r="351">
          <cell r="AU351" t="str">
            <v>龍井鄉公所17</v>
          </cell>
          <cell r="BE351" t="str">
            <v>合計</v>
          </cell>
          <cell r="BI351">
            <v>941946</v>
          </cell>
        </row>
        <row r="352">
          <cell r="AU352" t="str">
            <v>龍井鄉公所18</v>
          </cell>
        </row>
        <row r="353">
          <cell r="AU353" t="str">
            <v>龍井鄉公所19</v>
          </cell>
          <cell r="AV353">
            <v>5</v>
          </cell>
          <cell r="AW353" t="str">
            <v>材 料 試 驗 費</v>
          </cell>
          <cell r="AX353" t="str">
            <v>式</v>
          </cell>
          <cell r="AY353" t="str">
            <v>1.00</v>
          </cell>
          <cell r="AZ353" t="str">
            <v xml:space="preserve">---------   </v>
          </cell>
          <cell r="BA353">
            <v>11420</v>
          </cell>
        </row>
        <row r="354">
          <cell r="AU354" t="str">
            <v>龍井鄉公所20</v>
          </cell>
        </row>
        <row r="355">
          <cell r="AU355" t="str">
            <v>龍井鄉公所21</v>
          </cell>
          <cell r="AZ355" t="str">
            <v xml:space="preserve"> </v>
          </cell>
        </row>
        <row r="356">
          <cell r="AU356" t="str">
            <v>龍井鄉公所22</v>
          </cell>
          <cell r="AW356" t="str">
            <v>合計</v>
          </cell>
          <cell r="BA356">
            <v>1000000</v>
          </cell>
        </row>
        <row r="357">
          <cell r="AU357" t="str">
            <v>龍井鄉公所23</v>
          </cell>
        </row>
        <row r="358">
          <cell r="AU358" t="str">
            <v>龍井鄉公所24</v>
          </cell>
        </row>
        <row r="359">
          <cell r="AU359" t="str">
            <v>龍井鄉公所25</v>
          </cell>
        </row>
        <row r="360">
          <cell r="AU360" t="str">
            <v>龍井鄉公所26</v>
          </cell>
        </row>
        <row r="361">
          <cell r="AU361" t="str">
            <v>龍井鄉公所27</v>
          </cell>
        </row>
        <row r="362">
          <cell r="AU362" t="str">
            <v>龍井鄉公所28</v>
          </cell>
        </row>
        <row r="363">
          <cell r="AU363" t="str">
            <v>龍井鄉公所29</v>
          </cell>
        </row>
        <row r="364">
          <cell r="AU364" t="str">
            <v>龍井鄉公所30</v>
          </cell>
        </row>
        <row r="365">
          <cell r="AU365" t="str">
            <v>龍井鄉公所31</v>
          </cell>
        </row>
        <row r="366">
          <cell r="AU366" t="str">
            <v>龍井鄉公所32</v>
          </cell>
        </row>
        <row r="367">
          <cell r="AU367" t="str">
            <v>龍井鄉公所33</v>
          </cell>
        </row>
        <row r="368">
          <cell r="AU368" t="str">
            <v>龍井鄉公所34</v>
          </cell>
        </row>
        <row r="369">
          <cell r="AU369" t="str">
            <v>龍井鄉公所35</v>
          </cell>
        </row>
        <row r="370">
          <cell r="AU370" t="str">
            <v>龍井鄉公所36</v>
          </cell>
        </row>
        <row r="371">
          <cell r="AU371" t="str">
            <v>龍井鄉公所37</v>
          </cell>
        </row>
        <row r="372">
          <cell r="AU372" t="str">
            <v>龍井鄉公所38</v>
          </cell>
        </row>
        <row r="373">
          <cell r="AU373" t="str">
            <v>龍井鄉公所39</v>
          </cell>
        </row>
        <row r="374">
          <cell r="AU374" t="str">
            <v>龍井鄉公所40</v>
          </cell>
          <cell r="AV374" t="str">
            <v xml:space="preserve">     本工程預算總額計新台幣</v>
          </cell>
          <cell r="BA374" t="str">
            <v>壹佰萬元整</v>
          </cell>
          <cell r="BD374" t="str">
            <v xml:space="preserve">     本工程預算總額計新台幣</v>
          </cell>
          <cell r="BI374" t="str">
            <v>玖拾肆萬壹仟玖佰肆拾陸元整</v>
          </cell>
        </row>
        <row r="376">
          <cell r="AU376" t="str">
            <v>新社鄉公所</v>
          </cell>
          <cell r="AV376" t="str">
            <v>項次</v>
          </cell>
          <cell r="AW376" t="str">
            <v>工程項目</v>
          </cell>
          <cell r="AX376" t="str">
            <v>單位</v>
          </cell>
          <cell r="AY376" t="str">
            <v>數   量</v>
          </cell>
          <cell r="AZ376" t="str">
            <v>單   價</v>
          </cell>
          <cell r="BA376" t="str">
            <v>總   價</v>
          </cell>
          <cell r="BB376" t="str">
            <v>附   註</v>
          </cell>
          <cell r="BD376" t="str">
            <v>項次</v>
          </cell>
          <cell r="BE376" t="str">
            <v>工程項目</v>
          </cell>
          <cell r="BF376" t="str">
            <v>單位</v>
          </cell>
          <cell r="BG376" t="str">
            <v>數   量</v>
          </cell>
          <cell r="BH376" t="str">
            <v>單   價</v>
          </cell>
          <cell r="BI376" t="str">
            <v>總   價</v>
          </cell>
          <cell r="BJ376" t="str">
            <v>附   註</v>
          </cell>
        </row>
        <row r="377">
          <cell r="AU377" t="str">
            <v>新社鄉公所1</v>
          </cell>
        </row>
        <row r="378">
          <cell r="AU378" t="str">
            <v>新社鄉公所2</v>
          </cell>
          <cell r="AV378">
            <v>1</v>
          </cell>
          <cell r="AW378" t="str">
            <v>發 包 工 程 費</v>
          </cell>
          <cell r="AX378" t="str">
            <v>式</v>
          </cell>
          <cell r="AY378">
            <v>1</v>
          </cell>
          <cell r="AZ378" t="str">
            <v xml:space="preserve">---------   </v>
          </cell>
          <cell r="BA378">
            <v>1750161</v>
          </cell>
          <cell r="BD378">
            <v>1</v>
          </cell>
          <cell r="BE378" t="str">
            <v>發 包 工 程 費</v>
          </cell>
          <cell r="BF378" t="str">
            <v>式</v>
          </cell>
          <cell r="BG378">
            <v>1</v>
          </cell>
          <cell r="BH378" t="str">
            <v xml:space="preserve">---------   </v>
          </cell>
          <cell r="BI378">
            <v>1750161</v>
          </cell>
        </row>
        <row r="379">
          <cell r="AU379" t="str">
            <v>新社鄉公所3</v>
          </cell>
        </row>
        <row r="380">
          <cell r="AU380" t="str">
            <v>新社鄉公所4</v>
          </cell>
        </row>
        <row r="381">
          <cell r="AU381" t="str">
            <v>新社鄉公所5</v>
          </cell>
          <cell r="AV381">
            <v>2</v>
          </cell>
          <cell r="AW381" t="str">
            <v>工 程 管 理 費</v>
          </cell>
          <cell r="AX381" t="str">
            <v>式</v>
          </cell>
          <cell r="AY381">
            <v>1</v>
          </cell>
          <cell r="AZ381" t="str">
            <v xml:space="preserve">---------   </v>
          </cell>
          <cell r="BA381">
            <v>51031</v>
          </cell>
          <cell r="BD381">
            <v>2</v>
          </cell>
          <cell r="BE381" t="str">
            <v>工 程 管 理 費</v>
          </cell>
          <cell r="BF381" t="str">
            <v>式</v>
          </cell>
          <cell r="BG381">
            <v>1</v>
          </cell>
          <cell r="BH381" t="str">
            <v xml:space="preserve">---------   </v>
          </cell>
          <cell r="BI381">
            <v>51031</v>
          </cell>
        </row>
        <row r="382">
          <cell r="AU382" t="str">
            <v>新社鄉公所6</v>
          </cell>
          <cell r="AW382" t="str">
            <v>500萬元以下3%</v>
          </cell>
          <cell r="BE382" t="str">
            <v>500萬元以下3%</v>
          </cell>
        </row>
        <row r="383">
          <cell r="AU383" t="str">
            <v>新社鄉公所7</v>
          </cell>
          <cell r="AW383">
            <v>0</v>
          </cell>
          <cell r="BE383">
            <v>0</v>
          </cell>
        </row>
        <row r="384">
          <cell r="AU384" t="str">
            <v>新社鄉公所8</v>
          </cell>
        </row>
        <row r="385">
          <cell r="AU385" t="str">
            <v>新社鄉公所9</v>
          </cell>
        </row>
        <row r="386">
          <cell r="AU386" t="str">
            <v>新社鄉公所10</v>
          </cell>
          <cell r="AV386">
            <v>3</v>
          </cell>
          <cell r="AW386" t="str">
            <v>委託設計及協辦招標決標服務費</v>
          </cell>
          <cell r="AX386" t="str">
            <v>式</v>
          </cell>
          <cell r="AY386">
            <v>1</v>
          </cell>
          <cell r="AZ386" t="str">
            <v xml:space="preserve">---------   </v>
          </cell>
          <cell r="BA386">
            <v>116108</v>
          </cell>
          <cell r="BD386">
            <v>3</v>
          </cell>
          <cell r="BE386" t="str">
            <v>空 氣 污 染 防 制 費</v>
          </cell>
          <cell r="BF386" t="str">
            <v>式</v>
          </cell>
          <cell r="BG386">
            <v>1</v>
          </cell>
          <cell r="BH386" t="str">
            <v xml:space="preserve">---------   </v>
          </cell>
          <cell r="BI386">
            <v>2707</v>
          </cell>
        </row>
        <row r="387">
          <cell r="AU387" t="str">
            <v>新社鄉公所11</v>
          </cell>
          <cell r="AW387" t="str">
            <v>1000萬元以下6.8%</v>
          </cell>
          <cell r="BE387" t="str">
            <v>(0.3%*發包工程費)</v>
          </cell>
          <cell r="BH387" t="str">
            <v xml:space="preserve"> </v>
          </cell>
        </row>
        <row r="388">
          <cell r="AU388" t="str">
            <v>新社鄉公所12</v>
          </cell>
          <cell r="AW388">
            <v>0</v>
          </cell>
        </row>
        <row r="389">
          <cell r="AU389" t="str">
            <v>新社鄉公所13</v>
          </cell>
        </row>
        <row r="390">
          <cell r="AU390" t="str">
            <v>新社鄉公所14</v>
          </cell>
          <cell r="BE390" t="str">
            <v>合計</v>
          </cell>
          <cell r="BI390">
            <v>1803899</v>
          </cell>
        </row>
        <row r="391">
          <cell r="AU391" t="str">
            <v>新社鄉公所15</v>
          </cell>
          <cell r="AV391">
            <v>4</v>
          </cell>
          <cell r="AW391" t="str">
            <v>委託監造服務費</v>
          </cell>
          <cell r="AX391" t="str">
            <v>式</v>
          </cell>
          <cell r="AY391">
            <v>1</v>
          </cell>
          <cell r="AZ391" t="str">
            <v xml:space="preserve">---------   </v>
          </cell>
          <cell r="BA391">
            <v>0</v>
          </cell>
        </row>
        <row r="392">
          <cell r="AU392" t="str">
            <v>新社鄉公所16</v>
          </cell>
          <cell r="AW392" t="str">
            <v>1000萬元以下0%</v>
          </cell>
        </row>
        <row r="393">
          <cell r="AU393" t="str">
            <v>新社鄉公所17</v>
          </cell>
          <cell r="AW393">
            <v>0</v>
          </cell>
        </row>
        <row r="394">
          <cell r="AU394" t="str">
            <v>新社鄉公所18</v>
          </cell>
        </row>
        <row r="395">
          <cell r="AU395" t="str">
            <v>新社鄉公所19</v>
          </cell>
        </row>
        <row r="396">
          <cell r="AU396" t="str">
            <v>新社鄉公所20</v>
          </cell>
          <cell r="AV396">
            <v>5</v>
          </cell>
          <cell r="AW396" t="str">
            <v>空 氣 污 染 防 制 費</v>
          </cell>
          <cell r="AX396" t="str">
            <v>式</v>
          </cell>
          <cell r="AY396">
            <v>1</v>
          </cell>
          <cell r="AZ396" t="str">
            <v xml:space="preserve">---------   </v>
          </cell>
          <cell r="BA396">
            <v>2707</v>
          </cell>
        </row>
        <row r="397">
          <cell r="AU397" t="str">
            <v>新社鄉公所21</v>
          </cell>
          <cell r="AW397" t="str">
            <v>(0.3%*發包工程費)</v>
          </cell>
          <cell r="AZ397" t="str">
            <v xml:space="preserve"> </v>
          </cell>
        </row>
        <row r="398">
          <cell r="AU398" t="str">
            <v>新社鄉公所22</v>
          </cell>
        </row>
        <row r="399">
          <cell r="AU399" t="str">
            <v>新社鄉公所23</v>
          </cell>
        </row>
        <row r="400">
          <cell r="AU400" t="str">
            <v>新社鄉公所24</v>
          </cell>
          <cell r="AW400" t="str">
            <v>合計</v>
          </cell>
          <cell r="BA400">
            <v>1920007</v>
          </cell>
        </row>
        <row r="401">
          <cell r="AU401" t="str">
            <v>新社鄉公所25</v>
          </cell>
        </row>
        <row r="402">
          <cell r="AU402" t="str">
            <v>新社鄉公所26</v>
          </cell>
        </row>
        <row r="403">
          <cell r="AU403" t="str">
            <v>新社鄉公所27</v>
          </cell>
        </row>
        <row r="404">
          <cell r="AU404" t="str">
            <v>新社鄉公所28</v>
          </cell>
        </row>
        <row r="405">
          <cell r="AU405" t="str">
            <v>新社鄉公所29</v>
          </cell>
        </row>
        <row r="406">
          <cell r="AU406" t="str">
            <v>新社鄉公所30</v>
          </cell>
        </row>
        <row r="407">
          <cell r="AU407" t="str">
            <v>新社鄉公所31</v>
          </cell>
        </row>
        <row r="408">
          <cell r="AU408" t="str">
            <v>新社鄉公所32</v>
          </cell>
        </row>
        <row r="409">
          <cell r="AU409" t="str">
            <v>新社鄉公所33</v>
          </cell>
        </row>
        <row r="410">
          <cell r="AU410" t="str">
            <v>新社鄉公所34</v>
          </cell>
        </row>
        <row r="411">
          <cell r="AU411" t="str">
            <v>新社鄉公所35</v>
          </cell>
        </row>
        <row r="412">
          <cell r="AU412" t="str">
            <v>新社鄉公所36</v>
          </cell>
        </row>
        <row r="413">
          <cell r="AU413" t="str">
            <v>新社鄉公所37</v>
          </cell>
        </row>
        <row r="414">
          <cell r="AU414" t="str">
            <v>新社鄉公所38</v>
          </cell>
        </row>
        <row r="415">
          <cell r="AU415" t="str">
            <v>新社鄉公所39</v>
          </cell>
        </row>
        <row r="416">
          <cell r="AU416" t="str">
            <v>新社鄉公所40</v>
          </cell>
          <cell r="AV416" t="str">
            <v xml:space="preserve">     本工程預算總額計新台幣</v>
          </cell>
          <cell r="BA416" t="str">
            <v>壹佰玖拾貳萬零柒元整</v>
          </cell>
          <cell r="BD416" t="str">
            <v xml:space="preserve">     本工程預算總額計新台幣</v>
          </cell>
          <cell r="BI416" t="str">
            <v>壹佰捌拾萬參仟捌佰玖拾玖元整</v>
          </cell>
        </row>
        <row r="418">
          <cell r="AU418" t="str">
            <v>清水鎮公所</v>
          </cell>
          <cell r="AV418" t="str">
            <v>項次</v>
          </cell>
          <cell r="AW418" t="str">
            <v>工程項目</v>
          </cell>
          <cell r="AX418" t="str">
            <v>單位</v>
          </cell>
          <cell r="AY418" t="str">
            <v>數   量</v>
          </cell>
          <cell r="AZ418" t="str">
            <v>單   價</v>
          </cell>
          <cell r="BA418" t="str">
            <v>總   價</v>
          </cell>
          <cell r="BB418" t="str">
            <v>附   註</v>
          </cell>
          <cell r="BD418" t="str">
            <v>項次</v>
          </cell>
          <cell r="BE418" t="str">
            <v>工程項目</v>
          </cell>
          <cell r="BF418" t="str">
            <v>單位</v>
          </cell>
          <cell r="BG418" t="str">
            <v>數   量</v>
          </cell>
          <cell r="BH418" t="str">
            <v>單   價</v>
          </cell>
          <cell r="BI418" t="str">
            <v>總   價</v>
          </cell>
          <cell r="BJ418" t="str">
            <v>附   註</v>
          </cell>
        </row>
        <row r="419">
          <cell r="AU419" t="str">
            <v>清水鎮公所1</v>
          </cell>
        </row>
        <row r="420">
          <cell r="AU420" t="str">
            <v>清水鎮公所2</v>
          </cell>
          <cell r="AV420">
            <v>1</v>
          </cell>
          <cell r="AW420" t="str">
            <v>發 包 工 程 費</v>
          </cell>
          <cell r="AX420" t="str">
            <v>式</v>
          </cell>
          <cell r="AY420">
            <v>1</v>
          </cell>
          <cell r="AZ420" t="str">
            <v xml:space="preserve">---------   </v>
          </cell>
          <cell r="BA420">
            <v>1750161</v>
          </cell>
          <cell r="BD420">
            <v>1</v>
          </cell>
          <cell r="BE420" t="str">
            <v>發 包 工 程 費</v>
          </cell>
          <cell r="BF420" t="str">
            <v>式</v>
          </cell>
          <cell r="BG420">
            <v>1</v>
          </cell>
          <cell r="BH420" t="str">
            <v xml:space="preserve">---------   </v>
          </cell>
          <cell r="BI420">
            <v>1750161</v>
          </cell>
        </row>
        <row r="421">
          <cell r="AU421" t="str">
            <v>清水鎮公所3</v>
          </cell>
        </row>
        <row r="422">
          <cell r="AU422" t="str">
            <v>清水鎮公所4</v>
          </cell>
        </row>
        <row r="423">
          <cell r="AU423" t="str">
            <v>清水鎮公所5</v>
          </cell>
          <cell r="AV423">
            <v>2</v>
          </cell>
          <cell r="AW423" t="str">
            <v>工 程 管 理 費</v>
          </cell>
          <cell r="AX423" t="str">
            <v>式</v>
          </cell>
          <cell r="AY423">
            <v>1</v>
          </cell>
          <cell r="AZ423" t="str">
            <v xml:space="preserve">---------   </v>
          </cell>
          <cell r="BA423">
            <v>49134</v>
          </cell>
          <cell r="BD423">
            <v>2</v>
          </cell>
          <cell r="BE423" t="str">
            <v>工 程 管 理 費</v>
          </cell>
          <cell r="BF423" t="str">
            <v>式</v>
          </cell>
          <cell r="BG423">
            <v>1</v>
          </cell>
          <cell r="BH423" t="str">
            <v xml:space="preserve">---------   </v>
          </cell>
          <cell r="BI423">
            <v>49134</v>
          </cell>
        </row>
        <row r="424">
          <cell r="AU424" t="str">
            <v>清水鎮公所6</v>
          </cell>
          <cell r="AW424" t="str">
            <v>500萬元以下3%</v>
          </cell>
          <cell r="BE424" t="str">
            <v>500萬元以下3%</v>
          </cell>
        </row>
        <row r="425">
          <cell r="AU425" t="str">
            <v>清水鎮公所7</v>
          </cell>
          <cell r="AW425">
            <v>0</v>
          </cell>
          <cell r="BE425">
            <v>0</v>
          </cell>
        </row>
        <row r="426">
          <cell r="AU426" t="str">
            <v>清水鎮公所8</v>
          </cell>
        </row>
        <row r="427">
          <cell r="AU427" t="str">
            <v>清水鎮公所9</v>
          </cell>
        </row>
        <row r="428">
          <cell r="AU428" t="str">
            <v>清水鎮公所10</v>
          </cell>
          <cell r="AV428">
            <v>3</v>
          </cell>
          <cell r="AW428" t="str">
            <v>委託技術服務費</v>
          </cell>
          <cell r="AX428" t="str">
            <v>式</v>
          </cell>
          <cell r="AY428">
            <v>1</v>
          </cell>
          <cell r="AZ428" t="str">
            <v xml:space="preserve">---------   </v>
          </cell>
          <cell r="BA428">
            <v>111809</v>
          </cell>
          <cell r="BD428">
            <v>3</v>
          </cell>
          <cell r="BE428" t="str">
            <v>空 氣 污 染 防 制 費</v>
          </cell>
          <cell r="BF428" t="str">
            <v>式</v>
          </cell>
          <cell r="BG428">
            <v>1</v>
          </cell>
          <cell r="BH428" t="str">
            <v xml:space="preserve">---------   </v>
          </cell>
          <cell r="BI428">
            <v>2707</v>
          </cell>
        </row>
        <row r="429">
          <cell r="AU429" t="str">
            <v>清水鎮公所11</v>
          </cell>
          <cell r="AW429" t="str">
            <v>1000萬元以下6.8%</v>
          </cell>
          <cell r="BE429" t="str">
            <v>(0.3%*發包工程費)</v>
          </cell>
          <cell r="BH429" t="str">
            <v xml:space="preserve"> </v>
          </cell>
        </row>
        <row r="430">
          <cell r="AU430" t="str">
            <v>清水鎮公所12</v>
          </cell>
          <cell r="AW430">
            <v>0</v>
          </cell>
        </row>
        <row r="431">
          <cell r="AU431" t="str">
            <v>清水鎮公所13</v>
          </cell>
        </row>
        <row r="432">
          <cell r="AU432" t="str">
            <v>清水鎮公所14</v>
          </cell>
          <cell r="BE432" t="str">
            <v>合計</v>
          </cell>
          <cell r="BI432">
            <v>1802002</v>
          </cell>
        </row>
        <row r="433">
          <cell r="AU433" t="str">
            <v>清水鎮公所15</v>
          </cell>
          <cell r="AV433">
            <v>4</v>
          </cell>
          <cell r="AW433" t="str">
            <v>空 氣 污 染 防 制 費</v>
          </cell>
          <cell r="AX433" t="str">
            <v>式</v>
          </cell>
          <cell r="AY433">
            <v>1</v>
          </cell>
          <cell r="AZ433" t="str">
            <v xml:space="preserve">---------   </v>
          </cell>
          <cell r="BA433">
            <v>2707</v>
          </cell>
        </row>
        <row r="434">
          <cell r="AU434" t="str">
            <v>清水鎮公所16</v>
          </cell>
          <cell r="AW434" t="str">
            <v>(0.3%*發包工程費)</v>
          </cell>
        </row>
        <row r="435">
          <cell r="AU435" t="str">
            <v>清水鎮公所17</v>
          </cell>
        </row>
        <row r="436">
          <cell r="AU436" t="str">
            <v>清水鎮公所18</v>
          </cell>
        </row>
        <row r="437">
          <cell r="AU437" t="str">
            <v>清水鎮公所19</v>
          </cell>
          <cell r="AW437" t="str">
            <v>合計</v>
          </cell>
          <cell r="BA437">
            <v>1913811</v>
          </cell>
        </row>
        <row r="438">
          <cell r="AU438" t="str">
            <v>清水鎮公所20</v>
          </cell>
        </row>
        <row r="439">
          <cell r="AU439" t="str">
            <v>清水鎮公所21</v>
          </cell>
        </row>
        <row r="440">
          <cell r="AU440" t="str">
            <v>清水鎮公所22</v>
          </cell>
        </row>
        <row r="441">
          <cell r="AU441" t="str">
            <v>清水鎮公所23</v>
          </cell>
        </row>
        <row r="442">
          <cell r="AU442" t="str">
            <v>清水鎮公所24</v>
          </cell>
        </row>
        <row r="443">
          <cell r="AU443" t="str">
            <v>清水鎮公所25</v>
          </cell>
        </row>
        <row r="444">
          <cell r="AU444" t="str">
            <v>清水鎮公所26</v>
          </cell>
        </row>
        <row r="445">
          <cell r="AU445" t="str">
            <v>清水鎮公所27</v>
          </cell>
        </row>
        <row r="446">
          <cell r="AU446" t="str">
            <v>清水鎮公所28</v>
          </cell>
        </row>
        <row r="447">
          <cell r="AU447" t="str">
            <v>清水鎮公所29</v>
          </cell>
        </row>
        <row r="448">
          <cell r="AU448" t="str">
            <v>清水鎮公所30</v>
          </cell>
        </row>
        <row r="449">
          <cell r="AU449" t="str">
            <v>清水鎮公所31</v>
          </cell>
        </row>
        <row r="450">
          <cell r="AU450" t="str">
            <v>清水鎮公所32</v>
          </cell>
        </row>
        <row r="451">
          <cell r="AU451" t="str">
            <v>清水鎮公所33</v>
          </cell>
        </row>
        <row r="452">
          <cell r="AU452" t="str">
            <v>清水鎮公所34</v>
          </cell>
        </row>
        <row r="453">
          <cell r="AU453" t="str">
            <v>清水鎮公所35</v>
          </cell>
        </row>
        <row r="454">
          <cell r="AU454" t="str">
            <v>清水鎮公所36</v>
          </cell>
        </row>
        <row r="455">
          <cell r="AU455" t="str">
            <v>清水鎮公所37</v>
          </cell>
        </row>
        <row r="456">
          <cell r="AU456" t="str">
            <v>清水鎮公所38</v>
          </cell>
        </row>
        <row r="457">
          <cell r="AU457" t="str">
            <v>清水鎮公所39</v>
          </cell>
        </row>
        <row r="458">
          <cell r="AU458" t="str">
            <v>清水鎮公所40</v>
          </cell>
          <cell r="AV458" t="str">
            <v xml:space="preserve">     本工程預算總額計新台幣</v>
          </cell>
          <cell r="BA458" t="str">
            <v>壹佰玖拾壹萬參仟捌佰壹拾壹元整</v>
          </cell>
          <cell r="BD458" t="str">
            <v xml:space="preserve">     本工程預算總額計新台幣</v>
          </cell>
          <cell r="BI458" t="str">
            <v>壹佰捌拾萬貳仟零貳元整</v>
          </cell>
        </row>
        <row r="460">
          <cell r="AU460" t="str">
            <v>東勢鎮公所</v>
          </cell>
          <cell r="AV460" t="str">
            <v>項次</v>
          </cell>
          <cell r="AW460" t="str">
            <v>工程項目</v>
          </cell>
          <cell r="AX460" t="str">
            <v>單位</v>
          </cell>
          <cell r="AY460" t="str">
            <v>數   量</v>
          </cell>
          <cell r="AZ460" t="str">
            <v>單   價</v>
          </cell>
          <cell r="BA460" t="str">
            <v>總   價</v>
          </cell>
          <cell r="BB460" t="str">
            <v>附   註</v>
          </cell>
          <cell r="BD460" t="str">
            <v>項次</v>
          </cell>
          <cell r="BE460" t="str">
            <v>工程項目</v>
          </cell>
          <cell r="BF460" t="str">
            <v>單位</v>
          </cell>
          <cell r="BG460" t="str">
            <v>數   量</v>
          </cell>
          <cell r="BH460" t="str">
            <v>單   價</v>
          </cell>
          <cell r="BI460" t="str">
            <v>總   價</v>
          </cell>
          <cell r="BJ460" t="str">
            <v>附   註</v>
          </cell>
        </row>
        <row r="461">
          <cell r="AU461" t="str">
            <v>東勢鎮公所1</v>
          </cell>
        </row>
        <row r="462">
          <cell r="AU462" t="str">
            <v>東勢鎮公所2</v>
          </cell>
          <cell r="AV462">
            <v>1</v>
          </cell>
          <cell r="AW462" t="str">
            <v>發 包 工 程 費</v>
          </cell>
          <cell r="AX462" t="str">
            <v>式</v>
          </cell>
          <cell r="AY462">
            <v>1</v>
          </cell>
          <cell r="AZ462" t="str">
            <v xml:space="preserve">---------   </v>
          </cell>
          <cell r="BA462">
            <v>1750161</v>
          </cell>
          <cell r="BD462">
            <v>1</v>
          </cell>
          <cell r="BE462" t="str">
            <v>發 包 工 程 費</v>
          </cell>
          <cell r="BF462" t="str">
            <v>式</v>
          </cell>
          <cell r="BG462">
            <v>1</v>
          </cell>
          <cell r="BH462" t="str">
            <v xml:space="preserve">---------   </v>
          </cell>
          <cell r="BI462">
            <v>1750161</v>
          </cell>
        </row>
        <row r="463">
          <cell r="AU463" t="str">
            <v>東勢鎮公所3</v>
          </cell>
        </row>
        <row r="464">
          <cell r="AU464" t="str">
            <v>東勢鎮公所4</v>
          </cell>
        </row>
        <row r="465">
          <cell r="AU465" t="str">
            <v>東勢鎮公所5</v>
          </cell>
          <cell r="AV465">
            <v>2</v>
          </cell>
          <cell r="AW465" t="str">
            <v>工程管理費</v>
          </cell>
          <cell r="AX465" t="str">
            <v>式</v>
          </cell>
          <cell r="AY465">
            <v>1</v>
          </cell>
          <cell r="AZ465" t="str">
            <v xml:space="preserve">---------   </v>
          </cell>
          <cell r="BA465">
            <v>49134</v>
          </cell>
          <cell r="BD465">
            <v>2</v>
          </cell>
          <cell r="BE465" t="str">
            <v>工程管理費</v>
          </cell>
          <cell r="BF465" t="str">
            <v>式</v>
          </cell>
          <cell r="BG465">
            <v>1</v>
          </cell>
          <cell r="BH465" t="str">
            <v xml:space="preserve">---------   </v>
          </cell>
          <cell r="BI465">
            <v>49134</v>
          </cell>
        </row>
        <row r="466">
          <cell r="AU466" t="str">
            <v>東勢鎮公所6</v>
          </cell>
          <cell r="AW466" t="str">
            <v>500萬元以下3%</v>
          </cell>
          <cell r="BE466" t="str">
            <v>500萬元以下3%</v>
          </cell>
        </row>
        <row r="467">
          <cell r="AU467" t="str">
            <v>東勢鎮公所7</v>
          </cell>
          <cell r="AW467">
            <v>0</v>
          </cell>
          <cell r="BE467">
            <v>0</v>
          </cell>
        </row>
        <row r="468">
          <cell r="AU468" t="str">
            <v>東勢鎮公所8</v>
          </cell>
        </row>
        <row r="469">
          <cell r="AU469" t="str">
            <v>東勢鎮公所9</v>
          </cell>
        </row>
        <row r="470">
          <cell r="AU470" t="str">
            <v>東勢鎮公所10</v>
          </cell>
          <cell r="AV470">
            <v>3</v>
          </cell>
          <cell r="AW470" t="str">
            <v>委託技術服務費</v>
          </cell>
          <cell r="AX470" t="str">
            <v>式</v>
          </cell>
          <cell r="AY470">
            <v>1</v>
          </cell>
          <cell r="AZ470" t="str">
            <v xml:space="preserve">---------   </v>
          </cell>
          <cell r="BA470">
            <v>111809</v>
          </cell>
          <cell r="BD470">
            <v>3</v>
          </cell>
          <cell r="BE470" t="str">
            <v>空氣污染防制費</v>
          </cell>
          <cell r="BF470" t="str">
            <v>式</v>
          </cell>
          <cell r="BG470">
            <v>1</v>
          </cell>
          <cell r="BH470" t="str">
            <v xml:space="preserve">---------   </v>
          </cell>
          <cell r="BI470">
            <v>2707</v>
          </cell>
        </row>
        <row r="471">
          <cell r="AU471" t="str">
            <v>東勢鎮公所11</v>
          </cell>
          <cell r="AW471" t="str">
            <v>1000萬元以下6.8%</v>
          </cell>
          <cell r="BE471" t="str">
            <v>(0.3%*發包工程費)</v>
          </cell>
          <cell r="BH471" t="str">
            <v xml:space="preserve"> </v>
          </cell>
        </row>
        <row r="472">
          <cell r="AU472" t="str">
            <v>東勢鎮公所12</v>
          </cell>
          <cell r="AW472">
            <v>0</v>
          </cell>
        </row>
        <row r="473">
          <cell r="AU473" t="str">
            <v>東勢鎮公所13</v>
          </cell>
        </row>
        <row r="474">
          <cell r="AU474" t="str">
            <v>東勢鎮公所14</v>
          </cell>
          <cell r="BE474" t="str">
            <v>總    計</v>
          </cell>
          <cell r="BI474">
            <v>1802002</v>
          </cell>
        </row>
        <row r="475">
          <cell r="AU475" t="str">
            <v>東勢鎮公所15</v>
          </cell>
          <cell r="AV475">
            <v>4</v>
          </cell>
          <cell r="AW475" t="str">
            <v>空氣污染防制費</v>
          </cell>
          <cell r="AX475" t="str">
            <v>式</v>
          </cell>
          <cell r="AY475">
            <v>1</v>
          </cell>
          <cell r="AZ475" t="str">
            <v xml:space="preserve">---------   </v>
          </cell>
          <cell r="BA475">
            <v>2707</v>
          </cell>
        </row>
        <row r="476">
          <cell r="AU476" t="str">
            <v>東勢鎮公所16</v>
          </cell>
          <cell r="AW476" t="str">
            <v>(0.3%*發包工程費)</v>
          </cell>
        </row>
        <row r="477">
          <cell r="AU477" t="str">
            <v>東勢鎮公所17</v>
          </cell>
        </row>
        <row r="478">
          <cell r="AU478" t="str">
            <v>東勢鎮公所18</v>
          </cell>
        </row>
        <row r="479">
          <cell r="AU479" t="str">
            <v>東勢鎮公所19</v>
          </cell>
          <cell r="AW479" t="str">
            <v>總    計</v>
          </cell>
          <cell r="BA479">
            <v>1913811</v>
          </cell>
        </row>
        <row r="480">
          <cell r="AU480" t="str">
            <v>東勢鎮公所20</v>
          </cell>
        </row>
        <row r="481">
          <cell r="AU481" t="str">
            <v>東勢鎮公所21</v>
          </cell>
        </row>
        <row r="482">
          <cell r="AU482" t="str">
            <v>東勢鎮公所22</v>
          </cell>
        </row>
        <row r="483">
          <cell r="AU483" t="str">
            <v>東勢鎮公所23</v>
          </cell>
        </row>
        <row r="484">
          <cell r="AU484" t="str">
            <v>東勢鎮公所24</v>
          </cell>
        </row>
        <row r="485">
          <cell r="AU485" t="str">
            <v>東勢鎮公所25</v>
          </cell>
        </row>
        <row r="486">
          <cell r="AU486" t="str">
            <v>東勢鎮公所26</v>
          </cell>
        </row>
        <row r="487">
          <cell r="AU487" t="str">
            <v>東勢鎮公所27</v>
          </cell>
        </row>
        <row r="488">
          <cell r="AU488" t="str">
            <v>東勢鎮公所28</v>
          </cell>
        </row>
        <row r="489">
          <cell r="AU489" t="str">
            <v>東勢鎮公所29</v>
          </cell>
        </row>
        <row r="490">
          <cell r="AU490" t="str">
            <v>東勢鎮公所30</v>
          </cell>
        </row>
        <row r="491">
          <cell r="AU491" t="str">
            <v>東勢鎮公所31</v>
          </cell>
        </row>
        <row r="492">
          <cell r="AU492" t="str">
            <v>東勢鎮公所32</v>
          </cell>
        </row>
        <row r="493">
          <cell r="AU493" t="str">
            <v>東勢鎮公所33</v>
          </cell>
        </row>
        <row r="494">
          <cell r="AU494" t="str">
            <v>東勢鎮公所34</v>
          </cell>
        </row>
        <row r="495">
          <cell r="AU495" t="str">
            <v>東勢鎮公所35</v>
          </cell>
        </row>
        <row r="496">
          <cell r="AU496" t="str">
            <v>東勢鎮公所36</v>
          </cell>
        </row>
        <row r="497">
          <cell r="AU497" t="str">
            <v>東勢鎮公所37</v>
          </cell>
        </row>
        <row r="498">
          <cell r="AU498" t="str">
            <v>東勢鎮公所38</v>
          </cell>
        </row>
        <row r="499">
          <cell r="AU499" t="str">
            <v>東勢鎮公所39</v>
          </cell>
        </row>
        <row r="500">
          <cell r="AU500" t="str">
            <v>東勢鎮公所40</v>
          </cell>
          <cell r="AV500" t="str">
            <v xml:space="preserve">     本工程預算總額計新台幣</v>
          </cell>
          <cell r="BA500" t="str">
            <v>壹佰玖拾壹萬參仟捌佰壹拾壹元整</v>
          </cell>
          <cell r="BD500" t="str">
            <v xml:space="preserve">     本工程預算總額計新台幣</v>
          </cell>
          <cell r="BI500" t="str">
            <v>壹佰捌拾萬貳仟零貳元整</v>
          </cell>
        </row>
        <row r="502">
          <cell r="AU502" t="str">
            <v>神岡鄉公所</v>
          </cell>
          <cell r="AV502" t="str">
            <v>項次</v>
          </cell>
          <cell r="AW502" t="str">
            <v>工程項目</v>
          </cell>
          <cell r="AX502" t="str">
            <v>單位</v>
          </cell>
          <cell r="AY502" t="str">
            <v>數   量</v>
          </cell>
          <cell r="AZ502" t="str">
            <v>單   價</v>
          </cell>
          <cell r="BA502" t="str">
            <v>總   價</v>
          </cell>
          <cell r="BB502" t="str">
            <v>附   註</v>
          </cell>
          <cell r="BD502" t="str">
            <v>項次</v>
          </cell>
          <cell r="BE502" t="str">
            <v>工程項目</v>
          </cell>
          <cell r="BF502" t="str">
            <v>單位</v>
          </cell>
          <cell r="BG502" t="str">
            <v>數   量</v>
          </cell>
          <cell r="BH502" t="str">
            <v>單   價</v>
          </cell>
          <cell r="BI502" t="str">
            <v>總   價</v>
          </cell>
          <cell r="BJ502" t="str">
            <v>附   註</v>
          </cell>
        </row>
        <row r="503">
          <cell r="AU503" t="str">
            <v>神岡鄉公所1</v>
          </cell>
        </row>
        <row r="504">
          <cell r="AU504" t="str">
            <v>神岡鄉公所2</v>
          </cell>
          <cell r="AV504">
            <v>1</v>
          </cell>
          <cell r="AW504" t="str">
            <v>發 包 工 程 費</v>
          </cell>
          <cell r="AX504" t="str">
            <v>式</v>
          </cell>
          <cell r="AY504">
            <v>1</v>
          </cell>
          <cell r="AZ504" t="str">
            <v xml:space="preserve">---------   </v>
          </cell>
          <cell r="BA504">
            <v>1750161</v>
          </cell>
          <cell r="BD504">
            <v>1</v>
          </cell>
          <cell r="BE504" t="str">
            <v>發 包 工 程 費</v>
          </cell>
          <cell r="BF504" t="str">
            <v>式</v>
          </cell>
          <cell r="BG504">
            <v>1</v>
          </cell>
          <cell r="BH504" t="str">
            <v xml:space="preserve">---------   </v>
          </cell>
          <cell r="BI504">
            <v>1750161</v>
          </cell>
        </row>
        <row r="505">
          <cell r="AU505" t="str">
            <v>神岡鄉公所3</v>
          </cell>
        </row>
        <row r="506">
          <cell r="AU506" t="str">
            <v>神岡鄉公所4</v>
          </cell>
        </row>
        <row r="507">
          <cell r="AU507" t="str">
            <v>神岡鄉公所5</v>
          </cell>
          <cell r="AV507">
            <v>2</v>
          </cell>
          <cell r="AW507" t="str">
            <v>工程管理費</v>
          </cell>
          <cell r="AX507" t="str">
            <v>式</v>
          </cell>
          <cell r="AY507">
            <v>1</v>
          </cell>
          <cell r="AZ507" t="str">
            <v xml:space="preserve">---------   </v>
          </cell>
          <cell r="BA507">
            <v>49134</v>
          </cell>
          <cell r="BD507">
            <v>2</v>
          </cell>
          <cell r="BE507" t="str">
            <v>工程管理費</v>
          </cell>
          <cell r="BF507" t="str">
            <v>式</v>
          </cell>
          <cell r="BG507">
            <v>1</v>
          </cell>
          <cell r="BH507" t="str">
            <v xml:space="preserve">---------   </v>
          </cell>
          <cell r="BI507">
            <v>49134</v>
          </cell>
        </row>
        <row r="508">
          <cell r="AU508" t="str">
            <v>神岡鄉公所6</v>
          </cell>
          <cell r="AW508" t="str">
            <v>500萬元以下3%</v>
          </cell>
          <cell r="BE508" t="str">
            <v>500萬元以下3%</v>
          </cell>
        </row>
        <row r="509">
          <cell r="AU509" t="str">
            <v>神岡鄉公所7</v>
          </cell>
          <cell r="AW509">
            <v>0</v>
          </cell>
          <cell r="BE509">
            <v>0</v>
          </cell>
        </row>
        <row r="510">
          <cell r="AU510" t="str">
            <v>神岡鄉公所8</v>
          </cell>
        </row>
        <row r="511">
          <cell r="AU511" t="str">
            <v>神岡鄉公所9</v>
          </cell>
        </row>
        <row r="512">
          <cell r="AU512" t="str">
            <v>神岡鄉公所10</v>
          </cell>
          <cell r="AV512">
            <v>3</v>
          </cell>
          <cell r="AW512" t="str">
            <v>委託技術服務費</v>
          </cell>
          <cell r="AX512" t="str">
            <v>式</v>
          </cell>
          <cell r="AY512">
            <v>1</v>
          </cell>
          <cell r="AZ512" t="str">
            <v xml:space="preserve">---------   </v>
          </cell>
          <cell r="BA512">
            <v>111809</v>
          </cell>
          <cell r="BD512">
            <v>3</v>
          </cell>
          <cell r="BE512" t="str">
            <v>空氣污染防制費</v>
          </cell>
          <cell r="BF512" t="str">
            <v>式</v>
          </cell>
          <cell r="BG512">
            <v>1</v>
          </cell>
          <cell r="BH512" t="str">
            <v xml:space="preserve">---------   </v>
          </cell>
          <cell r="BI512">
            <v>2707</v>
          </cell>
        </row>
        <row r="513">
          <cell r="AU513" t="str">
            <v>神岡鄉公所11</v>
          </cell>
          <cell r="AW513" t="str">
            <v>1000萬元以下6.8%</v>
          </cell>
          <cell r="BE513" t="str">
            <v>(0.3%*發包工程費)</v>
          </cell>
          <cell r="BH513" t="str">
            <v xml:space="preserve"> </v>
          </cell>
        </row>
        <row r="514">
          <cell r="AU514" t="str">
            <v>神岡鄉公所12</v>
          </cell>
          <cell r="AW514">
            <v>0</v>
          </cell>
        </row>
        <row r="515">
          <cell r="AU515" t="str">
            <v>神岡鄉公所13</v>
          </cell>
        </row>
        <row r="516">
          <cell r="AU516" t="str">
            <v>神岡鄉公所14</v>
          </cell>
          <cell r="BE516" t="str">
            <v>總    計</v>
          </cell>
          <cell r="BI516">
            <v>1802002</v>
          </cell>
        </row>
        <row r="517">
          <cell r="AU517" t="str">
            <v>神岡鄉公所15</v>
          </cell>
          <cell r="AV517">
            <v>4</v>
          </cell>
          <cell r="AW517" t="str">
            <v>空氣污染防制費</v>
          </cell>
          <cell r="AX517" t="str">
            <v>式</v>
          </cell>
          <cell r="AY517">
            <v>1</v>
          </cell>
          <cell r="AZ517" t="str">
            <v xml:space="preserve">---------   </v>
          </cell>
          <cell r="BA517">
            <v>2707</v>
          </cell>
        </row>
        <row r="518">
          <cell r="AU518" t="str">
            <v>神岡鄉公所16</v>
          </cell>
          <cell r="AW518" t="str">
            <v>(0.3%*發包工程費)</v>
          </cell>
        </row>
        <row r="519">
          <cell r="AU519" t="str">
            <v>神岡鄉公所17</v>
          </cell>
        </row>
        <row r="520">
          <cell r="AU520" t="str">
            <v>神岡鄉公所18</v>
          </cell>
        </row>
        <row r="521">
          <cell r="AU521" t="str">
            <v>神岡鄉公所19</v>
          </cell>
          <cell r="AW521" t="str">
            <v>總    計</v>
          </cell>
          <cell r="BA521">
            <v>1913811</v>
          </cell>
        </row>
        <row r="522">
          <cell r="AU522" t="str">
            <v>神岡鄉公所20</v>
          </cell>
        </row>
        <row r="523">
          <cell r="AU523" t="str">
            <v>神岡鄉公所21</v>
          </cell>
        </row>
        <row r="524">
          <cell r="AU524" t="str">
            <v>神岡鄉公所22</v>
          </cell>
        </row>
        <row r="525">
          <cell r="AU525" t="str">
            <v>神岡鄉公所23</v>
          </cell>
        </row>
        <row r="526">
          <cell r="AU526" t="str">
            <v>神岡鄉公所24</v>
          </cell>
        </row>
        <row r="527">
          <cell r="AU527" t="str">
            <v>神岡鄉公所25</v>
          </cell>
        </row>
        <row r="528">
          <cell r="AU528" t="str">
            <v>神岡鄉公所26</v>
          </cell>
        </row>
        <row r="529">
          <cell r="AU529" t="str">
            <v>神岡鄉公所27</v>
          </cell>
        </row>
        <row r="530">
          <cell r="AU530" t="str">
            <v>神岡鄉公所28</v>
          </cell>
        </row>
        <row r="531">
          <cell r="AU531" t="str">
            <v>神岡鄉公所29</v>
          </cell>
        </row>
        <row r="532">
          <cell r="AU532" t="str">
            <v>神岡鄉公所30</v>
          </cell>
        </row>
        <row r="533">
          <cell r="AU533" t="str">
            <v>神岡鄉公所31</v>
          </cell>
        </row>
        <row r="534">
          <cell r="AU534" t="str">
            <v>神岡鄉公所32</v>
          </cell>
        </row>
        <row r="535">
          <cell r="AU535" t="str">
            <v>神岡鄉公所33</v>
          </cell>
        </row>
        <row r="536">
          <cell r="AU536" t="str">
            <v>神岡鄉公所34</v>
          </cell>
        </row>
        <row r="537">
          <cell r="AU537" t="str">
            <v>神岡鄉公所35</v>
          </cell>
        </row>
        <row r="538">
          <cell r="AU538" t="str">
            <v>神岡鄉公所36</v>
          </cell>
        </row>
        <row r="539">
          <cell r="AU539" t="str">
            <v>神岡鄉公所37</v>
          </cell>
        </row>
        <row r="540">
          <cell r="AU540" t="str">
            <v>神岡鄉公所38</v>
          </cell>
        </row>
        <row r="541">
          <cell r="AU541" t="str">
            <v>神岡鄉公所39</v>
          </cell>
        </row>
        <row r="542">
          <cell r="AU542" t="str">
            <v>神岡鄉公所40</v>
          </cell>
          <cell r="AV542" t="str">
            <v xml:space="preserve">     本工程預算總額計新台幣</v>
          </cell>
          <cell r="BA542" t="str">
            <v>壹佰玖拾壹萬參仟捌佰壹拾壹元整</v>
          </cell>
          <cell r="BD542" t="str">
            <v xml:space="preserve">     本工程預算總額計新台幣</v>
          </cell>
          <cell r="BI542" t="str">
            <v>壹佰捌拾萬貳仟零貳元整</v>
          </cell>
        </row>
        <row r="544">
          <cell r="AU544">
            <v>87</v>
          </cell>
          <cell r="AV544" t="str">
            <v>項次</v>
          </cell>
          <cell r="AW544" t="str">
            <v>工程項目</v>
          </cell>
          <cell r="AX544" t="str">
            <v>單位</v>
          </cell>
          <cell r="AY544" t="str">
            <v>數   量</v>
          </cell>
          <cell r="AZ544" t="str">
            <v>單   價</v>
          </cell>
          <cell r="BA544" t="str">
            <v>總   價</v>
          </cell>
          <cell r="BB544" t="str">
            <v>附   註</v>
          </cell>
          <cell r="BD544" t="str">
            <v>項次</v>
          </cell>
          <cell r="BE544" t="str">
            <v>工程項目</v>
          </cell>
          <cell r="BF544" t="str">
            <v>單位</v>
          </cell>
          <cell r="BG544" t="str">
            <v>數   量</v>
          </cell>
          <cell r="BH544" t="str">
            <v>單   價</v>
          </cell>
          <cell r="BI544" t="str">
            <v>總   價</v>
          </cell>
          <cell r="BJ544" t="str">
            <v>附   註</v>
          </cell>
        </row>
        <row r="584">
          <cell r="AV584" t="str">
            <v xml:space="preserve">     本工程預算總額計新台幣</v>
          </cell>
        </row>
        <row r="586">
          <cell r="AU586">
            <v>88</v>
          </cell>
          <cell r="AV586" t="str">
            <v>項次</v>
          </cell>
          <cell r="AW586" t="str">
            <v>工程項目</v>
          </cell>
          <cell r="AX586" t="str">
            <v>單位</v>
          </cell>
          <cell r="AY586" t="str">
            <v>數   量</v>
          </cell>
          <cell r="AZ586" t="str">
            <v>單   價</v>
          </cell>
          <cell r="BA586" t="str">
            <v>總   價</v>
          </cell>
          <cell r="BB586" t="str">
            <v>附   註</v>
          </cell>
          <cell r="BD586" t="str">
            <v>項次</v>
          </cell>
          <cell r="BE586" t="str">
            <v>工程項目</v>
          </cell>
          <cell r="BF586" t="str">
            <v>單位</v>
          </cell>
          <cell r="BG586" t="str">
            <v>數   量</v>
          </cell>
          <cell r="BH586" t="str">
            <v>單   價</v>
          </cell>
          <cell r="BI586" t="str">
            <v>總   價</v>
          </cell>
          <cell r="BJ586" t="str">
            <v>附   註</v>
          </cell>
        </row>
        <row r="626">
          <cell r="AV626" t="str">
            <v xml:space="preserve">     本工程預算總額計新台幣</v>
          </cell>
        </row>
        <row r="628">
          <cell r="AU628">
            <v>89</v>
          </cell>
          <cell r="AV628" t="str">
            <v>項次</v>
          </cell>
          <cell r="AW628" t="str">
            <v>工程項目</v>
          </cell>
          <cell r="AX628" t="str">
            <v>單位</v>
          </cell>
          <cell r="AY628" t="str">
            <v>數   量</v>
          </cell>
          <cell r="AZ628" t="str">
            <v>單   價</v>
          </cell>
          <cell r="BA628" t="str">
            <v>總   價</v>
          </cell>
          <cell r="BB628" t="str">
            <v>附   註</v>
          </cell>
          <cell r="BD628" t="str">
            <v>項次</v>
          </cell>
          <cell r="BE628" t="str">
            <v>工程項目</v>
          </cell>
          <cell r="BF628" t="str">
            <v>單位</v>
          </cell>
          <cell r="BG628" t="str">
            <v>數   量</v>
          </cell>
          <cell r="BH628" t="str">
            <v>單   價</v>
          </cell>
          <cell r="BI628" t="str">
            <v>總   價</v>
          </cell>
          <cell r="BJ628" t="str">
            <v>附   註</v>
          </cell>
        </row>
        <row r="668">
          <cell r="AV668" t="str">
            <v xml:space="preserve">     本工程預算總額計新台幣</v>
          </cell>
        </row>
        <row r="670">
          <cell r="AU670">
            <v>90</v>
          </cell>
          <cell r="AV670" t="str">
            <v>項次</v>
          </cell>
          <cell r="AW670" t="str">
            <v>工程項目</v>
          </cell>
          <cell r="AX670" t="str">
            <v>單位</v>
          </cell>
          <cell r="AY670" t="str">
            <v>數   量</v>
          </cell>
          <cell r="AZ670" t="str">
            <v>單   價</v>
          </cell>
          <cell r="BA670" t="str">
            <v>總   價</v>
          </cell>
          <cell r="BB670" t="str">
            <v>附   註</v>
          </cell>
          <cell r="BD670" t="str">
            <v>項次</v>
          </cell>
          <cell r="BE670" t="str">
            <v>工程項目</v>
          </cell>
          <cell r="BF670" t="str">
            <v>單位</v>
          </cell>
          <cell r="BG670" t="str">
            <v>數   量</v>
          </cell>
          <cell r="BH670" t="str">
            <v>單   價</v>
          </cell>
          <cell r="BI670" t="str">
            <v>總   價</v>
          </cell>
          <cell r="BJ670" t="str">
            <v>附   註</v>
          </cell>
        </row>
        <row r="710">
          <cell r="AV710" t="str">
            <v xml:space="preserve">     本工程預算總額計新台幣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東勢估"/>
      <sheetName val="估價單"/>
      <sheetName val="標單"/>
    </sheetNames>
    <sheetDataSet>
      <sheetData sheetId="0">
        <row r="19">
          <cell r="S19" t="str">
            <v>原有結構物損壞修復費</v>
          </cell>
          <cell r="T19" t="str">
            <v>式</v>
          </cell>
          <cell r="U19">
            <v>1</v>
          </cell>
          <cell r="V19">
            <v>7500</v>
          </cell>
          <cell r="W19">
            <v>7500</v>
          </cell>
          <cell r="Z19" t="str">
            <v>材料試驗費</v>
          </cell>
          <cell r="AA19" t="str">
            <v>式</v>
          </cell>
          <cell r="AB19">
            <v>1</v>
          </cell>
          <cell r="AD19">
            <v>0</v>
          </cell>
        </row>
        <row r="20">
          <cell r="S20" t="str">
            <v>臨時擋土設施費</v>
          </cell>
          <cell r="T20" t="str">
            <v>式</v>
          </cell>
          <cell r="U20">
            <v>1</v>
          </cell>
          <cell r="V20">
            <v>9000</v>
          </cell>
          <cell r="W20">
            <v>9000</v>
          </cell>
          <cell r="Z20" t="str">
            <v>勞工安全衛生費</v>
          </cell>
          <cell r="AA20" t="str">
            <v>式</v>
          </cell>
          <cell r="AB20">
            <v>1</v>
          </cell>
          <cell r="AD20">
            <v>11123</v>
          </cell>
        </row>
        <row r="21">
          <cell r="S21" t="str">
            <v>施工機具搬運費</v>
          </cell>
          <cell r="T21" t="str">
            <v>式</v>
          </cell>
          <cell r="U21">
            <v>1</v>
          </cell>
          <cell r="V21">
            <v>12000</v>
          </cell>
          <cell r="W21">
            <v>12000</v>
          </cell>
          <cell r="Z21" t="str">
            <v>包商利潤及管理費(含施工標示牌)</v>
          </cell>
          <cell r="AA21" t="str">
            <v>式</v>
          </cell>
          <cell r="AB21">
            <v>1</v>
          </cell>
          <cell r="AD21">
            <v>88904.320000000007</v>
          </cell>
        </row>
        <row r="22">
          <cell r="S22" t="str">
            <v>工棚倉租及用水費</v>
          </cell>
          <cell r="T22" t="str">
            <v>式</v>
          </cell>
          <cell r="U22">
            <v>1</v>
          </cell>
          <cell r="V22">
            <v>12000</v>
          </cell>
          <cell r="W22">
            <v>12000</v>
          </cell>
          <cell r="Z22" t="str">
            <v>加值營業稅</v>
          </cell>
          <cell r="AA22" t="str">
            <v>式</v>
          </cell>
          <cell r="AB22">
            <v>1</v>
          </cell>
          <cell r="AD22">
            <v>60618</v>
          </cell>
        </row>
        <row r="23">
          <cell r="S23" t="str">
            <v>施工中交通安全設施及維護費</v>
          </cell>
          <cell r="T23" t="str">
            <v>式</v>
          </cell>
          <cell r="U23">
            <v>1</v>
          </cell>
          <cell r="V23">
            <v>6000</v>
          </cell>
          <cell r="W23">
            <v>6000</v>
          </cell>
          <cell r="Z23" t="str">
            <v>合      計</v>
          </cell>
          <cell r="AA23">
            <v>0</v>
          </cell>
          <cell r="AB23">
            <v>0</v>
          </cell>
          <cell r="AD23">
            <v>1272977.32</v>
          </cell>
        </row>
        <row r="24">
          <cell r="S24" t="str">
            <v>伸縮縫處理費</v>
          </cell>
          <cell r="T24" t="str">
            <v>式</v>
          </cell>
          <cell r="U24">
            <v>1</v>
          </cell>
          <cell r="V24">
            <v>4000</v>
          </cell>
          <cell r="W24">
            <v>4000</v>
          </cell>
          <cell r="Z24" t="str">
            <v/>
          </cell>
          <cell r="AA24" t="str">
            <v/>
          </cell>
          <cell r="AB24" t="str">
            <v/>
          </cell>
          <cell r="AD24" t="str">
            <v/>
          </cell>
        </row>
        <row r="25">
          <cell r="S25" t="str">
            <v>工程品質管理費(含施工臨時告示牌)</v>
          </cell>
          <cell r="T25" t="str">
            <v>式</v>
          </cell>
          <cell r="U25">
            <v>1</v>
          </cell>
          <cell r="V25">
            <v>10904</v>
          </cell>
          <cell r="W25">
            <v>10904</v>
          </cell>
          <cell r="Z25" t="str">
            <v/>
          </cell>
          <cell r="AA25" t="str">
            <v/>
          </cell>
          <cell r="AB25" t="str">
            <v/>
          </cell>
          <cell r="AD25" t="str">
            <v/>
          </cell>
        </row>
        <row r="26">
          <cell r="S26" t="str">
            <v>營造綜合保險費(約1%)</v>
          </cell>
          <cell r="T26" t="str">
            <v>式</v>
          </cell>
          <cell r="U26">
            <v>1</v>
          </cell>
          <cell r="V26">
            <v>11013</v>
          </cell>
          <cell r="W26">
            <v>11013</v>
          </cell>
          <cell r="Z26" t="str">
            <v/>
          </cell>
          <cell r="AA26" t="str">
            <v/>
          </cell>
          <cell r="AB26" t="str">
            <v/>
          </cell>
          <cell r="AD26" t="str">
            <v/>
          </cell>
        </row>
        <row r="27">
          <cell r="W27" t="str">
            <v/>
          </cell>
          <cell r="Z27" t="str">
            <v/>
          </cell>
          <cell r="AA27" t="str">
            <v/>
          </cell>
          <cell r="AB27" t="str">
            <v/>
          </cell>
          <cell r="AD27" t="str">
            <v/>
          </cell>
        </row>
        <row r="28">
          <cell r="W28" t="str">
            <v/>
          </cell>
          <cell r="Z28" t="str">
            <v/>
          </cell>
          <cell r="AA28" t="str">
            <v/>
          </cell>
          <cell r="AB28" t="str">
            <v/>
          </cell>
          <cell r="AD28" t="str">
            <v/>
          </cell>
        </row>
        <row r="29">
          <cell r="W29" t="str">
            <v/>
          </cell>
          <cell r="Z29" t="str">
            <v/>
          </cell>
          <cell r="AA29" t="str">
            <v/>
          </cell>
          <cell r="AB29" t="str">
            <v/>
          </cell>
          <cell r="AD29" t="str">
            <v/>
          </cell>
        </row>
        <row r="30">
          <cell r="W30" t="str">
            <v/>
          </cell>
          <cell r="Z30" t="str">
            <v/>
          </cell>
          <cell r="AA30" t="str">
            <v/>
          </cell>
          <cell r="AB30" t="str">
            <v/>
          </cell>
          <cell r="AD30" t="str">
            <v/>
          </cell>
        </row>
        <row r="31">
          <cell r="W31" t="str">
            <v/>
          </cell>
          <cell r="Z31" t="str">
            <v/>
          </cell>
          <cell r="AA31" t="str">
            <v/>
          </cell>
          <cell r="AB31" t="str">
            <v/>
          </cell>
          <cell r="AD31" t="str">
            <v/>
          </cell>
        </row>
        <row r="32">
          <cell r="W32" t="str">
            <v/>
          </cell>
          <cell r="Z32" t="str">
            <v/>
          </cell>
          <cell r="AA32" t="str">
            <v/>
          </cell>
          <cell r="AB32" t="str">
            <v/>
          </cell>
          <cell r="AD32" t="str">
            <v/>
          </cell>
        </row>
        <row r="33">
          <cell r="W33" t="str">
            <v/>
          </cell>
          <cell r="Z33" t="str">
            <v/>
          </cell>
          <cell r="AA33" t="str">
            <v/>
          </cell>
          <cell r="AB33" t="str">
            <v/>
          </cell>
          <cell r="AD33" t="str">
            <v/>
          </cell>
        </row>
        <row r="34">
          <cell r="W34" t="str">
            <v/>
          </cell>
          <cell r="Z34" t="str">
            <v/>
          </cell>
          <cell r="AA34" t="str">
            <v/>
          </cell>
          <cell r="AB34" t="str">
            <v/>
          </cell>
          <cell r="AD34" t="str">
            <v/>
          </cell>
        </row>
        <row r="35">
          <cell r="W35" t="str">
            <v/>
          </cell>
          <cell r="Z35" t="str">
            <v/>
          </cell>
          <cell r="AA35" t="str">
            <v/>
          </cell>
          <cell r="AB35" t="str">
            <v/>
          </cell>
          <cell r="AD35" t="str">
            <v/>
          </cell>
        </row>
        <row r="36">
          <cell r="W36" t="str">
            <v/>
          </cell>
          <cell r="Z36" t="str">
            <v/>
          </cell>
          <cell r="AA36" t="str">
            <v/>
          </cell>
          <cell r="AB36" t="str">
            <v/>
          </cell>
          <cell r="AD36" t="str">
            <v/>
          </cell>
        </row>
        <row r="37">
          <cell r="W37" t="str">
            <v/>
          </cell>
          <cell r="Z37" t="str">
            <v/>
          </cell>
          <cell r="AA37" t="str">
            <v/>
          </cell>
          <cell r="AB37" t="str">
            <v/>
          </cell>
          <cell r="AD37" t="str">
            <v/>
          </cell>
        </row>
        <row r="38">
          <cell r="W38" t="str">
            <v/>
          </cell>
          <cell r="Z38" t="str">
            <v/>
          </cell>
          <cell r="AA38" t="str">
            <v/>
          </cell>
          <cell r="AB38" t="str">
            <v/>
          </cell>
          <cell r="AD38" t="str">
            <v/>
          </cell>
        </row>
        <row r="39">
          <cell r="W39" t="str">
            <v/>
          </cell>
          <cell r="Z39" t="str">
            <v/>
          </cell>
          <cell r="AA39" t="str">
            <v/>
          </cell>
          <cell r="AB39" t="str">
            <v/>
          </cell>
          <cell r="AD39" t="str">
            <v/>
          </cell>
        </row>
        <row r="40">
          <cell r="W40" t="str">
            <v/>
          </cell>
          <cell r="Z40" t="str">
            <v/>
          </cell>
          <cell r="AA40" t="str">
            <v/>
          </cell>
          <cell r="AB40" t="str">
            <v/>
          </cell>
          <cell r="AD40" t="str">
            <v/>
          </cell>
        </row>
        <row r="41">
          <cell r="W41" t="str">
            <v/>
          </cell>
          <cell r="Z41" t="str">
            <v/>
          </cell>
          <cell r="AA41" t="str">
            <v/>
          </cell>
          <cell r="AB41" t="str">
            <v/>
          </cell>
          <cell r="AD41" t="str">
            <v/>
          </cell>
        </row>
        <row r="42">
          <cell r="W42" t="str">
            <v/>
          </cell>
          <cell r="Z42" t="str">
            <v/>
          </cell>
          <cell r="AA42" t="str">
            <v/>
          </cell>
          <cell r="AB42" t="str">
            <v/>
          </cell>
          <cell r="AD42" t="str">
            <v/>
          </cell>
        </row>
        <row r="43">
          <cell r="W43" t="str">
            <v/>
          </cell>
          <cell r="Z43" t="str">
            <v/>
          </cell>
          <cell r="AA43" t="str">
            <v/>
          </cell>
          <cell r="AB43" t="str">
            <v/>
          </cell>
          <cell r="AD43" t="str">
            <v/>
          </cell>
        </row>
        <row r="44">
          <cell r="W44" t="str">
            <v/>
          </cell>
          <cell r="Z44" t="str">
            <v/>
          </cell>
          <cell r="AA44" t="str">
            <v/>
          </cell>
          <cell r="AB44" t="str">
            <v/>
          </cell>
          <cell r="AD44" t="str">
            <v/>
          </cell>
        </row>
        <row r="45">
          <cell r="W45" t="str">
            <v/>
          </cell>
          <cell r="Z45" t="str">
            <v/>
          </cell>
          <cell r="AA45" t="str">
            <v/>
          </cell>
          <cell r="AB45" t="str">
            <v/>
          </cell>
          <cell r="AD45" t="str">
            <v/>
          </cell>
        </row>
        <row r="46">
          <cell r="W46" t="str">
            <v/>
          </cell>
          <cell r="Z46" t="str">
            <v/>
          </cell>
          <cell r="AA46" t="str">
            <v/>
          </cell>
          <cell r="AB46" t="str">
            <v/>
          </cell>
          <cell r="AD46" t="str">
            <v/>
          </cell>
        </row>
        <row r="47">
          <cell r="W47" t="str">
            <v/>
          </cell>
          <cell r="Z47" t="str">
            <v/>
          </cell>
          <cell r="AA47" t="str">
            <v/>
          </cell>
          <cell r="AB47" t="str">
            <v/>
          </cell>
          <cell r="AD47" t="str">
            <v/>
          </cell>
        </row>
        <row r="48">
          <cell r="W48" t="str">
            <v/>
          </cell>
          <cell r="Z48" t="str">
            <v/>
          </cell>
          <cell r="AA48" t="str">
            <v/>
          </cell>
          <cell r="AB48" t="str">
            <v/>
          </cell>
          <cell r="AD48" t="str">
            <v/>
          </cell>
        </row>
        <row r="49">
          <cell r="W49" t="str">
            <v/>
          </cell>
          <cell r="Z49" t="str">
            <v/>
          </cell>
          <cell r="AA49" t="str">
            <v/>
          </cell>
          <cell r="AB49" t="str">
            <v/>
          </cell>
          <cell r="AD49" t="str">
            <v/>
          </cell>
        </row>
        <row r="50">
          <cell r="W50" t="str">
            <v/>
          </cell>
          <cell r="Z50" t="str">
            <v/>
          </cell>
          <cell r="AA50" t="str">
            <v/>
          </cell>
          <cell r="AB50" t="str">
            <v/>
          </cell>
          <cell r="AD50" t="str">
            <v/>
          </cell>
        </row>
        <row r="51">
          <cell r="W51" t="str">
            <v/>
          </cell>
          <cell r="Z51" t="str">
            <v/>
          </cell>
          <cell r="AA51" t="str">
            <v/>
          </cell>
          <cell r="AB51" t="str">
            <v/>
          </cell>
          <cell r="AD51" t="str">
            <v/>
          </cell>
        </row>
        <row r="52">
          <cell r="W52" t="str">
            <v/>
          </cell>
          <cell r="Z52" t="str">
            <v/>
          </cell>
          <cell r="AA52" t="str">
            <v/>
          </cell>
          <cell r="AB52" t="str">
            <v/>
          </cell>
          <cell r="AD52" t="str">
            <v/>
          </cell>
        </row>
        <row r="53">
          <cell r="W53" t="str">
            <v/>
          </cell>
          <cell r="Z53" t="str">
            <v/>
          </cell>
          <cell r="AA53" t="str">
            <v/>
          </cell>
          <cell r="AB53" t="str">
            <v/>
          </cell>
          <cell r="AD53" t="str">
            <v/>
          </cell>
        </row>
        <row r="54">
          <cell r="W54" t="str">
            <v/>
          </cell>
          <cell r="Z54" t="str">
            <v/>
          </cell>
          <cell r="AA54" t="str">
            <v/>
          </cell>
          <cell r="AB54" t="str">
            <v/>
          </cell>
          <cell r="AD54" t="str">
            <v/>
          </cell>
        </row>
        <row r="55">
          <cell r="W55" t="str">
            <v/>
          </cell>
          <cell r="Z55" t="str">
            <v/>
          </cell>
          <cell r="AA55" t="str">
            <v/>
          </cell>
          <cell r="AB55" t="str">
            <v/>
          </cell>
          <cell r="AD55" t="str">
            <v/>
          </cell>
        </row>
        <row r="56">
          <cell r="W56" t="str">
            <v/>
          </cell>
          <cell r="Z56" t="str">
            <v/>
          </cell>
          <cell r="AA56" t="str">
            <v/>
          </cell>
          <cell r="AB56" t="str">
            <v/>
          </cell>
          <cell r="AD56" t="str">
            <v/>
          </cell>
        </row>
      </sheetData>
      <sheetData sheetId="1"/>
      <sheetData sheetId="2"/>
      <sheetData sheetId="3"/>
      <sheetData sheetId="4"/>
      <sheetData sheetId="5"/>
      <sheetData sheetId="6">
        <row r="7">
          <cell r="B7" t="str">
            <v>路面工程</v>
          </cell>
          <cell r="I7">
            <v>0</v>
          </cell>
        </row>
        <row r="8">
          <cell r="B8" t="str">
            <v>140kg/cm2機拌混凝土</v>
          </cell>
          <cell r="F8">
            <v>309.78749999999997</v>
          </cell>
          <cell r="G8" t="str">
            <v>M3</v>
          </cell>
          <cell r="I8">
            <v>309.79000000000002</v>
          </cell>
        </row>
        <row r="9">
          <cell r="I9">
            <v>0</v>
          </cell>
        </row>
        <row r="10">
          <cell r="B10" t="str">
            <v>乙種擋土牆</v>
          </cell>
          <cell r="I10">
            <v>0</v>
          </cell>
        </row>
        <row r="11">
          <cell r="B11" t="str">
            <v>挖方</v>
          </cell>
          <cell r="F11">
            <v>136.64000000000001</v>
          </cell>
          <cell r="G11" t="str">
            <v>M3</v>
          </cell>
          <cell r="I11">
            <v>136.63999999999999</v>
          </cell>
        </row>
        <row r="12">
          <cell r="B12" t="str">
            <v>基礎回填夯實</v>
          </cell>
          <cell r="F12">
            <v>68.319999999999993</v>
          </cell>
          <cell r="G12" t="str">
            <v>M3</v>
          </cell>
          <cell r="I12">
            <v>68.319999999999993</v>
          </cell>
        </row>
        <row r="13">
          <cell r="B13" t="str">
            <v>175kg/cm2機拌混凝土</v>
          </cell>
          <cell r="F13">
            <v>61.810499999999998</v>
          </cell>
          <cell r="G13" t="str">
            <v>M3</v>
          </cell>
          <cell r="I13">
            <v>61.81</v>
          </cell>
        </row>
        <row r="14">
          <cell r="B14" t="str">
            <v>軀體模板</v>
          </cell>
          <cell r="F14">
            <v>133.06440000000001</v>
          </cell>
          <cell r="G14" t="str">
            <v>M2</v>
          </cell>
          <cell r="I14">
            <v>133.06</v>
          </cell>
        </row>
        <row r="15">
          <cell r="B15" t="str">
            <v>φ3"PVC落水管</v>
          </cell>
          <cell r="F15">
            <v>16.731000000000002</v>
          </cell>
          <cell r="G15" t="str">
            <v>M</v>
          </cell>
          <cell r="I15">
            <v>16.73</v>
          </cell>
        </row>
        <row r="16">
          <cell r="I16">
            <v>0</v>
          </cell>
        </row>
        <row r="17">
          <cell r="B17" t="str">
            <v>φ90cmRCP加強埋設</v>
          </cell>
          <cell r="I17">
            <v>0</v>
          </cell>
        </row>
        <row r="18">
          <cell r="B18" t="str">
            <v>140kg/cm2機拌混凝土</v>
          </cell>
          <cell r="F18">
            <v>9.8789943119999997</v>
          </cell>
          <cell r="G18" t="str">
            <v>M3</v>
          </cell>
          <cell r="I18">
            <v>9.8800000000000008</v>
          </cell>
        </row>
        <row r="19">
          <cell r="B19" t="str">
            <v>軀體模板</v>
          </cell>
          <cell r="F19">
            <v>34.583999999999996</v>
          </cell>
          <cell r="G19" t="str">
            <v>M2</v>
          </cell>
          <cell r="I19">
            <v>34.58</v>
          </cell>
        </row>
        <row r="20">
          <cell r="B20" t="str">
            <v>φ90cm混凝土管及埋設</v>
          </cell>
          <cell r="F20">
            <v>13.2</v>
          </cell>
          <cell r="G20" t="str">
            <v>M</v>
          </cell>
          <cell r="I20">
            <v>13.2</v>
          </cell>
        </row>
        <row r="21">
          <cell r="I21">
            <v>0</v>
          </cell>
        </row>
        <row r="22">
          <cell r="B22" t="str">
            <v>φ120cmRCP加強埋設</v>
          </cell>
          <cell r="I22">
            <v>0</v>
          </cell>
        </row>
        <row r="23">
          <cell r="B23" t="str">
            <v>140kg/cm2機拌混凝土</v>
          </cell>
          <cell r="F23">
            <v>5.8915807499999984</v>
          </cell>
          <cell r="G23" t="str">
            <v>M3</v>
          </cell>
          <cell r="I23">
            <v>5.89</v>
          </cell>
        </row>
        <row r="24">
          <cell r="B24" t="str">
            <v>軀體模板</v>
          </cell>
          <cell r="F24">
            <v>18.149999999999999</v>
          </cell>
          <cell r="G24" t="str">
            <v>M2</v>
          </cell>
          <cell r="I24">
            <v>18.149999999999999</v>
          </cell>
        </row>
        <row r="25">
          <cell r="B25" t="str">
            <v>φ120cm混凝土管及埋設</v>
          </cell>
          <cell r="F25">
            <v>5.5</v>
          </cell>
          <cell r="G25" t="str">
            <v>M</v>
          </cell>
          <cell r="I25">
            <v>5.5</v>
          </cell>
        </row>
        <row r="26">
          <cell r="I26">
            <v>0</v>
          </cell>
        </row>
        <row r="27">
          <cell r="B27" t="str">
            <v>明溝</v>
          </cell>
          <cell r="I27">
            <v>0</v>
          </cell>
        </row>
        <row r="28">
          <cell r="B28" t="str">
            <v>挖方</v>
          </cell>
          <cell r="F28">
            <v>20.88</v>
          </cell>
          <cell r="G28" t="str">
            <v>M3</v>
          </cell>
          <cell r="I28">
            <v>20.88</v>
          </cell>
        </row>
        <row r="29">
          <cell r="B29" t="str">
            <v>基礎回填夯實</v>
          </cell>
          <cell r="F29">
            <v>11.52</v>
          </cell>
          <cell r="G29" t="str">
            <v>M3</v>
          </cell>
          <cell r="I29">
            <v>11.52</v>
          </cell>
        </row>
        <row r="30">
          <cell r="I30">
            <v>0</v>
          </cell>
        </row>
        <row r="31">
          <cell r="B31" t="str">
            <v>175kg/cm2機拌混凝土</v>
          </cell>
          <cell r="F31">
            <v>9.18</v>
          </cell>
          <cell r="G31" t="str">
            <v>M3</v>
          </cell>
          <cell r="I31">
            <v>9.18</v>
          </cell>
        </row>
        <row r="32">
          <cell r="B32" t="str">
            <v>軀體模板</v>
          </cell>
          <cell r="F32">
            <v>38.123999999999995</v>
          </cell>
          <cell r="G32" t="str">
            <v>M2</v>
          </cell>
          <cell r="I32">
            <v>38.119999999999997</v>
          </cell>
        </row>
        <row r="33">
          <cell r="I33">
            <v>0</v>
          </cell>
        </row>
        <row r="34">
          <cell r="B34" t="str">
            <v>靜水池(丁)、靜水池(戊)、靜水池(己)</v>
          </cell>
          <cell r="I34">
            <v>0</v>
          </cell>
        </row>
        <row r="35">
          <cell r="B35" t="str">
            <v>175kg/cm2機拌混凝土</v>
          </cell>
          <cell r="F35">
            <v>14.16</v>
          </cell>
          <cell r="G35" t="str">
            <v>M3</v>
          </cell>
          <cell r="I35">
            <v>14.16</v>
          </cell>
        </row>
        <row r="36">
          <cell r="B36" t="str">
            <v>軀體模板</v>
          </cell>
          <cell r="F36">
            <v>57.769999999999996</v>
          </cell>
          <cell r="G36" t="str">
            <v>M2</v>
          </cell>
          <cell r="I36">
            <v>57.77</v>
          </cell>
        </row>
        <row r="37">
          <cell r="I37">
            <v>0</v>
          </cell>
        </row>
        <row r="38">
          <cell r="B38" t="str">
            <v>水墊</v>
          </cell>
          <cell r="I38">
            <v>0</v>
          </cell>
        </row>
        <row r="39">
          <cell r="B39" t="str">
            <v>175kg/cm2機拌混凝土</v>
          </cell>
          <cell r="F39">
            <v>3.74</v>
          </cell>
          <cell r="G39" t="str">
            <v>M3</v>
          </cell>
          <cell r="I39">
            <v>3.74</v>
          </cell>
        </row>
        <row r="40">
          <cell r="B40" t="str">
            <v>軀體模板</v>
          </cell>
          <cell r="F40">
            <v>7.6000000000000005</v>
          </cell>
          <cell r="G40" t="str">
            <v>M2</v>
          </cell>
          <cell r="I40">
            <v>7.6</v>
          </cell>
        </row>
        <row r="41">
          <cell r="I41">
            <v>0</v>
          </cell>
        </row>
        <row r="42">
          <cell r="I42">
            <v>0</v>
          </cell>
        </row>
        <row r="43">
          <cell r="I43">
            <v>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</sheetData>
      <sheetData sheetId="7">
        <row r="47">
          <cell r="I47">
            <v>0</v>
          </cell>
        </row>
        <row r="48">
          <cell r="I48">
            <v>0</v>
          </cell>
        </row>
        <row r="49">
          <cell r="I49">
            <v>0</v>
          </cell>
        </row>
        <row r="50">
          <cell r="I50">
            <v>0</v>
          </cell>
        </row>
        <row r="51">
          <cell r="I51">
            <v>0</v>
          </cell>
        </row>
        <row r="52">
          <cell r="I52">
            <v>0</v>
          </cell>
        </row>
        <row r="53">
          <cell r="I53">
            <v>0</v>
          </cell>
        </row>
        <row r="54">
          <cell r="I54">
            <v>0</v>
          </cell>
        </row>
        <row r="55">
          <cell r="I55">
            <v>0</v>
          </cell>
        </row>
        <row r="56">
          <cell r="I56">
            <v>0</v>
          </cell>
        </row>
        <row r="57">
          <cell r="I57">
            <v>0</v>
          </cell>
        </row>
        <row r="58">
          <cell r="I58">
            <v>0</v>
          </cell>
        </row>
        <row r="59">
          <cell r="I59">
            <v>0</v>
          </cell>
        </row>
        <row r="60">
          <cell r="I60">
            <v>0</v>
          </cell>
        </row>
        <row r="61">
          <cell r="I61">
            <v>0</v>
          </cell>
        </row>
        <row r="62">
          <cell r="I62">
            <v>0</v>
          </cell>
        </row>
        <row r="63">
          <cell r="I63">
            <v>0</v>
          </cell>
        </row>
        <row r="64">
          <cell r="I64">
            <v>0</v>
          </cell>
        </row>
        <row r="65">
          <cell r="I65">
            <v>0</v>
          </cell>
        </row>
        <row r="66">
          <cell r="I66">
            <v>0</v>
          </cell>
        </row>
        <row r="67">
          <cell r="I67">
            <v>0</v>
          </cell>
        </row>
        <row r="68">
          <cell r="I68">
            <v>0</v>
          </cell>
        </row>
        <row r="69">
          <cell r="I69">
            <v>0</v>
          </cell>
        </row>
        <row r="70">
          <cell r="I70">
            <v>0</v>
          </cell>
        </row>
        <row r="71">
          <cell r="I71">
            <v>0</v>
          </cell>
        </row>
        <row r="72">
          <cell r="I72">
            <v>0</v>
          </cell>
        </row>
        <row r="73">
          <cell r="I73">
            <v>0</v>
          </cell>
        </row>
        <row r="74">
          <cell r="I74">
            <v>0</v>
          </cell>
        </row>
        <row r="75">
          <cell r="I75">
            <v>0</v>
          </cell>
        </row>
        <row r="76">
          <cell r="I76">
            <v>0</v>
          </cell>
        </row>
        <row r="77">
          <cell r="I77">
            <v>0</v>
          </cell>
        </row>
        <row r="78">
          <cell r="I78">
            <v>0</v>
          </cell>
        </row>
        <row r="79">
          <cell r="I79">
            <v>0</v>
          </cell>
        </row>
        <row r="80">
          <cell r="I80">
            <v>0</v>
          </cell>
        </row>
        <row r="81">
          <cell r="I81">
            <v>0</v>
          </cell>
        </row>
        <row r="82">
          <cell r="I82">
            <v>0</v>
          </cell>
        </row>
        <row r="83">
          <cell r="I83">
            <v>0</v>
          </cell>
        </row>
        <row r="84">
          <cell r="I84">
            <v>0</v>
          </cell>
        </row>
        <row r="85">
          <cell r="I85">
            <v>0</v>
          </cell>
        </row>
        <row r="86">
          <cell r="I86">
            <v>0</v>
          </cell>
        </row>
      </sheetData>
      <sheetData sheetId="8">
        <row r="87">
          <cell r="I87">
            <v>0</v>
          </cell>
        </row>
        <row r="88">
          <cell r="I88">
            <v>0</v>
          </cell>
        </row>
        <row r="89">
          <cell r="I89">
            <v>0</v>
          </cell>
        </row>
        <row r="90">
          <cell r="I90">
            <v>0</v>
          </cell>
        </row>
        <row r="91">
          <cell r="I91">
            <v>0</v>
          </cell>
        </row>
        <row r="92">
          <cell r="I92">
            <v>0</v>
          </cell>
        </row>
        <row r="93">
          <cell r="I93">
            <v>0</v>
          </cell>
        </row>
        <row r="94">
          <cell r="I94">
            <v>0</v>
          </cell>
        </row>
        <row r="95">
          <cell r="I95">
            <v>0</v>
          </cell>
        </row>
        <row r="96">
          <cell r="I96">
            <v>0</v>
          </cell>
        </row>
        <row r="97">
          <cell r="I97">
            <v>0</v>
          </cell>
        </row>
        <row r="98">
          <cell r="I98">
            <v>0</v>
          </cell>
        </row>
        <row r="99">
          <cell r="I99">
            <v>0</v>
          </cell>
        </row>
        <row r="100">
          <cell r="I100">
            <v>0</v>
          </cell>
        </row>
        <row r="101">
          <cell r="I101">
            <v>0</v>
          </cell>
        </row>
        <row r="102">
          <cell r="I102">
            <v>0</v>
          </cell>
        </row>
        <row r="103">
          <cell r="I103">
            <v>0</v>
          </cell>
        </row>
        <row r="104">
          <cell r="I104">
            <v>0</v>
          </cell>
        </row>
        <row r="105">
          <cell r="I105">
            <v>0</v>
          </cell>
        </row>
        <row r="106">
          <cell r="I106">
            <v>0</v>
          </cell>
        </row>
        <row r="107">
          <cell r="I107">
            <v>0</v>
          </cell>
        </row>
        <row r="108">
          <cell r="I108">
            <v>0</v>
          </cell>
        </row>
        <row r="109">
          <cell r="I109">
            <v>0</v>
          </cell>
        </row>
        <row r="110">
          <cell r="I110">
            <v>0</v>
          </cell>
        </row>
        <row r="111">
          <cell r="I111">
            <v>0</v>
          </cell>
        </row>
        <row r="112">
          <cell r="I112">
            <v>0</v>
          </cell>
        </row>
        <row r="113">
          <cell r="I113">
            <v>0</v>
          </cell>
        </row>
        <row r="114">
          <cell r="I114">
            <v>0</v>
          </cell>
        </row>
        <row r="115">
          <cell r="I115">
            <v>0</v>
          </cell>
        </row>
        <row r="116">
          <cell r="I116">
            <v>0</v>
          </cell>
        </row>
        <row r="117">
          <cell r="I117">
            <v>0</v>
          </cell>
        </row>
        <row r="118">
          <cell r="I118">
            <v>0</v>
          </cell>
        </row>
        <row r="119">
          <cell r="I119">
            <v>0</v>
          </cell>
        </row>
        <row r="120">
          <cell r="I120">
            <v>0</v>
          </cell>
        </row>
        <row r="121">
          <cell r="I121">
            <v>0</v>
          </cell>
        </row>
        <row r="122">
          <cell r="I122">
            <v>0</v>
          </cell>
        </row>
        <row r="123">
          <cell r="I123">
            <v>0</v>
          </cell>
        </row>
        <row r="124">
          <cell r="B124" t="str">
            <v>工程材料試驗費</v>
          </cell>
          <cell r="F124">
            <v>1</v>
          </cell>
          <cell r="G124" t="str">
            <v>式</v>
          </cell>
          <cell r="I124">
            <v>1</v>
          </cell>
        </row>
        <row r="125">
          <cell r="I125">
            <v>0</v>
          </cell>
        </row>
        <row r="126">
          <cell r="I126">
            <v>0</v>
          </cell>
        </row>
      </sheetData>
      <sheetData sheetId="9">
        <row r="127">
          <cell r="I127">
            <v>0</v>
          </cell>
        </row>
        <row r="128">
          <cell r="I128">
            <v>0</v>
          </cell>
        </row>
        <row r="129">
          <cell r="I129">
            <v>0</v>
          </cell>
        </row>
        <row r="130">
          <cell r="I130">
            <v>0</v>
          </cell>
        </row>
        <row r="131">
          <cell r="I131">
            <v>0</v>
          </cell>
        </row>
        <row r="132">
          <cell r="I132">
            <v>0</v>
          </cell>
        </row>
        <row r="133">
          <cell r="I133">
            <v>0</v>
          </cell>
        </row>
        <row r="134">
          <cell r="I134">
            <v>0</v>
          </cell>
        </row>
        <row r="135">
          <cell r="I135">
            <v>0</v>
          </cell>
        </row>
        <row r="136">
          <cell r="I136">
            <v>0</v>
          </cell>
        </row>
        <row r="137">
          <cell r="I137">
            <v>0</v>
          </cell>
        </row>
        <row r="138">
          <cell r="I138">
            <v>0</v>
          </cell>
        </row>
        <row r="139">
          <cell r="I139">
            <v>0</v>
          </cell>
        </row>
        <row r="140">
          <cell r="I140">
            <v>0</v>
          </cell>
        </row>
        <row r="141">
          <cell r="I141">
            <v>0</v>
          </cell>
        </row>
        <row r="142">
          <cell r="I142">
            <v>0</v>
          </cell>
        </row>
        <row r="143">
          <cell r="I143">
            <v>0</v>
          </cell>
        </row>
        <row r="144">
          <cell r="I144">
            <v>0</v>
          </cell>
        </row>
        <row r="145">
          <cell r="I145">
            <v>0</v>
          </cell>
        </row>
        <row r="146">
          <cell r="I146">
            <v>0</v>
          </cell>
        </row>
        <row r="147">
          <cell r="I147">
            <v>0</v>
          </cell>
        </row>
        <row r="148">
          <cell r="I148">
            <v>0</v>
          </cell>
        </row>
        <row r="149">
          <cell r="I149">
            <v>0</v>
          </cell>
        </row>
        <row r="150">
          <cell r="I150">
            <v>0</v>
          </cell>
        </row>
        <row r="151">
          <cell r="I151">
            <v>0</v>
          </cell>
        </row>
        <row r="152">
          <cell r="I152">
            <v>0</v>
          </cell>
        </row>
        <row r="153">
          <cell r="I153">
            <v>0</v>
          </cell>
        </row>
        <row r="154">
          <cell r="I154">
            <v>0</v>
          </cell>
        </row>
        <row r="155">
          <cell r="I155">
            <v>0</v>
          </cell>
        </row>
        <row r="156">
          <cell r="I156">
            <v>0</v>
          </cell>
        </row>
        <row r="157">
          <cell r="I157">
            <v>0</v>
          </cell>
        </row>
        <row r="158">
          <cell r="I158">
            <v>0</v>
          </cell>
        </row>
        <row r="159">
          <cell r="I159">
            <v>0</v>
          </cell>
        </row>
        <row r="160">
          <cell r="I160">
            <v>0</v>
          </cell>
        </row>
        <row r="161">
          <cell r="I161">
            <v>0</v>
          </cell>
        </row>
        <row r="162">
          <cell r="I162">
            <v>0</v>
          </cell>
        </row>
        <row r="163">
          <cell r="I163">
            <v>0</v>
          </cell>
        </row>
        <row r="164">
          <cell r="I164">
            <v>0</v>
          </cell>
        </row>
        <row r="165">
          <cell r="I165">
            <v>0</v>
          </cell>
        </row>
        <row r="166">
          <cell r="I166">
            <v>0</v>
          </cell>
        </row>
      </sheetData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1"/>
    </sheetNames>
    <sheetDataSet>
      <sheetData sheetId="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詳細表"/>
      <sheetName val="建築工程費"/>
      <sheetName val="總表"/>
      <sheetName val="單價分析"/>
      <sheetName val="水電工程費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水池總表"/>
      <sheetName val="計算工作表"/>
      <sheetName val="試驗"/>
      <sheetName val="表2-1"/>
      <sheetName val="表2-2"/>
      <sheetName val="圖2-1"/>
      <sheetName val="氣象(表3-1圖3-1~3)"/>
      <sheetName val="表3-2"/>
      <sheetName val="表3-3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水文計算函式"/>
      <sheetName val="水理計算函式"/>
      <sheetName val="滯洪池出口檢算"/>
      <sheetName val="Sheet1"/>
      <sheetName val="Engineer"/>
      <sheetName val="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明細表"/>
      <sheetName val="預算單價"/>
      <sheetName val="數量表"/>
      <sheetName val="土石方"/>
      <sheetName val="投標標價清單"/>
      <sheetName val="包商單價"/>
      <sheetName val="材料表"/>
      <sheetName val="施工明細表 "/>
      <sheetName val="結算明細"/>
      <sheetName val="施工明細二"/>
      <sheetName val="施工明細三"/>
      <sheetName val="變更明細"/>
      <sheetName val="付款表"/>
      <sheetName val="進度表"/>
      <sheetName val="竣工數量明細"/>
      <sheetName val="結算驗收"/>
      <sheetName val="決算明細"/>
      <sheetName val="決算表"/>
      <sheetName val="土木"/>
      <sheetName val="單價表"/>
      <sheetName val="資料表"/>
      <sheetName val="單價分析表(1-11)"/>
      <sheetName val="數量表A"/>
      <sheetName val="工程預算書"/>
      <sheetName val="R&amp;C&amp;T"/>
      <sheetName val="U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投標標價清單"/>
      <sheetName val="預算明細表"/>
      <sheetName val="單價原稿"/>
      <sheetName val="單價"/>
      <sheetName val="空白單價"/>
      <sheetName val="數量表"/>
      <sheetName val="土石方"/>
      <sheetName val="材料表"/>
      <sheetName val="估驗明細"/>
      <sheetName val="結算明細"/>
      <sheetName val="變更明細"/>
      <sheetName val="竣工明細"/>
      <sheetName val="付款表"/>
      <sheetName val="進度表"/>
      <sheetName val="結算驗收"/>
      <sheetName val="決算表"/>
      <sheetName val="決算明細"/>
      <sheetName val="結算明細表 (2)"/>
      <sheetName val="數量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災害查報"/>
      <sheetName val="概要"/>
      <sheetName val="預算表"/>
      <sheetName val="預算明細表"/>
      <sheetName val="單價原稿"/>
      <sheetName val="單價"/>
      <sheetName val="投標標價清單"/>
      <sheetName val="空白單價"/>
      <sheetName val="數量表"/>
      <sheetName val="土石方"/>
      <sheetName val="增減數量明細"/>
      <sheetName val="預算表 (變)"/>
      <sheetName val="變更明細"/>
      <sheetName val="單價 (變)"/>
      <sheetName val="投標標價清單 (變)"/>
      <sheetName val="包商單價 (變)"/>
      <sheetName val="數量表 (變)"/>
      <sheetName val="土石方(變)"/>
      <sheetName val="進度表"/>
      <sheetName val="材料表"/>
      <sheetName val="估驗請款單"/>
      <sheetName val="估驗明細"/>
      <sheetName val="付款表"/>
      <sheetName val="結算明細"/>
      <sheetName val="竣工明細"/>
      <sheetName val="決算表"/>
      <sheetName val="決算明細"/>
      <sheetName val="[89和平林道工程.xls][89和平林道工程.xls][89"/>
      <sheetName val="[89和平林道工程.xls]_89_______xls__13"/>
      <sheetName val="[89和平林道工程.xls]_89_______xls___2"/>
      <sheetName val="[89和平林道工程.xls]_89_______xls___3"/>
      <sheetName val="[89和平林道工程.xls]_89_______xls___4"/>
      <sheetName val="[89和平林道工程.xls]_89_______xls___5"/>
      <sheetName val="[89和平林道工程.xls]_89_______xls___6"/>
      <sheetName val="[89和平林道工程.xls]_89_______xls___7"/>
      <sheetName val="[89和平林道工程.xls][89和平林道工程.xls]__2"/>
      <sheetName val="[89和平林道工程.xls]_89_______xls___8"/>
      <sheetName val="[89和平林道工程.xls][89和平林道工程.xls]__3"/>
      <sheetName val="[89和平林道工程.xls]_89_______xls___9"/>
      <sheetName val="[89和平林道工程.xls][89和平林道工程.xls]__4"/>
      <sheetName val="[89和平林道工程.xls]_89_______xls__10"/>
      <sheetName val="[89和平林道工程.xls][89和平林道工程.xls]__5"/>
      <sheetName val="[89和平林道工程.xls][89和平林道工程.xls]__6"/>
      <sheetName val="[89和平林道工程.xls][89和平林道工程.xls]__9"/>
      <sheetName val="[89和平林道工程.xls][89和平林道工程.xls]__7"/>
      <sheetName val="[89和平林道工程.xls][89和平林道工程.xls]__8"/>
      <sheetName val="[89和平林道工程.xls]_89_______xls__11"/>
      <sheetName val="[89和平林道工程.xls][89和平林道工程.xls]_10"/>
      <sheetName val="[89和平林道工程.xls]_89_______xls__12"/>
      <sheetName val="[89和平林道工程.xls][89和平林道工程.xls]_11"/>
      <sheetName val="[89和平林道工程.xls]_89_______xls__14"/>
      <sheetName val="[89和平林道工程.xls][89和平林道工程.xls]_12"/>
    </sheetNames>
    <sheetDataSet>
      <sheetData sheetId="0"/>
      <sheetData sheetId="1"/>
      <sheetData sheetId="2"/>
      <sheetData sheetId="3" refreshError="1">
        <row r="44">
          <cell r="K44">
            <v>0.96166499999999999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書"/>
      <sheetName val="預算(估價)"/>
      <sheetName val="單價"/>
      <sheetName val="數量(含竣工)"/>
      <sheetName val="土石方 (1)"/>
      <sheetName val="土石方 (2)"/>
      <sheetName val="進度表"/>
      <sheetName val="結算驗收"/>
      <sheetName val="結算明細"/>
      <sheetName val="竣工明細"/>
      <sheetName val="付款表"/>
      <sheetName val="決算書"/>
      <sheetName val="決算明細"/>
      <sheetName val="竣工土石方 (2)"/>
      <sheetName val="Sheet2"/>
      <sheetName val="Sheet3"/>
      <sheetName val="單價分析表(1-11)"/>
      <sheetName val="項目分析"/>
      <sheetName val="材料表"/>
      <sheetName val="預算明細表"/>
      <sheetName val="資料庫"/>
      <sheetName val="單價表"/>
      <sheetName val="數量計算資料"/>
      <sheetName val="機關名稱資料"/>
      <sheetName val="單價分析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電信"/>
      <sheetName val="預算"/>
      <sheetName val="單價1"/>
      <sheetName val="單價2"/>
      <sheetName val="單價分析表(1-1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  <sheetName val="單價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YSIS"/>
      <sheetName val="工程預算書 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總"/>
      <sheetName val="開工報告書(橫章)"/>
      <sheetName val="工程完工報告書"/>
      <sheetName val="監造日報表封面"/>
      <sheetName val="監造日報表 (1)"/>
      <sheetName val="監造日報表"/>
      <sheetName val="監造日報表 (2)"/>
      <sheetName val="監造日報表 (3)"/>
      <sheetName val="監造日報表 (4)"/>
      <sheetName val="結算書封面(橫章)"/>
      <sheetName val="工程驗收單"/>
      <sheetName val="結算明細總表"/>
      <sheetName val="預算明細"/>
      <sheetName val="工程預算表"/>
      <sheetName val="ANALYSIS.XLS"/>
      <sheetName val="工程預算書_"/>
      <sheetName val="結算明細表 (2)"/>
    </sheetNames>
    <definedNames>
      <definedName name="A區資料篩選"/>
      <definedName name="B區資料篩選"/>
      <definedName name="C區資料篩選"/>
      <definedName name="D區資料篩選"/>
      <definedName name="清除A區資料"/>
      <definedName name="清除B區資料"/>
      <definedName name="清除C區資料"/>
      <definedName name="清除D區資料"/>
      <definedName name="清除查詢資料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/>
      <sheetData sheetId="47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  <sheetName val="162-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單價明細"/>
      <sheetName val="預算明細 "/>
      <sheetName val="預算設計書"/>
      <sheetName val="預算單價設計書"/>
      <sheetName val="單價分析"/>
      <sheetName val="包商單價分析"/>
      <sheetName val="標單"/>
      <sheetName val="標單 (2)"/>
      <sheetName val="標單 (3)"/>
      <sheetName val="數量1"/>
      <sheetName val="數量2"/>
      <sheetName val="第一期"/>
      <sheetName val="第2期 "/>
      <sheetName val="請款單(1)"/>
      <sheetName val="請款單(2)"/>
      <sheetName val="付款表(1)"/>
      <sheetName val="付款表(2)"/>
      <sheetName val="單價協議"/>
      <sheetName val="剩餘土處理)"/>
      <sheetName val="空白分析"/>
      <sheetName val="數量計算表"/>
      <sheetName val="測量表"/>
      <sheetName val="進度表"/>
      <sheetName val="土方表"/>
      <sheetName val="結算驗收"/>
      <sheetName val="結算明細"/>
      <sheetName val="總變更明細"/>
      <sheetName val="變更新增部分明細"/>
      <sheetName val="變更數量計算表 "/>
      <sheetName val="變更新增減表"/>
      <sheetName val="變更數量增減表"/>
      <sheetName val="變更明細"/>
      <sheetName val="變更預算表"/>
      <sheetName val="變更單價分析."/>
      <sheetName val="決算明細"/>
      <sheetName val="決算表"/>
      <sheetName val="單價"/>
      <sheetName val="保證金"/>
      <sheetName val="竣工數量計算"/>
      <sheetName val="竣工數量明細"/>
      <sheetName val="竣工土石方"/>
      <sheetName val="工程估價單(新增)"/>
      <sheetName val="增減預算表"/>
      <sheetName val="變更明細包商"/>
      <sheetName val="估驗(1)"/>
      <sheetName val="估驗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8">
          <cell r="H8">
            <v>703.94</v>
          </cell>
        </row>
        <row r="10">
          <cell r="H10">
            <v>934.74</v>
          </cell>
        </row>
        <row r="11">
          <cell r="H11">
            <v>1096.3</v>
          </cell>
        </row>
        <row r="14">
          <cell r="H14">
            <v>6.4</v>
          </cell>
        </row>
        <row r="16">
          <cell r="H16">
            <v>13.95</v>
          </cell>
        </row>
        <row r="17">
          <cell r="H17">
            <v>57.7</v>
          </cell>
        </row>
        <row r="19">
          <cell r="G19">
            <v>0.04</v>
          </cell>
        </row>
        <row r="23">
          <cell r="J23">
            <v>969</v>
          </cell>
        </row>
        <row r="28">
          <cell r="J28">
            <v>854</v>
          </cell>
        </row>
        <row r="32">
          <cell r="J32">
            <v>43</v>
          </cell>
        </row>
        <row r="39">
          <cell r="J39">
            <v>1027</v>
          </cell>
        </row>
        <row r="44">
          <cell r="J44">
            <v>989</v>
          </cell>
        </row>
        <row r="48">
          <cell r="J48">
            <v>327</v>
          </cell>
        </row>
      </sheetData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單價明細"/>
      <sheetName val="預算明細 "/>
      <sheetName val="預算設計書"/>
      <sheetName val="預算單價設計書"/>
      <sheetName val="單價分析"/>
      <sheetName val="包商單價分析"/>
      <sheetName val="標單"/>
      <sheetName val="標單 (2)"/>
      <sheetName val="標單 (3)"/>
      <sheetName val="數量1"/>
      <sheetName val="數量2"/>
      <sheetName val="第一期"/>
      <sheetName val="第2期 "/>
      <sheetName val="請款單(1)"/>
      <sheetName val="請款單(2)"/>
      <sheetName val="付款表(1)"/>
      <sheetName val="付款表(2)"/>
      <sheetName val="單價協議"/>
      <sheetName val="剩餘土處理)"/>
      <sheetName val="空白分析"/>
      <sheetName val="數量計算表"/>
      <sheetName val="測量表"/>
      <sheetName val="進度表"/>
      <sheetName val="土方表"/>
      <sheetName val="結算驗收"/>
      <sheetName val="結算明細"/>
      <sheetName val="總變更明細"/>
      <sheetName val="變更新增部分明細"/>
      <sheetName val="變更數量計算表 "/>
      <sheetName val="變更新增減表"/>
      <sheetName val="變更數量增減表"/>
      <sheetName val="變更明細"/>
      <sheetName val="變更預算表"/>
      <sheetName val="變更單價分析."/>
      <sheetName val="決算明細"/>
      <sheetName val="決算表"/>
      <sheetName val="單價"/>
      <sheetName val="保證金"/>
      <sheetName val="竣工數量計算"/>
      <sheetName val="竣工數量明細"/>
      <sheetName val="竣工土石方"/>
      <sheetName val="工程估價單(新增)"/>
      <sheetName val="增減預算表"/>
      <sheetName val="變更明細包商"/>
      <sheetName val="估驗(1)"/>
      <sheetName val="估驗(2)"/>
      <sheetName val="單價分析表(1-11)"/>
      <sheetName val="數量(含竣工)"/>
      <sheetName val="數量計算"/>
      <sheetName val="鋼筋數量"/>
      <sheetName val="預算明細"/>
      <sheetName val="預算書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>
        <row r="8">
          <cell r="H8">
            <v>703.94</v>
          </cell>
        </row>
        <row r="10">
          <cell r="H10">
            <v>934.74</v>
          </cell>
        </row>
        <row r="11">
          <cell r="H11">
            <v>1096.3</v>
          </cell>
        </row>
        <row r="14">
          <cell r="H14">
            <v>6.4</v>
          </cell>
        </row>
        <row r="16">
          <cell r="H16">
            <v>13.95</v>
          </cell>
        </row>
        <row r="17">
          <cell r="H17">
            <v>57.7</v>
          </cell>
        </row>
        <row r="19">
          <cell r="G19">
            <v>0.04</v>
          </cell>
        </row>
        <row r="23">
          <cell r="J23">
            <v>969</v>
          </cell>
        </row>
        <row r="28">
          <cell r="J28">
            <v>854</v>
          </cell>
        </row>
        <row r="32">
          <cell r="J32">
            <v>43</v>
          </cell>
        </row>
        <row r="39">
          <cell r="J39">
            <v>1027</v>
          </cell>
        </row>
        <row r="44">
          <cell r="J44">
            <v>989</v>
          </cell>
        </row>
        <row r="48">
          <cell r="J48">
            <v>327</v>
          </cell>
        </row>
      </sheetData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計劃說明書"/>
      <sheetName val="表頭"/>
      <sheetName val="總表"/>
      <sheetName val="總表_空白"/>
      <sheetName val="預算書"/>
      <sheetName val="預算書_空白"/>
      <sheetName val="數量表1"/>
      <sheetName val="數量表2"/>
      <sheetName val="數量表3"/>
      <sheetName val="單價分析"/>
      <sheetName val="單價分析_空白"/>
      <sheetName val="一工_數量"/>
      <sheetName val="二工_數量"/>
      <sheetName val="三工_數量"/>
      <sheetName val="基本單價計算"/>
      <sheetName val="單價"/>
    </sheetNames>
    <sheetDataSet>
      <sheetData sheetId="0" refreshError="1"/>
      <sheetData sheetId="1" refreshError="1">
        <row r="31">
          <cell r="R31" t="str">
            <v>覆核</v>
          </cell>
        </row>
        <row r="32">
          <cell r="R32" t="str">
            <v>課長</v>
          </cell>
        </row>
        <row r="33">
          <cell r="R33" t="str">
            <v>秘書</v>
          </cell>
        </row>
        <row r="34">
          <cell r="R34" t="str">
            <v>鄉長</v>
          </cell>
        </row>
      </sheetData>
      <sheetData sheetId="2"/>
      <sheetData sheetId="3" refreshError="1"/>
      <sheetData sheetId="4" refreshError="1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>
        <row r="15">
          <cell r="G15">
            <v>282.08000000000004</v>
          </cell>
          <cell r="J15">
            <v>272.52</v>
          </cell>
          <cell r="M15">
            <v>227.47</v>
          </cell>
          <cell r="P15">
            <v>529.97</v>
          </cell>
        </row>
        <row r="23">
          <cell r="G23">
            <v>32.83</v>
          </cell>
          <cell r="J23">
            <v>99.67</v>
          </cell>
          <cell r="M23">
            <v>35.28</v>
          </cell>
          <cell r="P23">
            <v>80.16</v>
          </cell>
        </row>
        <row r="39">
          <cell r="G39">
            <v>417.03600000000006</v>
          </cell>
          <cell r="J39">
            <v>264.70400000000001</v>
          </cell>
          <cell r="M39">
            <v>213.66400000000002</v>
          </cell>
          <cell r="P39">
            <v>336.63400000000001</v>
          </cell>
        </row>
      </sheetData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單價分析表"/>
      <sheetName val="一工_數量"/>
      <sheetName val="表頭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基本資料表"/>
      <sheetName val="單價表"/>
      <sheetName val="預算書"/>
      <sheetName val="計算書 "/>
      <sheetName val="封面"/>
      <sheetName val="單價分析表"/>
      <sheetName val="標折"/>
      <sheetName val="移辦單"/>
      <sheetName val="OK版"/>
      <sheetName val="估價單"/>
      <sheetName val="變更預算書"/>
      <sheetName val="增減帳"/>
      <sheetName val="增減帳 (2)"/>
      <sheetName val="變更計算書"/>
      <sheetName val="變更封面"/>
      <sheetName val="工程標單"/>
      <sheetName val="投標須知"/>
      <sheetName val="合約封面"/>
      <sheetName val="合約尾頁"/>
      <sheetName val="合約內頁"/>
      <sheetName val="施工查驗申請單"/>
      <sheetName val="檢查表"/>
      <sheetName val="AC試單 "/>
      <sheetName val="PC試單"/>
      <sheetName val="驗收紀錄"/>
      <sheetName val="驗證明書"/>
      <sheetName val="結算明細"/>
      <sheetName val="決算驗收報告表"/>
      <sheetName val="週報表"/>
      <sheetName val="數量計算式"/>
      <sheetName val="報表"/>
      <sheetName val="自檢表"/>
      <sheetName val="巡查相片表"/>
      <sheetName val="AC堆置"/>
      <sheetName val="廢方堆置"/>
      <sheetName val="抽鑽厚度"/>
      <sheetName val="Sheet3"/>
      <sheetName val="Sheet2"/>
      <sheetName val="Sheet1"/>
      <sheetName val="工程預算書"/>
    </sheetNames>
    <sheetDataSet>
      <sheetData sheetId="0">
        <row r="3">
          <cell r="C3" t="str">
            <v>大樹鄉湖底溝三號橋上下游排水改善工程</v>
          </cell>
        </row>
        <row r="5">
          <cell r="C5" t="str">
            <v>90年度追加預算道路橋樑其他零星工程維護費</v>
          </cell>
        </row>
        <row r="15">
          <cell r="C15" t="str">
            <v>92</v>
          </cell>
        </row>
        <row r="17">
          <cell r="C17">
            <v>120</v>
          </cell>
        </row>
        <row r="18">
          <cell r="C18" t="str">
            <v>No：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基本資料表"/>
      <sheetName val="移辦單"/>
      <sheetName val="標折"/>
      <sheetName val="單價分析表"/>
      <sheetName val="土方"/>
      <sheetName val="木作"/>
      <sheetName val="雜費篇"/>
      <sheetName val="路面"/>
      <sheetName val="Sheet6"/>
    </sheetNames>
    <sheetDataSet>
      <sheetData sheetId="0">
        <row r="7">
          <cell r="B7">
            <v>36815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基本資料表"/>
      <sheetName val="試驗單"/>
      <sheetName val="基礎鋼筋查驗單"/>
      <sheetName val="單價表"/>
      <sheetName val="估價單"/>
      <sheetName val="工程決算書"/>
      <sheetName val="竣工驗收表"/>
      <sheetName val="驗收記錄"/>
      <sheetName val="驗收報告表"/>
      <sheetName val="保固切結書"/>
      <sheetName val="議定書封面"/>
      <sheetName val="單價分析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基本資料表"/>
      <sheetName val="施工查驗申請單"/>
      <sheetName val="試驗單"/>
      <sheetName val="查驗單"/>
      <sheetName val="單價表"/>
      <sheetName val="估價單"/>
      <sheetName val="工程決算書"/>
      <sheetName val="工程竣工驗收表"/>
      <sheetName val="驗收證明書"/>
      <sheetName val="驗收記錄"/>
      <sheetName val="驗收報告表"/>
      <sheetName val="保固切結書"/>
      <sheetName val="議定書封面"/>
      <sheetName val="陳情案勘查記錄"/>
      <sheetName val="勘查照片表"/>
      <sheetName val="單價分析表"/>
      <sheetName val="Sheet1"/>
      <sheetName val="請款作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補充說明"/>
      <sheetName val="電信預算總表"/>
      <sheetName val="電信預算明細"/>
      <sheetName val="電信供應材料"/>
      <sheetName val="電信單價分析"/>
      <sheetName val="自來水預算總表"/>
      <sheetName val="自來水預算明細"/>
      <sheetName val="自來水供應材料"/>
      <sheetName val="自來水數量"/>
      <sheetName val="自來水單價分析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局供材料"/>
      <sheetName val="工程數量計算"/>
      <sheetName val="路基數量一"/>
      <sheetName val="路基數量二"/>
      <sheetName val="路基數量三"/>
      <sheetName val="單價分析"/>
      <sheetName val="補充說明"/>
      <sheetName val="自來水預算總表"/>
      <sheetName val="自來水預算明細"/>
      <sheetName val="自來水數量計算"/>
      <sheetName val="自來水供應材料 (2)"/>
      <sheetName val="自來水單價分析"/>
      <sheetName val="電力預算總表"/>
      <sheetName val="電力預算明細"/>
      <sheetName val="電力供應材料"/>
      <sheetName val="電力單價分析"/>
      <sheetName val="電信預算總表"/>
      <sheetName val="電信預算明細"/>
      <sheetName val="電信供應材料"/>
      <sheetName val="電信單價分析"/>
      <sheetName val="包商主體工程估價單"/>
      <sheetName val="包商主體工程局供料"/>
      <sheetName val="包商主體工程單價表"/>
      <sheetName val="自來水工程估價單"/>
      <sheetName val="自來水供應材料"/>
      <sheetName val="自來水包商單價分析"/>
      <sheetName val="電力工程估價單"/>
      <sheetName val="包商電力供應材料"/>
      <sheetName val="電力包商單價分析"/>
      <sheetName val="電信工程估價單"/>
      <sheetName val="包商電信供應材料"/>
      <sheetName val="電信包商單價分析"/>
      <sheetName val="施工補充說明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預算書"/>
      <sheetName val="支應表"/>
      <sheetName val="總表"/>
      <sheetName val="明細表"/>
      <sheetName val="單價分析"/>
      <sheetName val="數量計算"/>
      <sheetName val="補充說明 "/>
      <sheetName val="施工說明書(數量)"/>
      <sheetName val="工程施進度表"/>
      <sheetName val="Sheet1"/>
      <sheetName val="Sheet3"/>
      <sheetName val="Sheet2"/>
      <sheetName val="單價分析表(1-1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  <sheetName val="數量計算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  <sheetName val="工程預算書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總表"/>
      <sheetName val="預算明細"/>
      <sheetName val="主體工程估價單"/>
      <sheetName val="工程數量計算"/>
      <sheetName val="路基數量一"/>
      <sheetName val="路基數量二"/>
      <sheetName val="便道路基數量一"/>
      <sheetName val="便道路基數量二"/>
      <sheetName val="單價分析"/>
      <sheetName val="主體包商單價分析"/>
      <sheetName val="補充說明"/>
      <sheetName val="發包補充說明"/>
      <sheetName val="內林局預算總表"/>
      <sheetName val="內林局預算明細"/>
      <sheetName val="內林局估價單"/>
      <sheetName val="內林局供應材料"/>
      <sheetName val="內林局單價分析"/>
      <sheetName val="內林局包商單價分析"/>
      <sheetName val="梅山局預算總表"/>
      <sheetName val="梅山局預算明細"/>
      <sheetName val="梅山局估價單"/>
      <sheetName val="梅山局供應材料"/>
      <sheetName val="梅山局供應材料 (1)"/>
      <sheetName val="內林局供應材料 (1)"/>
      <sheetName val="梅山局單價分析"/>
      <sheetName val="梅山局包商單價分析"/>
      <sheetName val="自來水包商單價分析"/>
      <sheetName val="自來水預算總表"/>
      <sheetName val="自來水預算明細"/>
      <sheetName val="自來水工程估價單"/>
      <sheetName val="自來水供應材料"/>
      <sheetName val="自來水供應材料 (1)"/>
      <sheetName val="自來水數量"/>
      <sheetName val="自來水單價分析"/>
      <sheetName val="單價分析表(1-11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丙"/>
      <sheetName val="乙"/>
      <sheetName val="乙 (土方)"/>
      <sheetName val="乙x(擋土)"/>
      <sheetName val="乙 (結總)"/>
      <sheetName val="乙 (結構)"/>
      <sheetName val="乙X (樁)"/>
      <sheetName val="乙x(他)"/>
      <sheetName val="乙 (排總)"/>
      <sheetName val="乙 (排水)"/>
      <sheetName val="X甲土方"/>
      <sheetName val="X甲擋土排"/>
      <sheetName val="甲樁OK"/>
      <sheetName val="甲樁 (2)"/>
      <sheetName val="X甲擋土U"/>
      <sheetName val="X甲U牆"/>
      <sheetName val="X臨擋土"/>
      <sheetName val="數量統計表"/>
      <sheetName val="單價分析表(1-1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X4">
            <v>444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監造日報表"/>
      <sheetName val="證明書"/>
      <sheetName val="紀錄 "/>
      <sheetName val="結明細表"/>
      <sheetName val="基本資料"/>
      <sheetName val="送審單"/>
      <sheetName val="封面 "/>
      <sheetName val="施工預算書"/>
      <sheetName val="預算書"/>
      <sheetName val="進度表"/>
      <sheetName val="單價分析表"/>
      <sheetName val="計算表 (2)"/>
      <sheetName val="土石方"/>
      <sheetName val="甲樁O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頭"/>
      <sheetName val="單價分析 (2)"/>
      <sheetName val="總表"/>
      <sheetName val="預算書"/>
      <sheetName val="數量計算1-1"/>
      <sheetName val="數量表1-2"/>
      <sheetName val="數量計算1-3"/>
      <sheetName val="單價分析"/>
      <sheetName val="基本單價計算"/>
      <sheetName val="計算表 (2)"/>
    </sheetNames>
    <sheetDataSet>
      <sheetData sheetId="0" refreshError="1">
        <row r="5">
          <cell r="P5" t="str">
            <v>工程名稱 : 塘興村無底潭道路改善工程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書"/>
      <sheetName val="單價分析表"/>
      <sheetName val="單價估價"/>
      <sheetName val="數量計算表"/>
      <sheetName val="結算明細表"/>
      <sheetName val="結算計算表"/>
      <sheetName val="工期進度表"/>
      <sheetName val="表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橋面版鋼筋"/>
      <sheetName val="Sheet2"/>
      <sheetName val="預算書10"/>
      <sheetName val="預算書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單價分析表(1-11)"/>
      <sheetName val="單價分析表"/>
      <sheetName val="橋面版鋼筋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審核意見"/>
      <sheetName val="封面 "/>
      <sheetName val="施工預算書"/>
      <sheetName val="進度表"/>
      <sheetName val="預算"/>
      <sheetName val="單價分析表 "/>
      <sheetName val="計算表"/>
      <sheetName val="預算(空白)"/>
      <sheetName val="單價(空白)"/>
      <sheetName val="圖目錄"/>
      <sheetName val="單價分析表(1-11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e"/>
      <sheetName val="總表"/>
      <sheetName val="封"/>
      <sheetName val="計劃"/>
      <sheetName val="預1"/>
      <sheetName val="預2"/>
      <sheetName val="預3"/>
      <sheetName val="單1"/>
      <sheetName val="基"/>
      <sheetName val="雜"/>
      <sheetName val="統1"/>
      <sheetName val="計1"/>
      <sheetName val="計2"/>
      <sheetName val="計3"/>
      <sheetName val="計4"/>
      <sheetName val="土1"/>
      <sheetName val="土2"/>
      <sheetName val="估1"/>
      <sheetName val="估2"/>
      <sheetName val="估3"/>
      <sheetName val="估單"/>
      <sheetName val="單價2"/>
    </sheetNames>
    <sheetDataSet>
      <sheetData sheetId="0" refreshError="1"/>
      <sheetData sheetId="1" refreshError="1">
        <row r="9">
          <cell r="CQ9" t="str">
            <v>編號:</v>
          </cell>
          <cell r="CR9" t="str">
            <v xml:space="preserve"> </v>
          </cell>
          <cell r="CS9" t="str">
            <v>工 程 項 目</v>
          </cell>
          <cell r="CU9" t="str">
            <v>挖土機(怪手)挖普通土</v>
          </cell>
          <cell r="CW9" t="str">
            <v>單    位</v>
          </cell>
          <cell r="CX9" t="str">
            <v>100m3</v>
          </cell>
        </row>
        <row r="10">
          <cell r="CQ10" t="str">
            <v>工   程   項   目</v>
          </cell>
          <cell r="CS10" t="str">
            <v>說 明</v>
          </cell>
          <cell r="CT10" t="str">
            <v>單 位</v>
          </cell>
          <cell r="CU10" t="str">
            <v>數  量</v>
          </cell>
          <cell r="CV10" t="str">
            <v>單   價</v>
          </cell>
          <cell r="CW10" t="str">
            <v>總    價</v>
          </cell>
          <cell r="CX10" t="str">
            <v>備    註</v>
          </cell>
        </row>
        <row r="11">
          <cell r="CQ11" t="str">
            <v>柴油</v>
          </cell>
          <cell r="CS11" t="str">
            <v xml:space="preserve"> </v>
          </cell>
          <cell r="CT11" t="str">
            <v>加侖</v>
          </cell>
          <cell r="CU11">
            <v>12.6</v>
          </cell>
          <cell r="CV11">
            <v>57</v>
          </cell>
          <cell r="CW11">
            <v>718.2</v>
          </cell>
          <cell r="CX11" t="str">
            <v>一加侖以四公升計算</v>
          </cell>
        </row>
        <row r="12">
          <cell r="CQ12" t="str">
            <v>潤滑油</v>
          </cell>
          <cell r="CT12" t="str">
            <v>加侖</v>
          </cell>
          <cell r="CU12">
            <v>1.2</v>
          </cell>
          <cell r="CV12">
            <v>220</v>
          </cell>
          <cell r="CW12">
            <v>264</v>
          </cell>
        </row>
        <row r="13">
          <cell r="CQ13" t="str">
            <v>特種技工</v>
          </cell>
          <cell r="CS13" t="str">
            <v xml:space="preserve"> </v>
          </cell>
          <cell r="CT13" t="str">
            <v>工</v>
          </cell>
          <cell r="CU13">
            <v>1.5</v>
          </cell>
          <cell r="CV13">
            <v>800</v>
          </cell>
          <cell r="CW13">
            <v>1200</v>
          </cell>
        </row>
        <row r="14">
          <cell r="CQ14" t="str">
            <v>半技工</v>
          </cell>
          <cell r="CT14" t="str">
            <v>工</v>
          </cell>
          <cell r="CU14">
            <v>1</v>
          </cell>
          <cell r="CV14">
            <v>560</v>
          </cell>
          <cell r="CW14">
            <v>560</v>
          </cell>
          <cell r="CX14" t="str">
            <v xml:space="preserve"> </v>
          </cell>
        </row>
        <row r="15">
          <cell r="CQ15" t="str">
            <v>普通工</v>
          </cell>
          <cell r="CS15" t="str">
            <v xml:space="preserve"> </v>
          </cell>
          <cell r="CT15" t="str">
            <v>工</v>
          </cell>
          <cell r="CU15">
            <v>2</v>
          </cell>
          <cell r="CV15">
            <v>530</v>
          </cell>
          <cell r="CW15">
            <v>1060</v>
          </cell>
          <cell r="CX15" t="str">
            <v>含人工整理</v>
          </cell>
        </row>
        <row r="16">
          <cell r="CQ16" t="str">
            <v>機械維護及折舊</v>
          </cell>
          <cell r="CT16" t="str">
            <v>式</v>
          </cell>
          <cell r="CU16">
            <v>1</v>
          </cell>
          <cell r="CV16" t="str">
            <v xml:space="preserve"> </v>
          </cell>
          <cell r="CW16">
            <v>797.8</v>
          </cell>
          <cell r="CX16" t="str">
            <v>約工資部份30%</v>
          </cell>
        </row>
        <row r="17">
          <cell r="CQ17" t="str">
            <v xml:space="preserve"> </v>
          </cell>
          <cell r="CR17" t="str">
            <v xml:space="preserve"> </v>
          </cell>
          <cell r="CT17" t="str">
            <v xml:space="preserve"> </v>
          </cell>
          <cell r="CU17" t="str">
            <v>小計</v>
          </cell>
          <cell r="CV17" t="str">
            <v xml:space="preserve"> </v>
          </cell>
          <cell r="CW17">
            <v>4600</v>
          </cell>
          <cell r="CX17" t="str">
            <v>/100</v>
          </cell>
        </row>
        <row r="18">
          <cell r="CQ18" t="str">
            <v xml:space="preserve"> </v>
          </cell>
          <cell r="CR18" t="str">
            <v xml:space="preserve"> </v>
          </cell>
          <cell r="CS18" t="str">
            <v xml:space="preserve"> </v>
          </cell>
          <cell r="CT18" t="str">
            <v xml:space="preserve"> </v>
          </cell>
          <cell r="CU18" t="str">
            <v xml:space="preserve"> </v>
          </cell>
          <cell r="CV18" t="str">
            <v xml:space="preserve"> </v>
          </cell>
          <cell r="CW18" t="str">
            <v xml:space="preserve"> </v>
          </cell>
          <cell r="CX18" t="str">
            <v xml:space="preserve"> </v>
          </cell>
        </row>
        <row r="20">
          <cell r="CV20" t="str">
            <v xml:space="preserve"> </v>
          </cell>
          <cell r="CW20" t="str">
            <v xml:space="preserve"> </v>
          </cell>
          <cell r="CX20" t="str">
            <v xml:space="preserve"> </v>
          </cell>
        </row>
        <row r="24">
          <cell r="CQ24" t="str">
            <v xml:space="preserve"> </v>
          </cell>
          <cell r="CS24" t="str">
            <v xml:space="preserve"> </v>
          </cell>
          <cell r="CT24" t="str">
            <v xml:space="preserve"> </v>
          </cell>
          <cell r="CU24" t="str">
            <v xml:space="preserve"> </v>
          </cell>
        </row>
        <row r="25">
          <cell r="CQ25" t="str">
            <v xml:space="preserve"> </v>
          </cell>
          <cell r="CR25" t="str">
            <v xml:space="preserve"> </v>
          </cell>
          <cell r="CS25" t="str">
            <v xml:space="preserve"> </v>
          </cell>
          <cell r="CT25" t="str">
            <v xml:space="preserve"> </v>
          </cell>
          <cell r="CU25" t="str">
            <v xml:space="preserve"> </v>
          </cell>
          <cell r="CV25" t="str">
            <v xml:space="preserve"> </v>
          </cell>
        </row>
        <row r="27">
          <cell r="CQ27" t="str">
            <v xml:space="preserve"> </v>
          </cell>
          <cell r="CR27" t="str">
            <v>每</v>
          </cell>
          <cell r="CS27" t="str">
            <v>m3</v>
          </cell>
          <cell r="CT27" t="str">
            <v>單 價 計</v>
          </cell>
          <cell r="CV27" t="str">
            <v xml:space="preserve"> </v>
          </cell>
          <cell r="CW27">
            <v>46</v>
          </cell>
          <cell r="CX27" t="str">
            <v xml:space="preserve"> </v>
          </cell>
        </row>
        <row r="30">
          <cell r="CQ30" t="str">
            <v>編號:</v>
          </cell>
          <cell r="CR30" t="str">
            <v xml:space="preserve"> </v>
          </cell>
          <cell r="CS30" t="str">
            <v>工 程 項 目</v>
          </cell>
          <cell r="CU30" t="str">
            <v>挖土機(怪手)挖卵.塊石土</v>
          </cell>
          <cell r="CW30" t="str">
            <v xml:space="preserve">  單    位</v>
          </cell>
          <cell r="CX30" t="str">
            <v>100m3</v>
          </cell>
        </row>
        <row r="31">
          <cell r="CQ31" t="str">
            <v xml:space="preserve"> 工   程   項   目</v>
          </cell>
          <cell r="CS31" t="str">
            <v xml:space="preserve"> 說 明</v>
          </cell>
          <cell r="CT31" t="str">
            <v xml:space="preserve"> 單 位</v>
          </cell>
          <cell r="CU31" t="str">
            <v xml:space="preserve"> 數  量</v>
          </cell>
          <cell r="CV31" t="str">
            <v xml:space="preserve">  單  價</v>
          </cell>
          <cell r="CW31" t="str">
            <v xml:space="preserve">  總    價 </v>
          </cell>
          <cell r="CX31" t="str">
            <v>備    註</v>
          </cell>
        </row>
        <row r="32">
          <cell r="CQ32" t="str">
            <v>柴油</v>
          </cell>
          <cell r="CS32" t="str">
            <v xml:space="preserve"> </v>
          </cell>
          <cell r="CT32" t="str">
            <v>加侖</v>
          </cell>
          <cell r="CU32">
            <v>20</v>
          </cell>
          <cell r="CV32">
            <v>57</v>
          </cell>
          <cell r="CW32">
            <v>1140</v>
          </cell>
          <cell r="CX32" t="str">
            <v>一加侖以四公升計算</v>
          </cell>
        </row>
        <row r="33">
          <cell r="CQ33" t="str">
            <v>潤滑油</v>
          </cell>
          <cell r="CT33" t="str">
            <v>加侖</v>
          </cell>
          <cell r="CU33">
            <v>1.8</v>
          </cell>
          <cell r="CV33">
            <v>220</v>
          </cell>
          <cell r="CW33">
            <v>396</v>
          </cell>
        </row>
        <row r="34">
          <cell r="CQ34" t="str">
            <v>特種技工</v>
          </cell>
          <cell r="CS34" t="str">
            <v xml:space="preserve"> </v>
          </cell>
          <cell r="CT34" t="str">
            <v>工</v>
          </cell>
          <cell r="CU34">
            <v>2.5</v>
          </cell>
          <cell r="CV34">
            <v>800</v>
          </cell>
          <cell r="CW34">
            <v>2000</v>
          </cell>
        </row>
        <row r="35">
          <cell r="CQ35" t="str">
            <v>半技工</v>
          </cell>
          <cell r="CT35" t="str">
            <v>工</v>
          </cell>
          <cell r="CU35">
            <v>2</v>
          </cell>
          <cell r="CV35">
            <v>560</v>
          </cell>
          <cell r="CW35">
            <v>1120</v>
          </cell>
          <cell r="CX35" t="str">
            <v xml:space="preserve"> </v>
          </cell>
        </row>
        <row r="36">
          <cell r="CQ36" t="str">
            <v>普通工</v>
          </cell>
          <cell r="CS36" t="str">
            <v xml:space="preserve"> </v>
          </cell>
          <cell r="CT36" t="str">
            <v>工</v>
          </cell>
          <cell r="CU36">
            <v>4</v>
          </cell>
          <cell r="CV36">
            <v>530</v>
          </cell>
          <cell r="CW36">
            <v>2120</v>
          </cell>
          <cell r="CX36" t="str">
            <v>含人工整理</v>
          </cell>
        </row>
        <row r="37">
          <cell r="CQ37" t="str">
            <v>機械維護及折舊</v>
          </cell>
          <cell r="CT37" t="str">
            <v>式</v>
          </cell>
          <cell r="CU37">
            <v>1</v>
          </cell>
          <cell r="CV37" t="str">
            <v xml:space="preserve"> </v>
          </cell>
          <cell r="CW37">
            <v>1524</v>
          </cell>
          <cell r="CX37" t="str">
            <v>約工資部份30%</v>
          </cell>
        </row>
        <row r="38">
          <cell r="CQ38" t="str">
            <v xml:space="preserve"> </v>
          </cell>
          <cell r="CR38" t="str">
            <v xml:space="preserve"> </v>
          </cell>
          <cell r="CT38" t="str">
            <v xml:space="preserve"> </v>
          </cell>
          <cell r="CU38" t="str">
            <v>小計</v>
          </cell>
          <cell r="CV38" t="str">
            <v xml:space="preserve"> </v>
          </cell>
          <cell r="CW38">
            <v>8300</v>
          </cell>
          <cell r="CX38" t="str">
            <v>/100</v>
          </cell>
        </row>
        <row r="39">
          <cell r="CQ39" t="str">
            <v xml:space="preserve"> </v>
          </cell>
          <cell r="CR39" t="str">
            <v xml:space="preserve"> </v>
          </cell>
          <cell r="CS39" t="str">
            <v xml:space="preserve"> </v>
          </cell>
          <cell r="CT39" t="str">
            <v xml:space="preserve"> </v>
          </cell>
          <cell r="CU39" t="str">
            <v xml:space="preserve"> </v>
          </cell>
          <cell r="CV39" t="str">
            <v xml:space="preserve"> </v>
          </cell>
          <cell r="CW39" t="str">
            <v xml:space="preserve"> </v>
          </cell>
          <cell r="CX39" t="str">
            <v xml:space="preserve"> </v>
          </cell>
        </row>
        <row r="41">
          <cell r="CV41" t="str">
            <v xml:space="preserve"> </v>
          </cell>
          <cell r="CW41" t="str">
            <v xml:space="preserve"> </v>
          </cell>
          <cell r="CX41" t="str">
            <v xml:space="preserve"> </v>
          </cell>
        </row>
        <row r="45">
          <cell r="CQ45" t="str">
            <v xml:space="preserve"> </v>
          </cell>
          <cell r="CS45" t="str">
            <v xml:space="preserve"> </v>
          </cell>
          <cell r="CT45" t="str">
            <v xml:space="preserve"> </v>
          </cell>
          <cell r="CU45" t="str">
            <v xml:space="preserve"> </v>
          </cell>
        </row>
        <row r="46">
          <cell r="CQ46" t="str">
            <v xml:space="preserve"> </v>
          </cell>
          <cell r="CR46" t="str">
            <v xml:space="preserve"> </v>
          </cell>
          <cell r="CS46" t="str">
            <v xml:space="preserve"> </v>
          </cell>
          <cell r="CT46" t="str">
            <v xml:space="preserve"> </v>
          </cell>
          <cell r="CU46" t="str">
            <v xml:space="preserve"> </v>
          </cell>
          <cell r="CV46" t="str">
            <v xml:space="preserve"> </v>
          </cell>
        </row>
        <row r="48">
          <cell r="CQ48" t="str">
            <v xml:space="preserve"> </v>
          </cell>
          <cell r="CR48" t="str">
            <v>每</v>
          </cell>
          <cell r="CS48" t="str">
            <v>m3</v>
          </cell>
          <cell r="CT48" t="str">
            <v>單 價 計</v>
          </cell>
          <cell r="CV48" t="str">
            <v xml:space="preserve"> </v>
          </cell>
          <cell r="CW48">
            <v>83</v>
          </cell>
          <cell r="CX48" t="str">
            <v xml:space="preserve"> </v>
          </cell>
        </row>
        <row r="51">
          <cell r="CQ51" t="str">
            <v>編號:</v>
          </cell>
          <cell r="CR51" t="str">
            <v xml:space="preserve"> </v>
          </cell>
          <cell r="CS51" t="str">
            <v>工 程 項 目</v>
          </cell>
          <cell r="CU51" t="str">
            <v>機械挖軟岩</v>
          </cell>
          <cell r="CW51" t="str">
            <v xml:space="preserve">  單    位</v>
          </cell>
          <cell r="CX51" t="str">
            <v>100m3</v>
          </cell>
        </row>
        <row r="52">
          <cell r="CQ52" t="str">
            <v xml:space="preserve"> 工   程   項   目</v>
          </cell>
          <cell r="CS52" t="str">
            <v xml:space="preserve"> 說 明</v>
          </cell>
          <cell r="CT52" t="str">
            <v xml:space="preserve"> 單 位</v>
          </cell>
          <cell r="CU52" t="str">
            <v xml:space="preserve"> 數  量</v>
          </cell>
          <cell r="CV52" t="str">
            <v xml:space="preserve">  單  價</v>
          </cell>
          <cell r="CW52" t="str">
            <v xml:space="preserve">  總    價 </v>
          </cell>
          <cell r="CX52" t="str">
            <v>備    註</v>
          </cell>
        </row>
        <row r="53">
          <cell r="CQ53" t="str">
            <v>柴油</v>
          </cell>
          <cell r="CS53" t="str">
            <v xml:space="preserve"> </v>
          </cell>
          <cell r="CT53" t="str">
            <v>加侖</v>
          </cell>
          <cell r="CU53">
            <v>50</v>
          </cell>
          <cell r="CV53">
            <v>57</v>
          </cell>
          <cell r="CW53">
            <v>2850</v>
          </cell>
          <cell r="CX53" t="str">
            <v>一加侖以四公升計算</v>
          </cell>
        </row>
        <row r="54">
          <cell r="CQ54" t="str">
            <v>潤滑油</v>
          </cell>
          <cell r="CT54" t="str">
            <v>加侖</v>
          </cell>
          <cell r="CU54">
            <v>6</v>
          </cell>
          <cell r="CV54">
            <v>220</v>
          </cell>
          <cell r="CW54">
            <v>1320</v>
          </cell>
        </row>
        <row r="55">
          <cell r="CQ55" t="str">
            <v>特種技工</v>
          </cell>
          <cell r="CS55" t="str">
            <v xml:space="preserve"> </v>
          </cell>
          <cell r="CT55" t="str">
            <v>工</v>
          </cell>
          <cell r="CU55">
            <v>6</v>
          </cell>
          <cell r="CV55">
            <v>800</v>
          </cell>
          <cell r="CW55">
            <v>4800</v>
          </cell>
        </row>
        <row r="56">
          <cell r="CQ56" t="str">
            <v>半技工</v>
          </cell>
          <cell r="CT56" t="str">
            <v>工</v>
          </cell>
          <cell r="CU56">
            <v>4</v>
          </cell>
          <cell r="CV56">
            <v>560</v>
          </cell>
          <cell r="CW56">
            <v>2240</v>
          </cell>
          <cell r="CX56" t="str">
            <v xml:space="preserve"> </v>
          </cell>
        </row>
        <row r="57">
          <cell r="CQ57" t="str">
            <v>普通工</v>
          </cell>
          <cell r="CS57" t="str">
            <v xml:space="preserve"> </v>
          </cell>
          <cell r="CT57" t="str">
            <v>工</v>
          </cell>
          <cell r="CU57">
            <v>10</v>
          </cell>
          <cell r="CV57">
            <v>530</v>
          </cell>
          <cell r="CW57">
            <v>5300</v>
          </cell>
          <cell r="CX57" t="str">
            <v>含人工整理</v>
          </cell>
        </row>
        <row r="58">
          <cell r="CQ58" t="str">
            <v>機械維護及折舊</v>
          </cell>
          <cell r="CT58" t="str">
            <v>式</v>
          </cell>
          <cell r="CU58">
            <v>1</v>
          </cell>
          <cell r="CV58" t="str">
            <v xml:space="preserve"> </v>
          </cell>
          <cell r="CW58">
            <v>3690</v>
          </cell>
          <cell r="CX58" t="str">
            <v>約油類30%</v>
          </cell>
        </row>
        <row r="59">
          <cell r="CQ59" t="str">
            <v xml:space="preserve"> </v>
          </cell>
          <cell r="CR59" t="str">
            <v xml:space="preserve"> </v>
          </cell>
          <cell r="CT59" t="str">
            <v xml:space="preserve"> </v>
          </cell>
          <cell r="CU59" t="str">
            <v>小計</v>
          </cell>
          <cell r="CV59" t="str">
            <v xml:space="preserve"> </v>
          </cell>
          <cell r="CW59">
            <v>20200</v>
          </cell>
          <cell r="CX59" t="str">
            <v>/100</v>
          </cell>
        </row>
        <row r="60">
          <cell r="CQ60" t="str">
            <v xml:space="preserve"> </v>
          </cell>
          <cell r="CR60" t="str">
            <v xml:space="preserve"> </v>
          </cell>
          <cell r="CS60" t="str">
            <v xml:space="preserve"> </v>
          </cell>
          <cell r="CT60" t="str">
            <v xml:space="preserve"> </v>
          </cell>
          <cell r="CU60" t="str">
            <v xml:space="preserve"> </v>
          </cell>
          <cell r="CV60" t="str">
            <v xml:space="preserve"> </v>
          </cell>
          <cell r="CW60" t="str">
            <v xml:space="preserve"> </v>
          </cell>
          <cell r="CX60" t="str">
            <v xml:space="preserve"> </v>
          </cell>
        </row>
        <row r="62">
          <cell r="CV62" t="str">
            <v xml:space="preserve"> </v>
          </cell>
          <cell r="CW62" t="str">
            <v xml:space="preserve"> </v>
          </cell>
          <cell r="CX62" t="str">
            <v xml:space="preserve"> </v>
          </cell>
        </row>
        <row r="66">
          <cell r="CQ66" t="str">
            <v xml:space="preserve"> </v>
          </cell>
          <cell r="CS66" t="str">
            <v xml:space="preserve"> </v>
          </cell>
          <cell r="CT66" t="str">
            <v xml:space="preserve"> </v>
          </cell>
          <cell r="CU66" t="str">
            <v xml:space="preserve"> </v>
          </cell>
        </row>
        <row r="67">
          <cell r="CQ67" t="str">
            <v xml:space="preserve"> </v>
          </cell>
          <cell r="CR67" t="str">
            <v xml:space="preserve"> </v>
          </cell>
          <cell r="CS67" t="str">
            <v xml:space="preserve"> </v>
          </cell>
          <cell r="CT67" t="str">
            <v xml:space="preserve"> </v>
          </cell>
          <cell r="CU67" t="str">
            <v xml:space="preserve"> </v>
          </cell>
          <cell r="CV67" t="str">
            <v xml:space="preserve"> </v>
          </cell>
        </row>
        <row r="69">
          <cell r="CQ69" t="str">
            <v xml:space="preserve"> </v>
          </cell>
          <cell r="CR69" t="str">
            <v>每</v>
          </cell>
          <cell r="CS69" t="str">
            <v>m3</v>
          </cell>
          <cell r="CT69" t="str">
            <v>單 價 計</v>
          </cell>
          <cell r="CV69" t="str">
            <v xml:space="preserve"> </v>
          </cell>
          <cell r="CW69">
            <v>202</v>
          </cell>
          <cell r="CX69" t="str">
            <v xml:space="preserve"> </v>
          </cell>
        </row>
        <row r="72">
          <cell r="CQ72" t="str">
            <v>編號:</v>
          </cell>
          <cell r="CR72" t="str">
            <v xml:space="preserve"> </v>
          </cell>
          <cell r="CS72" t="str">
            <v>工 程 項 目</v>
          </cell>
          <cell r="CU72" t="str">
            <v>人工挖普通土</v>
          </cell>
          <cell r="CW72" t="str">
            <v>單    位</v>
          </cell>
          <cell r="CX72" t="str">
            <v>m3</v>
          </cell>
        </row>
        <row r="73">
          <cell r="CQ73" t="str">
            <v>工   程   項   目</v>
          </cell>
          <cell r="CS73" t="str">
            <v>說 明</v>
          </cell>
          <cell r="CT73" t="str">
            <v>單 位</v>
          </cell>
          <cell r="CU73" t="str">
            <v>數  量</v>
          </cell>
          <cell r="CV73" t="str">
            <v>單   價</v>
          </cell>
          <cell r="CW73" t="str">
            <v>總    價</v>
          </cell>
          <cell r="CX73" t="str">
            <v>備    註</v>
          </cell>
        </row>
        <row r="74">
          <cell r="CQ74" t="str">
            <v>普通工</v>
          </cell>
          <cell r="CS74" t="str">
            <v xml:space="preserve"> </v>
          </cell>
          <cell r="CT74" t="str">
            <v>工</v>
          </cell>
          <cell r="CU74">
            <v>0.3</v>
          </cell>
          <cell r="CV74">
            <v>530</v>
          </cell>
          <cell r="CW74">
            <v>159</v>
          </cell>
          <cell r="CX74" t="str">
            <v xml:space="preserve"> </v>
          </cell>
        </row>
        <row r="76">
          <cell r="CQ76" t="str">
            <v>工具搬運及損耗</v>
          </cell>
          <cell r="CS76" t="str">
            <v xml:space="preserve"> </v>
          </cell>
          <cell r="CT76" t="str">
            <v>式</v>
          </cell>
          <cell r="CU76">
            <v>1</v>
          </cell>
          <cell r="CV76" t="str">
            <v xml:space="preserve"> </v>
          </cell>
          <cell r="CW76">
            <v>3</v>
          </cell>
          <cell r="CX76" t="str">
            <v>約工資部份2%</v>
          </cell>
        </row>
        <row r="78">
          <cell r="CQ78" t="str">
            <v xml:space="preserve"> </v>
          </cell>
          <cell r="CR78" t="str">
            <v xml:space="preserve"> </v>
          </cell>
          <cell r="CT78" t="str">
            <v xml:space="preserve"> </v>
          </cell>
          <cell r="CU78" t="str">
            <v>小計</v>
          </cell>
          <cell r="CV78" t="str">
            <v xml:space="preserve"> </v>
          </cell>
          <cell r="CW78">
            <v>162</v>
          </cell>
          <cell r="CX78" t="str">
            <v xml:space="preserve"> </v>
          </cell>
        </row>
        <row r="79">
          <cell r="CQ79" t="str">
            <v xml:space="preserve"> </v>
          </cell>
          <cell r="CR79" t="str">
            <v xml:space="preserve"> </v>
          </cell>
          <cell r="CS79" t="str">
            <v xml:space="preserve"> </v>
          </cell>
          <cell r="CT79" t="str">
            <v xml:space="preserve"> </v>
          </cell>
          <cell r="CU79" t="str">
            <v xml:space="preserve"> </v>
          </cell>
          <cell r="CV79" t="str">
            <v xml:space="preserve"> </v>
          </cell>
          <cell r="CW79" t="str">
            <v xml:space="preserve"> </v>
          </cell>
          <cell r="CX79" t="str">
            <v xml:space="preserve"> </v>
          </cell>
        </row>
        <row r="81">
          <cell r="CV81" t="str">
            <v xml:space="preserve"> </v>
          </cell>
          <cell r="CW81" t="str">
            <v xml:space="preserve"> </v>
          </cell>
          <cell r="CX81" t="str">
            <v xml:space="preserve"> </v>
          </cell>
        </row>
        <row r="87">
          <cell r="CQ87" t="str">
            <v xml:space="preserve"> </v>
          </cell>
          <cell r="CS87" t="str">
            <v xml:space="preserve"> </v>
          </cell>
          <cell r="CT87" t="str">
            <v xml:space="preserve"> </v>
          </cell>
          <cell r="CU87" t="str">
            <v xml:space="preserve"> </v>
          </cell>
        </row>
        <row r="88">
          <cell r="CQ88" t="str">
            <v xml:space="preserve"> </v>
          </cell>
          <cell r="CR88" t="str">
            <v xml:space="preserve"> </v>
          </cell>
          <cell r="CS88" t="str">
            <v xml:space="preserve"> </v>
          </cell>
          <cell r="CT88" t="str">
            <v xml:space="preserve"> </v>
          </cell>
          <cell r="CU88" t="str">
            <v xml:space="preserve"> </v>
          </cell>
          <cell r="CV88" t="str">
            <v xml:space="preserve"> </v>
          </cell>
        </row>
        <row r="90">
          <cell r="CQ90" t="str">
            <v xml:space="preserve"> </v>
          </cell>
          <cell r="CR90" t="str">
            <v>每</v>
          </cell>
          <cell r="CS90" t="str">
            <v>m3</v>
          </cell>
          <cell r="CT90" t="str">
            <v>單 價 計</v>
          </cell>
          <cell r="CV90" t="str">
            <v xml:space="preserve"> </v>
          </cell>
          <cell r="CW90">
            <v>162</v>
          </cell>
          <cell r="CX90" t="str">
            <v xml:space="preserve"> </v>
          </cell>
        </row>
        <row r="93">
          <cell r="CQ93" t="str">
            <v>編號:</v>
          </cell>
          <cell r="CR93" t="str">
            <v xml:space="preserve"> </v>
          </cell>
          <cell r="CS93" t="str">
            <v>工 程 項 目</v>
          </cell>
          <cell r="CU93" t="str">
            <v>人工挖軟岩</v>
          </cell>
          <cell r="CW93" t="str">
            <v>單    位</v>
          </cell>
          <cell r="CX93" t="str">
            <v>m3</v>
          </cell>
        </row>
        <row r="94">
          <cell r="CQ94" t="str">
            <v>工   程   項   目</v>
          </cell>
          <cell r="CS94" t="str">
            <v>說 明</v>
          </cell>
          <cell r="CT94" t="str">
            <v>單 位</v>
          </cell>
          <cell r="CU94" t="str">
            <v>數  量</v>
          </cell>
          <cell r="CV94" t="str">
            <v>單   價</v>
          </cell>
          <cell r="CW94" t="str">
            <v>總    價</v>
          </cell>
          <cell r="CX94" t="str">
            <v>備    註</v>
          </cell>
        </row>
        <row r="95">
          <cell r="CQ95" t="str">
            <v>普通工</v>
          </cell>
          <cell r="CS95" t="str">
            <v xml:space="preserve"> </v>
          </cell>
          <cell r="CT95" t="str">
            <v>工</v>
          </cell>
          <cell r="CU95">
            <v>0.85</v>
          </cell>
          <cell r="CV95">
            <v>530</v>
          </cell>
          <cell r="CW95">
            <v>450.5</v>
          </cell>
          <cell r="CX95" t="str">
            <v xml:space="preserve"> </v>
          </cell>
        </row>
        <row r="97">
          <cell r="CQ97" t="str">
            <v>工具搬運及損耗</v>
          </cell>
          <cell r="CS97" t="str">
            <v xml:space="preserve"> </v>
          </cell>
          <cell r="CT97" t="str">
            <v>式</v>
          </cell>
          <cell r="CU97">
            <v>1</v>
          </cell>
          <cell r="CV97" t="str">
            <v xml:space="preserve"> </v>
          </cell>
          <cell r="CW97">
            <v>8.5</v>
          </cell>
          <cell r="CX97" t="str">
            <v>約工資部份2%</v>
          </cell>
        </row>
        <row r="99">
          <cell r="CQ99" t="str">
            <v xml:space="preserve"> </v>
          </cell>
          <cell r="CR99" t="str">
            <v xml:space="preserve"> </v>
          </cell>
          <cell r="CT99" t="str">
            <v xml:space="preserve"> </v>
          </cell>
          <cell r="CU99" t="str">
            <v>小計</v>
          </cell>
          <cell r="CV99" t="str">
            <v xml:space="preserve"> </v>
          </cell>
          <cell r="CW99">
            <v>459</v>
          </cell>
          <cell r="CX99" t="str">
            <v xml:space="preserve"> </v>
          </cell>
        </row>
        <row r="100">
          <cell r="CQ100" t="str">
            <v xml:space="preserve"> </v>
          </cell>
          <cell r="CR100" t="str">
            <v xml:space="preserve"> </v>
          </cell>
          <cell r="CS100" t="str">
            <v xml:space="preserve"> </v>
          </cell>
          <cell r="CT100" t="str">
            <v xml:space="preserve"> </v>
          </cell>
          <cell r="CU100" t="str">
            <v xml:space="preserve"> </v>
          </cell>
          <cell r="CV100" t="str">
            <v xml:space="preserve"> </v>
          </cell>
          <cell r="CW100" t="str">
            <v xml:space="preserve"> </v>
          </cell>
          <cell r="CX100" t="str">
            <v xml:space="preserve"> </v>
          </cell>
        </row>
        <row r="102">
          <cell r="CV102" t="str">
            <v xml:space="preserve"> </v>
          </cell>
          <cell r="CW102" t="str">
            <v xml:space="preserve"> </v>
          </cell>
          <cell r="CX102" t="str">
            <v xml:space="preserve"> </v>
          </cell>
        </row>
        <row r="108">
          <cell r="CQ108" t="str">
            <v xml:space="preserve"> </v>
          </cell>
          <cell r="CS108" t="str">
            <v xml:space="preserve"> </v>
          </cell>
          <cell r="CT108" t="str">
            <v xml:space="preserve"> </v>
          </cell>
          <cell r="CU108" t="str">
            <v xml:space="preserve"> </v>
          </cell>
        </row>
        <row r="109">
          <cell r="CQ109" t="str">
            <v xml:space="preserve"> </v>
          </cell>
          <cell r="CR109" t="str">
            <v xml:space="preserve"> </v>
          </cell>
          <cell r="CS109" t="str">
            <v xml:space="preserve"> </v>
          </cell>
          <cell r="CT109" t="str">
            <v xml:space="preserve"> </v>
          </cell>
          <cell r="CU109" t="str">
            <v xml:space="preserve"> </v>
          </cell>
          <cell r="CV109" t="str">
            <v xml:space="preserve"> </v>
          </cell>
        </row>
        <row r="111">
          <cell r="CQ111" t="str">
            <v xml:space="preserve"> </v>
          </cell>
          <cell r="CR111" t="str">
            <v>每</v>
          </cell>
          <cell r="CS111" t="str">
            <v>m3</v>
          </cell>
          <cell r="CT111" t="str">
            <v>單 價 計</v>
          </cell>
          <cell r="CV111" t="str">
            <v xml:space="preserve"> </v>
          </cell>
          <cell r="CW111">
            <v>459</v>
          </cell>
          <cell r="CX111" t="str">
            <v xml:space="preserve"> </v>
          </cell>
        </row>
        <row r="114">
          <cell r="CQ114" t="str">
            <v>編號:</v>
          </cell>
          <cell r="CR114" t="str">
            <v xml:space="preserve"> </v>
          </cell>
          <cell r="CS114" t="str">
            <v>工 程 項 目</v>
          </cell>
          <cell r="CU114" t="str">
            <v>回填土(機械)</v>
          </cell>
          <cell r="CW114" t="str">
            <v>單    位</v>
          </cell>
          <cell r="CX114" t="str">
            <v>m3</v>
          </cell>
        </row>
        <row r="115">
          <cell r="CQ115" t="str">
            <v>工   程   項   目</v>
          </cell>
          <cell r="CS115" t="str">
            <v>說 明</v>
          </cell>
          <cell r="CT115" t="str">
            <v>單 位</v>
          </cell>
          <cell r="CU115" t="str">
            <v>數  量</v>
          </cell>
          <cell r="CV115" t="str">
            <v>單   價</v>
          </cell>
          <cell r="CW115" t="str">
            <v>總    價</v>
          </cell>
          <cell r="CX115" t="str">
            <v>備    註</v>
          </cell>
        </row>
        <row r="116">
          <cell r="CQ116" t="str">
            <v>機具費</v>
          </cell>
          <cell r="CS116" t="str">
            <v xml:space="preserve"> </v>
          </cell>
          <cell r="CT116" t="str">
            <v>時</v>
          </cell>
          <cell r="CU116">
            <v>2.5000000000000001E-2</v>
          </cell>
          <cell r="CV116">
            <v>620</v>
          </cell>
          <cell r="CW116">
            <v>15.5</v>
          </cell>
          <cell r="CX116" t="str">
            <v>含填土.整平</v>
          </cell>
        </row>
        <row r="118">
          <cell r="CQ118" t="str">
            <v>工具搬運及損耗</v>
          </cell>
          <cell r="CS118" t="str">
            <v xml:space="preserve"> </v>
          </cell>
          <cell r="CT118" t="str">
            <v>式</v>
          </cell>
          <cell r="CU118">
            <v>1</v>
          </cell>
          <cell r="CV118" t="str">
            <v xml:space="preserve"> </v>
          </cell>
          <cell r="CW118">
            <v>0.5</v>
          </cell>
          <cell r="CX118" t="str">
            <v>約機具費部份3%</v>
          </cell>
        </row>
        <row r="120">
          <cell r="CU120" t="str">
            <v>小計</v>
          </cell>
          <cell r="CV120" t="str">
            <v xml:space="preserve"> </v>
          </cell>
          <cell r="CW120">
            <v>16</v>
          </cell>
        </row>
        <row r="128">
          <cell r="CV128" t="str">
            <v xml:space="preserve"> </v>
          </cell>
          <cell r="CW128" t="str">
            <v xml:space="preserve"> </v>
          </cell>
          <cell r="CX128" t="str">
            <v xml:space="preserve"> </v>
          </cell>
        </row>
        <row r="129">
          <cell r="CQ129" t="str">
            <v xml:space="preserve"> </v>
          </cell>
          <cell r="CS129" t="str">
            <v xml:space="preserve"> </v>
          </cell>
          <cell r="CT129" t="str">
            <v xml:space="preserve"> </v>
          </cell>
          <cell r="CU129" t="str">
            <v xml:space="preserve"> </v>
          </cell>
        </row>
        <row r="130">
          <cell r="CQ130" t="str">
            <v xml:space="preserve"> </v>
          </cell>
          <cell r="CR130" t="str">
            <v xml:space="preserve"> </v>
          </cell>
          <cell r="CS130" t="str">
            <v xml:space="preserve"> </v>
          </cell>
          <cell r="CT130" t="str">
            <v xml:space="preserve"> </v>
          </cell>
          <cell r="CU130" t="str">
            <v xml:space="preserve"> </v>
          </cell>
          <cell r="CV130" t="str">
            <v xml:space="preserve"> </v>
          </cell>
        </row>
        <row r="132">
          <cell r="CQ132" t="str">
            <v xml:space="preserve"> </v>
          </cell>
          <cell r="CR132" t="str">
            <v>每</v>
          </cell>
          <cell r="CS132" t="str">
            <v>m3</v>
          </cell>
          <cell r="CT132" t="str">
            <v>單 價 計</v>
          </cell>
          <cell r="CV132" t="str">
            <v xml:space="preserve"> </v>
          </cell>
          <cell r="CW132">
            <v>16</v>
          </cell>
          <cell r="CX132" t="str">
            <v xml:space="preserve"> </v>
          </cell>
        </row>
        <row r="135">
          <cell r="CQ135" t="str">
            <v>編號:</v>
          </cell>
          <cell r="CR135" t="str">
            <v xml:space="preserve"> </v>
          </cell>
          <cell r="CS135" t="str">
            <v>工 程 項 目</v>
          </cell>
          <cell r="CU135" t="str">
            <v>回填土(人工)</v>
          </cell>
          <cell r="CW135" t="str">
            <v>單    位</v>
          </cell>
          <cell r="CX135" t="str">
            <v>m3</v>
          </cell>
        </row>
        <row r="136">
          <cell r="CQ136" t="str">
            <v>工   程   項   目</v>
          </cell>
          <cell r="CS136" t="str">
            <v>說 明</v>
          </cell>
          <cell r="CT136" t="str">
            <v>單 位</v>
          </cell>
          <cell r="CU136" t="str">
            <v>數  量</v>
          </cell>
          <cell r="CV136" t="str">
            <v>單   價</v>
          </cell>
          <cell r="CW136" t="str">
            <v>總    價</v>
          </cell>
          <cell r="CX136" t="str">
            <v>備    註</v>
          </cell>
        </row>
        <row r="137">
          <cell r="CQ137" t="str">
            <v>普通工</v>
          </cell>
          <cell r="CS137" t="str">
            <v xml:space="preserve"> </v>
          </cell>
          <cell r="CT137" t="str">
            <v>工</v>
          </cell>
          <cell r="CU137">
            <v>0.06</v>
          </cell>
          <cell r="CV137">
            <v>530</v>
          </cell>
          <cell r="CW137">
            <v>31.8</v>
          </cell>
          <cell r="CX137" t="str">
            <v>含填土.整平</v>
          </cell>
        </row>
        <row r="139">
          <cell r="CQ139" t="str">
            <v>工具搬運及損耗</v>
          </cell>
          <cell r="CS139" t="str">
            <v xml:space="preserve"> </v>
          </cell>
          <cell r="CT139" t="str">
            <v>式</v>
          </cell>
          <cell r="CU139">
            <v>1</v>
          </cell>
          <cell r="CV139" t="str">
            <v xml:space="preserve"> </v>
          </cell>
          <cell r="CW139">
            <v>1.2</v>
          </cell>
          <cell r="CX139" t="str">
            <v>約工資部份3%</v>
          </cell>
        </row>
        <row r="141">
          <cell r="CU141" t="str">
            <v>小計</v>
          </cell>
          <cell r="CV141" t="str">
            <v xml:space="preserve"> </v>
          </cell>
          <cell r="CW141">
            <v>33</v>
          </cell>
        </row>
        <row r="149">
          <cell r="CV149" t="str">
            <v xml:space="preserve"> </v>
          </cell>
          <cell r="CW149" t="str">
            <v xml:space="preserve"> </v>
          </cell>
          <cell r="CX149" t="str">
            <v xml:space="preserve"> </v>
          </cell>
        </row>
        <row r="150">
          <cell r="CQ150" t="str">
            <v xml:space="preserve"> </v>
          </cell>
          <cell r="CS150" t="str">
            <v xml:space="preserve"> </v>
          </cell>
          <cell r="CT150" t="str">
            <v xml:space="preserve"> </v>
          </cell>
          <cell r="CU150" t="str">
            <v xml:space="preserve"> </v>
          </cell>
        </row>
        <row r="151">
          <cell r="CQ151" t="str">
            <v xml:space="preserve"> </v>
          </cell>
          <cell r="CR151" t="str">
            <v xml:space="preserve"> </v>
          </cell>
          <cell r="CS151" t="str">
            <v xml:space="preserve"> </v>
          </cell>
          <cell r="CT151" t="str">
            <v xml:space="preserve"> </v>
          </cell>
          <cell r="CU151" t="str">
            <v xml:space="preserve"> </v>
          </cell>
          <cell r="CV151" t="str">
            <v xml:space="preserve"> </v>
          </cell>
        </row>
        <row r="153">
          <cell r="CQ153" t="str">
            <v xml:space="preserve"> </v>
          </cell>
          <cell r="CR153" t="str">
            <v>每</v>
          </cell>
          <cell r="CS153" t="str">
            <v>m3</v>
          </cell>
          <cell r="CT153" t="str">
            <v>單 價 計</v>
          </cell>
          <cell r="CV153" t="str">
            <v xml:space="preserve"> </v>
          </cell>
          <cell r="CW153">
            <v>33</v>
          </cell>
          <cell r="CX153" t="str">
            <v xml:space="preserve"> </v>
          </cell>
        </row>
        <row r="156">
          <cell r="CQ156" t="str">
            <v>號數:</v>
          </cell>
          <cell r="CR156" t="str">
            <v xml:space="preserve"> </v>
          </cell>
          <cell r="CS156" t="str">
            <v>工 程 項 目</v>
          </cell>
          <cell r="CU156" t="str">
            <v>機械打除混凝土</v>
          </cell>
          <cell r="CW156" t="str">
            <v>單    位</v>
          </cell>
          <cell r="CX156" t="str">
            <v>m3</v>
          </cell>
        </row>
        <row r="157">
          <cell r="CQ157" t="str">
            <v>工   程   項   目</v>
          </cell>
          <cell r="CS157" t="str">
            <v>說 明</v>
          </cell>
          <cell r="CT157" t="str">
            <v>單 位</v>
          </cell>
          <cell r="CU157" t="str">
            <v>數  量</v>
          </cell>
          <cell r="CV157" t="str">
            <v>單   價</v>
          </cell>
          <cell r="CW157" t="str">
            <v>總    價</v>
          </cell>
          <cell r="CX157" t="str">
            <v>備    註</v>
          </cell>
        </row>
        <row r="158">
          <cell r="CQ158" t="str">
            <v>破碎機</v>
          </cell>
          <cell r="CS158" t="str">
            <v xml:space="preserve"> </v>
          </cell>
          <cell r="CT158" t="str">
            <v>小時</v>
          </cell>
          <cell r="CU158">
            <v>0.3</v>
          </cell>
          <cell r="CV158">
            <v>1100</v>
          </cell>
          <cell r="CW158">
            <v>330</v>
          </cell>
        </row>
        <row r="160">
          <cell r="CQ160" t="str">
            <v>0.7m3型挖土機</v>
          </cell>
          <cell r="CS160" t="str">
            <v xml:space="preserve"> </v>
          </cell>
          <cell r="CT160" t="str">
            <v>小時</v>
          </cell>
          <cell r="CU160">
            <v>0.02</v>
          </cell>
          <cell r="CV160">
            <v>750</v>
          </cell>
          <cell r="CW160">
            <v>15</v>
          </cell>
        </row>
        <row r="162">
          <cell r="CU162" t="str">
            <v>小計</v>
          </cell>
          <cell r="CV162" t="str">
            <v xml:space="preserve"> </v>
          </cell>
          <cell r="CW162">
            <v>345</v>
          </cell>
          <cell r="CX162" t="str">
            <v xml:space="preserve"> </v>
          </cell>
        </row>
        <row r="167">
          <cell r="CQ167" t="str">
            <v xml:space="preserve"> </v>
          </cell>
          <cell r="CS167" t="str">
            <v xml:space="preserve"> </v>
          </cell>
          <cell r="CT167" t="str">
            <v xml:space="preserve"> </v>
          </cell>
          <cell r="CU167" t="str">
            <v xml:space="preserve"> </v>
          </cell>
        </row>
        <row r="169">
          <cell r="CQ169" t="str">
            <v xml:space="preserve"> </v>
          </cell>
          <cell r="CR169" t="str">
            <v xml:space="preserve"> </v>
          </cell>
          <cell r="CS169" t="str">
            <v xml:space="preserve"> </v>
          </cell>
          <cell r="CT169" t="str">
            <v xml:space="preserve"> </v>
          </cell>
          <cell r="CU169" t="str">
            <v xml:space="preserve"> </v>
          </cell>
          <cell r="CV169" t="str">
            <v xml:space="preserve"> </v>
          </cell>
          <cell r="CW169" t="str">
            <v xml:space="preserve"> </v>
          </cell>
          <cell r="CX169" t="str">
            <v xml:space="preserve"> </v>
          </cell>
        </row>
        <row r="171">
          <cell r="CQ171" t="str">
            <v xml:space="preserve"> </v>
          </cell>
          <cell r="CR171" t="str">
            <v xml:space="preserve"> </v>
          </cell>
          <cell r="CS171" t="str">
            <v xml:space="preserve"> </v>
          </cell>
          <cell r="CT171" t="str">
            <v xml:space="preserve"> </v>
          </cell>
          <cell r="CU171" t="str">
            <v xml:space="preserve"> </v>
          </cell>
          <cell r="CV171" t="str">
            <v xml:space="preserve"> </v>
          </cell>
        </row>
        <row r="172">
          <cell r="CQ172" t="str">
            <v xml:space="preserve"> </v>
          </cell>
          <cell r="CS172" t="str">
            <v xml:space="preserve"> </v>
          </cell>
          <cell r="CT172" t="str">
            <v xml:space="preserve"> </v>
          </cell>
          <cell r="CU172" t="str">
            <v xml:space="preserve"> </v>
          </cell>
        </row>
        <row r="174">
          <cell r="CQ174" t="str">
            <v xml:space="preserve"> </v>
          </cell>
          <cell r="CR174" t="str">
            <v>每</v>
          </cell>
          <cell r="CS174" t="str">
            <v>m3</v>
          </cell>
          <cell r="CT174" t="str">
            <v>單 價 計</v>
          </cell>
          <cell r="CV174" t="str">
            <v xml:space="preserve"> </v>
          </cell>
          <cell r="CW174">
            <v>345</v>
          </cell>
        </row>
        <row r="177">
          <cell r="CQ177" t="str">
            <v>編號:</v>
          </cell>
          <cell r="CR177" t="str">
            <v xml:space="preserve"> </v>
          </cell>
          <cell r="CS177" t="str">
            <v>工 程 項 目</v>
          </cell>
          <cell r="CU177" t="str">
            <v>整地</v>
          </cell>
          <cell r="CW177" t="str">
            <v>單    位</v>
          </cell>
          <cell r="CX177" t="str">
            <v>m2</v>
          </cell>
        </row>
        <row r="178">
          <cell r="CQ178" t="str">
            <v>工   程   項   目</v>
          </cell>
          <cell r="CS178" t="str">
            <v>說 明</v>
          </cell>
          <cell r="CT178" t="str">
            <v>單 位</v>
          </cell>
          <cell r="CU178" t="str">
            <v>數  量</v>
          </cell>
          <cell r="CV178" t="str">
            <v>單    價</v>
          </cell>
          <cell r="CW178" t="str">
            <v>總    價</v>
          </cell>
          <cell r="CX178" t="str">
            <v>備    註</v>
          </cell>
        </row>
        <row r="179">
          <cell r="CQ179" t="str">
            <v>普通工</v>
          </cell>
          <cell r="CS179" t="str">
            <v xml:space="preserve"> </v>
          </cell>
          <cell r="CT179" t="str">
            <v>工</v>
          </cell>
          <cell r="CU179">
            <v>0.02</v>
          </cell>
          <cell r="CV179">
            <v>530</v>
          </cell>
          <cell r="CW179">
            <v>10.6</v>
          </cell>
        </row>
        <row r="181">
          <cell r="CQ181" t="str">
            <v>工具搬運及損耗</v>
          </cell>
          <cell r="CS181" t="str">
            <v xml:space="preserve"> </v>
          </cell>
          <cell r="CT181" t="str">
            <v>式</v>
          </cell>
          <cell r="CU181">
            <v>1</v>
          </cell>
          <cell r="CV181" t="str">
            <v xml:space="preserve"> </v>
          </cell>
          <cell r="CW181">
            <v>2.4</v>
          </cell>
          <cell r="CX181" t="str">
            <v>約工資部份30%</v>
          </cell>
        </row>
        <row r="183">
          <cell r="CU183" t="str">
            <v>小計</v>
          </cell>
          <cell r="CV183" t="str">
            <v xml:space="preserve"> </v>
          </cell>
          <cell r="CW183">
            <v>13</v>
          </cell>
          <cell r="CX183" t="str">
            <v xml:space="preserve"> </v>
          </cell>
        </row>
        <row r="193">
          <cell r="CQ193" t="str">
            <v xml:space="preserve"> </v>
          </cell>
          <cell r="CR193" t="str">
            <v xml:space="preserve"> </v>
          </cell>
          <cell r="CS193" t="str">
            <v xml:space="preserve"> </v>
          </cell>
          <cell r="CT193" t="str">
            <v xml:space="preserve"> </v>
          </cell>
          <cell r="CU193" t="str">
            <v xml:space="preserve"> </v>
          </cell>
          <cell r="CV193" t="str">
            <v xml:space="preserve"> </v>
          </cell>
          <cell r="CW193" t="str">
            <v xml:space="preserve"> </v>
          </cell>
          <cell r="CX193" t="str">
            <v xml:space="preserve"> </v>
          </cell>
        </row>
        <row r="195">
          <cell r="CQ195" t="str">
            <v xml:space="preserve"> </v>
          </cell>
          <cell r="CR195" t="str">
            <v>每</v>
          </cell>
          <cell r="CS195" t="str">
            <v>m2</v>
          </cell>
          <cell r="CT195" t="str">
            <v>單 價 計</v>
          </cell>
          <cell r="CV195" t="str">
            <v xml:space="preserve"> </v>
          </cell>
          <cell r="CW195">
            <v>13</v>
          </cell>
        </row>
        <row r="198">
          <cell r="CQ198" t="str">
            <v xml:space="preserve"> 號數 :   </v>
          </cell>
          <cell r="CR198">
            <v>0</v>
          </cell>
          <cell r="CS198" t="str">
            <v>工 程 項 目</v>
          </cell>
          <cell r="CU198" t="str">
            <v>AC路面刨除(5CM)</v>
          </cell>
          <cell r="CW198" t="str">
            <v>單    位</v>
          </cell>
          <cell r="CX198" t="str">
            <v>3000m2</v>
          </cell>
        </row>
        <row r="199">
          <cell r="CQ199" t="str">
            <v>工   程   項   目</v>
          </cell>
          <cell r="CS199" t="str">
            <v>說 明</v>
          </cell>
          <cell r="CT199" t="str">
            <v>單 位</v>
          </cell>
          <cell r="CU199" t="str">
            <v>數  量</v>
          </cell>
          <cell r="CV199" t="str">
            <v>單   價</v>
          </cell>
          <cell r="CW199" t="str">
            <v>總    價</v>
          </cell>
          <cell r="CX199" t="str">
            <v>備    註</v>
          </cell>
        </row>
        <row r="200">
          <cell r="CQ200" t="str">
            <v>切刨機</v>
          </cell>
          <cell r="CS200" t="str">
            <v xml:space="preserve"> </v>
          </cell>
          <cell r="CT200" t="str">
            <v>天</v>
          </cell>
          <cell r="CU200">
            <v>1</v>
          </cell>
          <cell r="CV200">
            <v>60000</v>
          </cell>
          <cell r="CW200">
            <v>60000</v>
          </cell>
        </row>
        <row r="201">
          <cell r="CQ201" t="str">
            <v>交通車</v>
          </cell>
          <cell r="CS201" t="str">
            <v xml:space="preserve"> </v>
          </cell>
          <cell r="CT201" t="str">
            <v>天</v>
          </cell>
          <cell r="CU201">
            <v>1</v>
          </cell>
          <cell r="CV201">
            <v>4000</v>
          </cell>
          <cell r="CW201">
            <v>4000</v>
          </cell>
        </row>
        <row r="202">
          <cell r="CQ202" t="str">
            <v>機械搬運</v>
          </cell>
          <cell r="CS202" t="str">
            <v xml:space="preserve"> </v>
          </cell>
          <cell r="CT202" t="str">
            <v>式</v>
          </cell>
          <cell r="CU202">
            <v>1</v>
          </cell>
          <cell r="CV202">
            <v>10000</v>
          </cell>
          <cell r="CW202">
            <v>10000</v>
          </cell>
        </row>
        <row r="203">
          <cell r="CQ203" t="str">
            <v>一般技工</v>
          </cell>
          <cell r="CS203" t="str">
            <v xml:space="preserve"> </v>
          </cell>
          <cell r="CT203" t="str">
            <v>工</v>
          </cell>
          <cell r="CU203">
            <v>3</v>
          </cell>
          <cell r="CV203">
            <v>720</v>
          </cell>
          <cell r="CW203">
            <v>2160</v>
          </cell>
        </row>
        <row r="204">
          <cell r="CQ204" t="str">
            <v>普通工</v>
          </cell>
          <cell r="CR204" t="str">
            <v xml:space="preserve"> </v>
          </cell>
          <cell r="CS204" t="str">
            <v xml:space="preserve"> </v>
          </cell>
          <cell r="CT204" t="str">
            <v>工</v>
          </cell>
          <cell r="CU204">
            <v>3</v>
          </cell>
          <cell r="CV204">
            <v>530</v>
          </cell>
          <cell r="CW204">
            <v>1590</v>
          </cell>
          <cell r="CX204" t="str">
            <v xml:space="preserve"> </v>
          </cell>
        </row>
        <row r="205">
          <cell r="CQ205" t="str">
            <v>切刨刀</v>
          </cell>
          <cell r="CT205" t="str">
            <v>支</v>
          </cell>
          <cell r="CU205">
            <v>350</v>
          </cell>
          <cell r="CV205">
            <v>300</v>
          </cell>
          <cell r="CW205">
            <v>105000</v>
          </cell>
        </row>
        <row r="206">
          <cell r="CQ206" t="str">
            <v>柴油</v>
          </cell>
          <cell r="CS206" t="str">
            <v xml:space="preserve"> </v>
          </cell>
          <cell r="CT206" t="str">
            <v>加侖</v>
          </cell>
          <cell r="CU206">
            <v>66</v>
          </cell>
          <cell r="CV206">
            <v>57</v>
          </cell>
          <cell r="CW206">
            <v>3762</v>
          </cell>
          <cell r="CX206" t="str">
            <v>一加侖以四公升計算</v>
          </cell>
        </row>
        <row r="207">
          <cell r="CQ207" t="str">
            <v>廢料運棄及路面清除</v>
          </cell>
          <cell r="CT207" t="str">
            <v>m2</v>
          </cell>
          <cell r="CU207">
            <v>3000</v>
          </cell>
          <cell r="CV207">
            <v>21</v>
          </cell>
          <cell r="CW207">
            <v>63000</v>
          </cell>
        </row>
        <row r="208">
          <cell r="CQ208" t="str">
            <v>交通維護</v>
          </cell>
          <cell r="CT208" t="str">
            <v>式</v>
          </cell>
          <cell r="CU208">
            <v>1</v>
          </cell>
          <cell r="CW208">
            <v>988</v>
          </cell>
        </row>
        <row r="209">
          <cell r="CU209" t="str">
            <v>小計</v>
          </cell>
          <cell r="CV209" t="str">
            <v xml:space="preserve"> </v>
          </cell>
          <cell r="CW209">
            <v>250500</v>
          </cell>
          <cell r="CX209" t="str">
            <v xml:space="preserve"> /3000</v>
          </cell>
        </row>
        <row r="213">
          <cell r="CQ213" t="str">
            <v xml:space="preserve"> </v>
          </cell>
          <cell r="CR213" t="str">
            <v xml:space="preserve"> </v>
          </cell>
          <cell r="CS213" t="str">
            <v xml:space="preserve"> </v>
          </cell>
          <cell r="CT213" t="str">
            <v xml:space="preserve"> </v>
          </cell>
          <cell r="CU213" t="str">
            <v xml:space="preserve"> </v>
          </cell>
          <cell r="CV213" t="str">
            <v xml:space="preserve"> </v>
          </cell>
        </row>
        <row r="215">
          <cell r="CQ215" t="str">
            <v xml:space="preserve"> </v>
          </cell>
          <cell r="CS215" t="str">
            <v xml:space="preserve"> </v>
          </cell>
          <cell r="CT215" t="str">
            <v xml:space="preserve"> </v>
          </cell>
        </row>
        <row r="216">
          <cell r="CQ216" t="str">
            <v xml:space="preserve"> </v>
          </cell>
          <cell r="CR216" t="str">
            <v>每</v>
          </cell>
          <cell r="CS216" t="str">
            <v>m2</v>
          </cell>
          <cell r="CT216" t="str">
            <v>單 價 計</v>
          </cell>
          <cell r="CV216" t="str">
            <v xml:space="preserve"> </v>
          </cell>
          <cell r="CW216">
            <v>83.5</v>
          </cell>
        </row>
        <row r="219">
          <cell r="CQ219" t="str">
            <v xml:space="preserve"> 號數 :  </v>
          </cell>
          <cell r="CR219">
            <v>0</v>
          </cell>
          <cell r="CS219" t="str">
            <v>工 程 項 目</v>
          </cell>
          <cell r="CU219" t="str">
            <v>造型模板製作及裝拆</v>
          </cell>
          <cell r="CW219" t="str">
            <v>單    位</v>
          </cell>
          <cell r="CX219" t="str">
            <v></v>
          </cell>
        </row>
        <row r="220">
          <cell r="CQ220" t="str">
            <v>工   程   項   目</v>
          </cell>
          <cell r="CS220" t="str">
            <v>說 明</v>
          </cell>
          <cell r="CT220" t="str">
            <v>單 位</v>
          </cell>
          <cell r="CU220" t="str">
            <v>數  量</v>
          </cell>
          <cell r="CV220" t="str">
            <v>單   價</v>
          </cell>
          <cell r="CW220" t="str">
            <v>總    價</v>
          </cell>
          <cell r="CX220" t="str">
            <v>備    註</v>
          </cell>
        </row>
        <row r="221">
          <cell r="CQ221" t="str">
            <v xml:space="preserve">造型模板              </v>
          </cell>
          <cell r="CS221" t="str">
            <v xml:space="preserve"> </v>
          </cell>
          <cell r="CT221" t="str">
            <v></v>
          </cell>
          <cell r="CU221">
            <v>1</v>
          </cell>
          <cell r="CV221">
            <v>280</v>
          </cell>
          <cell r="CW221">
            <v>280</v>
          </cell>
          <cell r="CX221" t="str">
            <v>使用6-8次</v>
          </cell>
        </row>
        <row r="223">
          <cell r="CQ223" t="str">
            <v>普通工</v>
          </cell>
          <cell r="CT223" t="str">
            <v>工</v>
          </cell>
          <cell r="CU223">
            <v>0.04</v>
          </cell>
          <cell r="CV223">
            <v>530</v>
          </cell>
          <cell r="CW223">
            <v>21.2</v>
          </cell>
        </row>
        <row r="225">
          <cell r="CQ225" t="str">
            <v>支撐料</v>
          </cell>
          <cell r="CS225" t="str">
            <v xml:space="preserve"> </v>
          </cell>
          <cell r="CT225" t="str">
            <v>式</v>
          </cell>
          <cell r="CU225">
            <v>1</v>
          </cell>
          <cell r="CV225">
            <v>0.8</v>
          </cell>
          <cell r="CW225">
            <v>0.8</v>
          </cell>
        </row>
        <row r="229">
          <cell r="CU229" t="str">
            <v>小計</v>
          </cell>
          <cell r="CV229" t="str">
            <v xml:space="preserve"> </v>
          </cell>
          <cell r="CW229">
            <v>302</v>
          </cell>
        </row>
        <row r="232">
          <cell r="CX232" t="str">
            <v xml:space="preserve"> </v>
          </cell>
        </row>
        <row r="236">
          <cell r="CS236" t="str">
            <v xml:space="preserve"> </v>
          </cell>
          <cell r="CT236" t="str">
            <v xml:space="preserve"> </v>
          </cell>
          <cell r="CU236" t="str">
            <v xml:space="preserve"> </v>
          </cell>
          <cell r="CV236" t="str">
            <v xml:space="preserve"> </v>
          </cell>
        </row>
        <row r="237">
          <cell r="CQ237" t="str">
            <v xml:space="preserve"> </v>
          </cell>
          <cell r="CR237" t="str">
            <v>每</v>
          </cell>
          <cell r="CS237" t="str">
            <v></v>
          </cell>
          <cell r="CT237" t="str">
            <v>單 價 計</v>
          </cell>
          <cell r="CV237" t="str">
            <v xml:space="preserve"> </v>
          </cell>
          <cell r="CW237">
            <v>302</v>
          </cell>
        </row>
        <row r="282">
          <cell r="CQ282" t="str">
            <v>編號:</v>
          </cell>
          <cell r="CR282" t="str">
            <v xml:space="preserve"> </v>
          </cell>
          <cell r="CS282" t="str">
            <v>工 程 項 目</v>
          </cell>
          <cell r="CU282" t="str">
            <v>填天然級配料</v>
          </cell>
          <cell r="CW282" t="str">
            <v xml:space="preserve">  單    位</v>
          </cell>
          <cell r="CX282" t="str">
            <v>m3</v>
          </cell>
        </row>
        <row r="283">
          <cell r="CQ283" t="str">
            <v xml:space="preserve"> 工   程   項   目</v>
          </cell>
          <cell r="CS283" t="str">
            <v xml:space="preserve"> 說 明</v>
          </cell>
          <cell r="CT283" t="str">
            <v xml:space="preserve"> 單 位</v>
          </cell>
          <cell r="CU283" t="str">
            <v xml:space="preserve"> 數  量</v>
          </cell>
          <cell r="CV283" t="str">
            <v xml:space="preserve">  單  價</v>
          </cell>
          <cell r="CW283" t="str">
            <v xml:space="preserve">  總    價 </v>
          </cell>
          <cell r="CX283" t="str">
            <v>備    註</v>
          </cell>
        </row>
        <row r="284">
          <cell r="CQ284" t="str">
            <v>天然級配</v>
          </cell>
          <cell r="CT284" t="str">
            <v>m3</v>
          </cell>
          <cell r="CU284">
            <v>1</v>
          </cell>
          <cell r="CV284">
            <v>253</v>
          </cell>
          <cell r="CW284">
            <v>253</v>
          </cell>
        </row>
        <row r="286">
          <cell r="CQ286" t="str">
            <v>普通工</v>
          </cell>
          <cell r="CS286" t="str">
            <v xml:space="preserve"> </v>
          </cell>
          <cell r="CT286" t="str">
            <v>工</v>
          </cell>
          <cell r="CU286">
            <v>0.06</v>
          </cell>
          <cell r="CV286">
            <v>530</v>
          </cell>
          <cell r="CW286">
            <v>31.8</v>
          </cell>
          <cell r="CX286" t="str">
            <v xml:space="preserve"> </v>
          </cell>
        </row>
        <row r="288">
          <cell r="CQ288" t="str">
            <v>工具搬運及損耗</v>
          </cell>
          <cell r="CS288" t="str">
            <v xml:space="preserve"> </v>
          </cell>
          <cell r="CT288" t="str">
            <v>式</v>
          </cell>
          <cell r="CU288">
            <v>1</v>
          </cell>
          <cell r="CV288" t="str">
            <v xml:space="preserve"> </v>
          </cell>
          <cell r="CW288">
            <v>1.2</v>
          </cell>
          <cell r="CX288" t="str">
            <v>約工資部份3%</v>
          </cell>
        </row>
        <row r="290">
          <cell r="CU290" t="str">
            <v>小計</v>
          </cell>
          <cell r="CV290" t="str">
            <v xml:space="preserve"> </v>
          </cell>
          <cell r="CW290">
            <v>286</v>
          </cell>
        </row>
        <row r="298">
          <cell r="CV298" t="str">
            <v xml:space="preserve"> </v>
          </cell>
          <cell r="CW298" t="str">
            <v xml:space="preserve"> </v>
          </cell>
          <cell r="CX298" t="str">
            <v xml:space="preserve"> </v>
          </cell>
        </row>
        <row r="299">
          <cell r="CQ299" t="str">
            <v xml:space="preserve"> </v>
          </cell>
          <cell r="CS299" t="str">
            <v xml:space="preserve"> </v>
          </cell>
          <cell r="CT299" t="str">
            <v xml:space="preserve"> </v>
          </cell>
          <cell r="CU299" t="str">
            <v xml:space="preserve"> </v>
          </cell>
        </row>
        <row r="300">
          <cell r="CQ300" t="str">
            <v xml:space="preserve"> </v>
          </cell>
          <cell r="CR300" t="str">
            <v>每</v>
          </cell>
          <cell r="CS300" t="str">
            <v>m3</v>
          </cell>
          <cell r="CT300" t="str">
            <v>單 價 計</v>
          </cell>
          <cell r="CV300" t="str">
            <v xml:space="preserve"> </v>
          </cell>
          <cell r="CW300">
            <v>286</v>
          </cell>
          <cell r="CX300" t="str">
            <v xml:space="preserve"> </v>
          </cell>
        </row>
        <row r="303">
          <cell r="CQ303" t="str">
            <v>號數10</v>
          </cell>
          <cell r="CR303" t="str">
            <v xml:space="preserve"> </v>
          </cell>
          <cell r="CS303" t="str">
            <v>工 程 項 目</v>
          </cell>
          <cell r="CU303" t="str">
            <v>碎石級配料底層舖壓(t=20cm)</v>
          </cell>
          <cell r="CW303" t="str">
            <v>單    位</v>
          </cell>
          <cell r="CX303" t="str">
            <v>100m2</v>
          </cell>
        </row>
        <row r="304">
          <cell r="CQ304" t="str">
            <v>工   程   項   目</v>
          </cell>
          <cell r="CS304" t="str">
            <v>說 明</v>
          </cell>
          <cell r="CT304" t="str">
            <v>單 位</v>
          </cell>
          <cell r="CU304" t="str">
            <v>數  量</v>
          </cell>
          <cell r="CV304" t="str">
            <v>單   價</v>
          </cell>
          <cell r="CW304" t="str">
            <v>總    價</v>
          </cell>
          <cell r="CX304" t="str">
            <v>備    註</v>
          </cell>
        </row>
        <row r="305">
          <cell r="CQ305" t="str">
            <v>普通工</v>
          </cell>
          <cell r="CS305" t="str">
            <v xml:space="preserve"> </v>
          </cell>
          <cell r="CT305" t="str">
            <v>工</v>
          </cell>
          <cell r="CU305">
            <v>0.1</v>
          </cell>
          <cell r="CV305">
            <v>530</v>
          </cell>
          <cell r="CW305">
            <v>53</v>
          </cell>
        </row>
        <row r="307">
          <cell r="CQ307" t="str">
            <v>碎石級配</v>
          </cell>
          <cell r="CS307" t="str">
            <v>20cm厚</v>
          </cell>
          <cell r="CT307" t="str">
            <v>m3</v>
          </cell>
          <cell r="CU307">
            <v>25</v>
          </cell>
          <cell r="CV307">
            <v>303</v>
          </cell>
          <cell r="CW307">
            <v>7575</v>
          </cell>
          <cell r="CX307" t="str">
            <v>20*1.25=25</v>
          </cell>
        </row>
        <row r="309">
          <cell r="CQ309" t="str">
            <v>平路機</v>
          </cell>
          <cell r="CS309" t="str">
            <v xml:space="preserve"> </v>
          </cell>
          <cell r="CT309" t="str">
            <v>hr</v>
          </cell>
          <cell r="CU309">
            <v>0.3</v>
          </cell>
          <cell r="CV309">
            <v>700</v>
          </cell>
          <cell r="CW309">
            <v>210</v>
          </cell>
          <cell r="CX309" t="str">
            <v>(推土機)</v>
          </cell>
        </row>
        <row r="311">
          <cell r="CQ311" t="str">
            <v>灑水車</v>
          </cell>
          <cell r="CS311" t="str">
            <v xml:space="preserve"> </v>
          </cell>
          <cell r="CT311" t="str">
            <v>hr</v>
          </cell>
          <cell r="CU311">
            <v>0.25</v>
          </cell>
          <cell r="CV311">
            <v>500</v>
          </cell>
          <cell r="CW311">
            <v>125</v>
          </cell>
          <cell r="CX311" t="str">
            <v>包括抽水機</v>
          </cell>
        </row>
        <row r="312">
          <cell r="CQ312" t="str">
            <v xml:space="preserve"> </v>
          </cell>
          <cell r="CS312" t="str">
            <v xml:space="preserve"> </v>
          </cell>
          <cell r="CT312" t="str">
            <v xml:space="preserve"> </v>
          </cell>
          <cell r="CU312" t="str">
            <v xml:space="preserve"> </v>
          </cell>
        </row>
        <row r="313">
          <cell r="CQ313" t="str">
            <v>10~15T壓路機</v>
          </cell>
          <cell r="CS313" t="str">
            <v xml:space="preserve"> </v>
          </cell>
          <cell r="CT313" t="str">
            <v>hr</v>
          </cell>
          <cell r="CU313">
            <v>0.38</v>
          </cell>
          <cell r="CV313">
            <v>670</v>
          </cell>
          <cell r="CW313">
            <v>254.6</v>
          </cell>
        </row>
        <row r="315">
          <cell r="CQ315" t="str">
            <v>工具搬運及損耗</v>
          </cell>
          <cell r="CS315" t="str">
            <v xml:space="preserve"> </v>
          </cell>
          <cell r="CT315" t="str">
            <v>式</v>
          </cell>
          <cell r="CU315">
            <v>1</v>
          </cell>
          <cell r="CV315" t="str">
            <v xml:space="preserve"> </v>
          </cell>
          <cell r="CW315">
            <v>1.06</v>
          </cell>
          <cell r="CX315" t="str">
            <v>約工資部份2%</v>
          </cell>
        </row>
        <row r="317">
          <cell r="CQ317" t="str">
            <v xml:space="preserve"> </v>
          </cell>
          <cell r="CS317" t="str">
            <v xml:space="preserve"> </v>
          </cell>
          <cell r="CT317" t="str">
            <v xml:space="preserve"> </v>
          </cell>
          <cell r="CU317" t="str">
            <v>計</v>
          </cell>
          <cell r="CV317" t="str">
            <v xml:space="preserve"> </v>
          </cell>
          <cell r="CW317">
            <v>8218.66</v>
          </cell>
          <cell r="CX317" t="str">
            <v xml:space="preserve"> /100</v>
          </cell>
        </row>
        <row r="321">
          <cell r="CQ321" t="str">
            <v xml:space="preserve"> </v>
          </cell>
          <cell r="CR321" t="str">
            <v>每</v>
          </cell>
          <cell r="CS321" t="str">
            <v>m2</v>
          </cell>
          <cell r="CT321" t="str">
            <v>單 價 計</v>
          </cell>
          <cell r="CV321" t="str">
            <v xml:space="preserve"> </v>
          </cell>
          <cell r="CW321">
            <v>82.19</v>
          </cell>
        </row>
        <row r="324">
          <cell r="CQ324" t="str">
            <v>號數:</v>
          </cell>
          <cell r="CR324" t="str">
            <v xml:space="preserve"> </v>
          </cell>
          <cell r="CS324" t="str">
            <v>工  程  項  目</v>
          </cell>
          <cell r="CU324" t="str">
            <v>瀝青混凝土面層(厚t=5cm)</v>
          </cell>
          <cell r="CW324" t="str">
            <v xml:space="preserve">  單    位</v>
          </cell>
          <cell r="CX324" t="str">
            <v>100m2</v>
          </cell>
        </row>
        <row r="325">
          <cell r="CQ325" t="str">
            <v xml:space="preserve"> 工   程   項   目</v>
          </cell>
          <cell r="CS325" t="str">
            <v xml:space="preserve"> 說 明</v>
          </cell>
          <cell r="CT325" t="str">
            <v xml:space="preserve"> 單 位</v>
          </cell>
          <cell r="CU325" t="str">
            <v xml:space="preserve"> 數  量</v>
          </cell>
          <cell r="CV325" t="str">
            <v xml:space="preserve">  單  價</v>
          </cell>
          <cell r="CW325" t="str">
            <v xml:space="preserve">  總    價 </v>
          </cell>
        </row>
        <row r="326">
          <cell r="CQ326" t="str">
            <v>一般技工</v>
          </cell>
          <cell r="CS326" t="str">
            <v xml:space="preserve"> </v>
          </cell>
          <cell r="CT326" t="str">
            <v>工</v>
          </cell>
          <cell r="CU326">
            <v>0.35</v>
          </cell>
          <cell r="CV326">
            <v>720</v>
          </cell>
          <cell r="CW326">
            <v>252</v>
          </cell>
        </row>
        <row r="327">
          <cell r="CQ327" t="str">
            <v>普通工</v>
          </cell>
          <cell r="CS327" t="str">
            <v xml:space="preserve"> </v>
          </cell>
          <cell r="CT327" t="str">
            <v>工</v>
          </cell>
          <cell r="CU327">
            <v>0.6</v>
          </cell>
          <cell r="CV327">
            <v>530</v>
          </cell>
          <cell r="CW327">
            <v>318</v>
          </cell>
        </row>
        <row r="328">
          <cell r="CQ328" t="str">
            <v>工具搬運及損耗</v>
          </cell>
          <cell r="CS328" t="str">
            <v xml:space="preserve"> </v>
          </cell>
          <cell r="CT328" t="str">
            <v>式</v>
          </cell>
          <cell r="CU328">
            <v>1</v>
          </cell>
          <cell r="CV328" t="str">
            <v xml:space="preserve"> </v>
          </cell>
          <cell r="CW328">
            <v>17.25</v>
          </cell>
          <cell r="CX328" t="str">
            <v>約工資部份3%</v>
          </cell>
        </row>
        <row r="329">
          <cell r="CQ329" t="str">
            <v>輕柴油</v>
          </cell>
          <cell r="CS329" t="str">
            <v xml:space="preserve"> </v>
          </cell>
          <cell r="CT329" t="str">
            <v>公升</v>
          </cell>
          <cell r="CU329">
            <v>1</v>
          </cell>
          <cell r="CV329">
            <v>14.25</v>
          </cell>
          <cell r="CW329">
            <v>14.25</v>
          </cell>
          <cell r="CX329" t="str">
            <v xml:space="preserve"> </v>
          </cell>
        </row>
        <row r="330">
          <cell r="CQ330" t="str">
            <v>瀝青混凝土舖裝機</v>
          </cell>
          <cell r="CS330" t="str">
            <v xml:space="preserve"> </v>
          </cell>
          <cell r="CT330" t="str">
            <v>小時</v>
          </cell>
          <cell r="CU330">
            <v>0.35</v>
          </cell>
          <cell r="CV330">
            <v>1300</v>
          </cell>
          <cell r="CW330">
            <v>455</v>
          </cell>
          <cell r="CX330" t="str">
            <v xml:space="preserve"> </v>
          </cell>
        </row>
        <row r="331">
          <cell r="CQ331" t="str">
            <v>12T壓路機</v>
          </cell>
          <cell r="CS331" t="str">
            <v xml:space="preserve"> </v>
          </cell>
          <cell r="CT331" t="str">
            <v>小時</v>
          </cell>
          <cell r="CU331">
            <v>0.35</v>
          </cell>
          <cell r="CV331">
            <v>850</v>
          </cell>
          <cell r="CW331">
            <v>297.5</v>
          </cell>
          <cell r="CX331" t="str">
            <v xml:space="preserve"> </v>
          </cell>
        </row>
        <row r="332">
          <cell r="CQ332" t="str">
            <v>6-8T壓路機</v>
          </cell>
          <cell r="CR332" t="str">
            <v xml:space="preserve"> </v>
          </cell>
          <cell r="CS332" t="str">
            <v xml:space="preserve"> </v>
          </cell>
          <cell r="CT332" t="str">
            <v>小時</v>
          </cell>
          <cell r="CU332">
            <v>0.35</v>
          </cell>
          <cell r="CV332">
            <v>850</v>
          </cell>
          <cell r="CW332">
            <v>297.5</v>
          </cell>
        </row>
        <row r="333">
          <cell r="CQ333" t="str">
            <v>膠輪壓路機</v>
          </cell>
          <cell r="CR333" t="str">
            <v xml:space="preserve"> </v>
          </cell>
          <cell r="CS333" t="str">
            <v xml:space="preserve"> </v>
          </cell>
          <cell r="CT333" t="str">
            <v>小時</v>
          </cell>
          <cell r="CU333">
            <v>0.35</v>
          </cell>
          <cell r="CV333">
            <v>760</v>
          </cell>
          <cell r="CW333">
            <v>266</v>
          </cell>
        </row>
        <row r="334">
          <cell r="CQ334" t="str">
            <v>拌合料</v>
          </cell>
          <cell r="CS334" t="str">
            <v xml:space="preserve"> </v>
          </cell>
          <cell r="CT334" t="str">
            <v>m3</v>
          </cell>
          <cell r="CU334">
            <v>5</v>
          </cell>
          <cell r="CV334">
            <v>2185</v>
          </cell>
          <cell r="CW334">
            <v>10925</v>
          </cell>
          <cell r="CX334" t="str">
            <v xml:space="preserve"> </v>
          </cell>
        </row>
        <row r="335">
          <cell r="CQ335" t="str">
            <v>拌合料運費</v>
          </cell>
          <cell r="CS335" t="str">
            <v xml:space="preserve"> </v>
          </cell>
          <cell r="CT335" t="str">
            <v>m3</v>
          </cell>
          <cell r="CU335">
            <v>5</v>
          </cell>
          <cell r="CV335">
            <v>149.5</v>
          </cell>
          <cell r="CW335">
            <v>747.5</v>
          </cell>
          <cell r="CX335" t="str">
            <v xml:space="preserve"> </v>
          </cell>
        </row>
        <row r="336">
          <cell r="CX336" t="str">
            <v xml:space="preserve"> </v>
          </cell>
        </row>
        <row r="337">
          <cell r="CU337" t="str">
            <v>計</v>
          </cell>
          <cell r="CV337" t="str">
            <v xml:space="preserve"> </v>
          </cell>
          <cell r="CW337">
            <v>13590</v>
          </cell>
          <cell r="CX337" t="str">
            <v xml:space="preserve"> /100</v>
          </cell>
        </row>
        <row r="338">
          <cell r="CX338" t="str">
            <v xml:space="preserve"> </v>
          </cell>
        </row>
        <row r="340">
          <cell r="CX340" t="str">
            <v xml:space="preserve"> </v>
          </cell>
        </row>
        <row r="342">
          <cell r="CQ342" t="str">
            <v xml:space="preserve"> </v>
          </cell>
          <cell r="CR342" t="str">
            <v>每</v>
          </cell>
          <cell r="CS342" t="str">
            <v>m2</v>
          </cell>
          <cell r="CT342" t="str">
            <v>單 價 計</v>
          </cell>
          <cell r="CV342" t="str">
            <v xml:space="preserve"> </v>
          </cell>
          <cell r="CW342">
            <v>135.9</v>
          </cell>
          <cell r="CX342" t="str">
            <v xml:space="preserve"> </v>
          </cell>
        </row>
        <row r="345">
          <cell r="CQ345" t="str">
            <v>號數:</v>
          </cell>
          <cell r="CR345" t="str">
            <v xml:space="preserve"> </v>
          </cell>
          <cell r="CS345" t="str">
            <v>工  程  項  目</v>
          </cell>
          <cell r="CU345" t="str">
            <v>透層(人工)</v>
          </cell>
          <cell r="CW345" t="str">
            <v xml:space="preserve">  單    位</v>
          </cell>
          <cell r="CX345" t="str">
            <v>100m2</v>
          </cell>
        </row>
        <row r="346">
          <cell r="CQ346" t="str">
            <v xml:space="preserve"> 工   程   項   目</v>
          </cell>
          <cell r="CS346" t="str">
            <v xml:space="preserve"> 說 明</v>
          </cell>
          <cell r="CT346" t="str">
            <v xml:space="preserve"> 單 位</v>
          </cell>
          <cell r="CU346" t="str">
            <v xml:space="preserve"> 數  量</v>
          </cell>
          <cell r="CV346" t="str">
            <v xml:space="preserve">  單  價</v>
          </cell>
          <cell r="CW346" t="str">
            <v xml:space="preserve">  總    價 </v>
          </cell>
          <cell r="CX346" t="str">
            <v>備    註</v>
          </cell>
        </row>
        <row r="347">
          <cell r="CQ347" t="str">
            <v>一般技工</v>
          </cell>
          <cell r="CS347" t="str">
            <v xml:space="preserve"> </v>
          </cell>
          <cell r="CT347" t="str">
            <v>工</v>
          </cell>
          <cell r="CU347">
            <v>0.15</v>
          </cell>
          <cell r="CV347">
            <v>720</v>
          </cell>
          <cell r="CW347">
            <v>108</v>
          </cell>
        </row>
        <row r="349">
          <cell r="CQ349" t="str">
            <v>普通工</v>
          </cell>
          <cell r="CS349" t="str">
            <v xml:space="preserve"> </v>
          </cell>
          <cell r="CT349" t="str">
            <v>工</v>
          </cell>
          <cell r="CU349">
            <v>0.8</v>
          </cell>
          <cell r="CV349">
            <v>530</v>
          </cell>
          <cell r="CW349">
            <v>424</v>
          </cell>
        </row>
        <row r="351">
          <cell r="CQ351" t="str">
            <v>工具搬運及損耗</v>
          </cell>
          <cell r="CS351" t="str">
            <v xml:space="preserve"> </v>
          </cell>
          <cell r="CT351" t="str">
            <v>式</v>
          </cell>
          <cell r="CU351">
            <v>1</v>
          </cell>
          <cell r="CV351" t="str">
            <v xml:space="preserve"> </v>
          </cell>
          <cell r="CW351">
            <v>15</v>
          </cell>
          <cell r="CX351" t="str">
            <v>約工資部份3%</v>
          </cell>
        </row>
        <row r="353">
          <cell r="CQ353" t="str">
            <v>燃枓</v>
          </cell>
          <cell r="CS353" t="str">
            <v>木材</v>
          </cell>
          <cell r="CT353" t="str">
            <v>公斤</v>
          </cell>
          <cell r="CU353">
            <v>10</v>
          </cell>
          <cell r="CV353">
            <v>2</v>
          </cell>
          <cell r="CW353">
            <v>20</v>
          </cell>
        </row>
        <row r="355">
          <cell r="CQ355" t="str">
            <v>瀝青 MC-1</v>
          </cell>
          <cell r="CS355" t="str">
            <v xml:space="preserve"> </v>
          </cell>
          <cell r="CT355" t="str">
            <v>公斤</v>
          </cell>
          <cell r="CU355">
            <v>90</v>
          </cell>
          <cell r="CV355">
            <v>8.6999999999999993</v>
          </cell>
          <cell r="CW355">
            <v>783</v>
          </cell>
        </row>
        <row r="357">
          <cell r="CV357" t="str">
            <v>小計</v>
          </cell>
          <cell r="CW357">
            <v>1350</v>
          </cell>
          <cell r="CX357" t="str">
            <v xml:space="preserve"> /100</v>
          </cell>
        </row>
        <row r="359">
          <cell r="CV359" t="str">
            <v xml:space="preserve"> </v>
          </cell>
          <cell r="CW359" t="str">
            <v xml:space="preserve"> </v>
          </cell>
          <cell r="CX359" t="str">
            <v xml:space="preserve"> </v>
          </cell>
        </row>
        <row r="360">
          <cell r="CQ360" t="str">
            <v xml:space="preserve"> </v>
          </cell>
          <cell r="CS360" t="str">
            <v xml:space="preserve"> </v>
          </cell>
          <cell r="CT360" t="str">
            <v xml:space="preserve"> </v>
          </cell>
          <cell r="CU360" t="str">
            <v xml:space="preserve"> </v>
          </cell>
        </row>
        <row r="361">
          <cell r="CQ361" t="str">
            <v xml:space="preserve"> </v>
          </cell>
          <cell r="CR361" t="str">
            <v xml:space="preserve"> </v>
          </cell>
          <cell r="CS361" t="str">
            <v xml:space="preserve"> </v>
          </cell>
          <cell r="CT361" t="str">
            <v xml:space="preserve"> </v>
          </cell>
          <cell r="CU361" t="str">
            <v xml:space="preserve"> </v>
          </cell>
          <cell r="CV361" t="str">
            <v xml:space="preserve"> </v>
          </cell>
        </row>
        <row r="363">
          <cell r="CQ363" t="str">
            <v xml:space="preserve"> </v>
          </cell>
          <cell r="CR363" t="str">
            <v>每</v>
          </cell>
          <cell r="CS363" t="str">
            <v>m2</v>
          </cell>
          <cell r="CT363" t="str">
            <v>單 價 計</v>
          </cell>
          <cell r="CV363" t="str">
            <v xml:space="preserve"> </v>
          </cell>
          <cell r="CW363">
            <v>13.5</v>
          </cell>
          <cell r="CX363" t="str">
            <v xml:space="preserve"> </v>
          </cell>
        </row>
        <row r="366">
          <cell r="CQ366" t="str">
            <v>號數:</v>
          </cell>
          <cell r="CR366" t="str">
            <v xml:space="preserve"> </v>
          </cell>
          <cell r="CS366" t="str">
            <v>工 程 項 目</v>
          </cell>
          <cell r="CU366" t="str">
            <v>路面整理</v>
          </cell>
          <cell r="CW366" t="str">
            <v>單    位</v>
          </cell>
          <cell r="CX366" t="str">
            <v>m2</v>
          </cell>
        </row>
        <row r="367">
          <cell r="CQ367" t="str">
            <v>工   程   項   目</v>
          </cell>
          <cell r="CS367" t="str">
            <v>說 明</v>
          </cell>
          <cell r="CT367" t="str">
            <v>單 位</v>
          </cell>
          <cell r="CU367" t="str">
            <v>數  量</v>
          </cell>
          <cell r="CV367" t="str">
            <v>單   價</v>
          </cell>
          <cell r="CW367" t="str">
            <v>總    價</v>
          </cell>
          <cell r="CX367" t="str">
            <v>備    註</v>
          </cell>
        </row>
        <row r="368">
          <cell r="CQ368" t="str">
            <v>普通工</v>
          </cell>
          <cell r="CS368" t="str">
            <v xml:space="preserve"> </v>
          </cell>
          <cell r="CT368" t="str">
            <v>工</v>
          </cell>
          <cell r="CU368">
            <v>0.02</v>
          </cell>
          <cell r="CV368">
            <v>530</v>
          </cell>
          <cell r="CW368">
            <v>10.6</v>
          </cell>
          <cell r="CX368" t="str">
            <v xml:space="preserve"> </v>
          </cell>
        </row>
        <row r="369">
          <cell r="CQ369" t="str">
            <v xml:space="preserve"> </v>
          </cell>
        </row>
        <row r="370">
          <cell r="CQ370" t="str">
            <v>工具損耗</v>
          </cell>
          <cell r="CS370" t="str">
            <v xml:space="preserve"> </v>
          </cell>
          <cell r="CT370" t="str">
            <v>式</v>
          </cell>
          <cell r="CU370">
            <v>1</v>
          </cell>
          <cell r="CV370" t="str">
            <v xml:space="preserve"> </v>
          </cell>
          <cell r="CW370">
            <v>0.4</v>
          </cell>
        </row>
        <row r="372">
          <cell r="CU372" t="str">
            <v>小計</v>
          </cell>
          <cell r="CV372" t="str">
            <v xml:space="preserve"> </v>
          </cell>
          <cell r="CW372">
            <v>11</v>
          </cell>
        </row>
        <row r="378">
          <cell r="CV378" t="str">
            <v xml:space="preserve"> </v>
          </cell>
          <cell r="CW378" t="str">
            <v xml:space="preserve"> </v>
          </cell>
        </row>
        <row r="379">
          <cell r="CQ379" t="str">
            <v xml:space="preserve"> </v>
          </cell>
          <cell r="CR379" t="str">
            <v xml:space="preserve"> </v>
          </cell>
          <cell r="CS379" t="str">
            <v xml:space="preserve"> </v>
          </cell>
          <cell r="CT379" t="str">
            <v xml:space="preserve"> </v>
          </cell>
          <cell r="CU379" t="str">
            <v xml:space="preserve"> </v>
          </cell>
          <cell r="CV379" t="str">
            <v xml:space="preserve"> </v>
          </cell>
          <cell r="CW379" t="str">
            <v xml:space="preserve"> </v>
          </cell>
          <cell r="CX379" t="str">
            <v xml:space="preserve"> </v>
          </cell>
        </row>
        <row r="381">
          <cell r="CQ381" t="str">
            <v xml:space="preserve"> </v>
          </cell>
          <cell r="CR381" t="str">
            <v xml:space="preserve"> </v>
          </cell>
          <cell r="CS381" t="str">
            <v xml:space="preserve"> </v>
          </cell>
          <cell r="CT381" t="str">
            <v xml:space="preserve"> </v>
          </cell>
          <cell r="CU381" t="str">
            <v xml:space="preserve"> </v>
          </cell>
          <cell r="CV381" t="str">
            <v xml:space="preserve"> </v>
          </cell>
        </row>
        <row r="383">
          <cell r="CV383" t="str">
            <v xml:space="preserve"> </v>
          </cell>
          <cell r="CW383" t="str">
            <v xml:space="preserve"> </v>
          </cell>
        </row>
        <row r="384">
          <cell r="CQ384" t="str">
            <v xml:space="preserve"> </v>
          </cell>
          <cell r="CR384" t="str">
            <v>每</v>
          </cell>
          <cell r="CS384" t="str">
            <v>m2</v>
          </cell>
          <cell r="CT384" t="str">
            <v>單 價 計</v>
          </cell>
          <cell r="CV384" t="str">
            <v xml:space="preserve"> </v>
          </cell>
          <cell r="CW384">
            <v>11</v>
          </cell>
        </row>
        <row r="534">
          <cell r="CQ534" t="str">
            <v>編號:</v>
          </cell>
          <cell r="CR534" t="str">
            <v xml:space="preserve"> </v>
          </cell>
          <cell r="CS534" t="str">
            <v>工 程 項 目</v>
          </cell>
          <cell r="CU534" t="str">
            <v>140kg/cm2預拌混凝土澆置費</v>
          </cell>
          <cell r="CW534" t="str">
            <v xml:space="preserve">  單    位</v>
          </cell>
          <cell r="CX534" t="str">
            <v>m3</v>
          </cell>
        </row>
        <row r="535">
          <cell r="CQ535" t="str">
            <v xml:space="preserve"> 工   程   項   目</v>
          </cell>
          <cell r="CS535" t="str">
            <v xml:space="preserve"> 說 明</v>
          </cell>
          <cell r="CT535" t="str">
            <v xml:space="preserve"> 單 位</v>
          </cell>
          <cell r="CU535" t="str">
            <v xml:space="preserve"> 數  量</v>
          </cell>
          <cell r="CV535" t="str">
            <v xml:space="preserve">  單  價</v>
          </cell>
          <cell r="CW535" t="str">
            <v xml:space="preserve">  總    價 </v>
          </cell>
          <cell r="CX535" t="str">
            <v>備    註</v>
          </cell>
        </row>
        <row r="536">
          <cell r="CQ536" t="str">
            <v>一般技工</v>
          </cell>
          <cell r="CS536" t="str">
            <v xml:space="preserve"> </v>
          </cell>
          <cell r="CT536" t="str">
            <v>工</v>
          </cell>
          <cell r="CU536">
            <v>0.06</v>
          </cell>
          <cell r="CV536">
            <v>720</v>
          </cell>
          <cell r="CW536">
            <v>43.2</v>
          </cell>
          <cell r="CX536" t="str">
            <v xml:space="preserve"> </v>
          </cell>
        </row>
        <row r="538">
          <cell r="CQ538" t="str">
            <v>普通工</v>
          </cell>
          <cell r="CS538" t="str">
            <v xml:space="preserve"> </v>
          </cell>
          <cell r="CT538" t="str">
            <v>工</v>
          </cell>
          <cell r="CU538">
            <v>0.18</v>
          </cell>
          <cell r="CV538">
            <v>530</v>
          </cell>
          <cell r="CW538">
            <v>95.4</v>
          </cell>
        </row>
        <row r="540">
          <cell r="CQ540" t="str">
            <v>預拌混凝土</v>
          </cell>
          <cell r="CS540" t="str">
            <v xml:space="preserve"> </v>
          </cell>
          <cell r="CT540" t="str">
            <v>m3</v>
          </cell>
          <cell r="CU540">
            <v>1</v>
          </cell>
          <cell r="CV540" t="str">
            <v xml:space="preserve"> </v>
          </cell>
          <cell r="CW540" t="str">
            <v xml:space="preserve"> </v>
          </cell>
          <cell r="CX540" t="str">
            <v>材料費另計</v>
          </cell>
        </row>
        <row r="542">
          <cell r="CQ542" t="str">
            <v>機具費(輸送設備及振動機)</v>
          </cell>
          <cell r="CT542" t="str">
            <v>式</v>
          </cell>
          <cell r="CU542">
            <v>1</v>
          </cell>
          <cell r="CV542" t="str">
            <v xml:space="preserve"> </v>
          </cell>
          <cell r="CW542">
            <v>57.25</v>
          </cell>
          <cell r="CX542" t="str">
            <v xml:space="preserve"> </v>
          </cell>
        </row>
        <row r="544">
          <cell r="CQ544" t="str">
            <v>工具搬運及損耗</v>
          </cell>
          <cell r="CS544" t="str">
            <v xml:space="preserve"> </v>
          </cell>
          <cell r="CT544" t="str">
            <v>式</v>
          </cell>
          <cell r="CU544">
            <v>1</v>
          </cell>
          <cell r="CV544" t="str">
            <v xml:space="preserve"> </v>
          </cell>
          <cell r="CW544">
            <v>4.1500000000000004</v>
          </cell>
          <cell r="CX544" t="str">
            <v>約工資部份3%</v>
          </cell>
        </row>
        <row r="545">
          <cell r="CQ545" t="str">
            <v xml:space="preserve"> </v>
          </cell>
          <cell r="CT545" t="str">
            <v xml:space="preserve"> </v>
          </cell>
          <cell r="CU545" t="str">
            <v xml:space="preserve"> </v>
          </cell>
          <cell r="CW545" t="str">
            <v xml:space="preserve"> </v>
          </cell>
        </row>
        <row r="546">
          <cell r="CQ546" t="str">
            <v xml:space="preserve"> </v>
          </cell>
          <cell r="CR546" t="str">
            <v xml:space="preserve"> </v>
          </cell>
          <cell r="CT546" t="str">
            <v xml:space="preserve"> </v>
          </cell>
          <cell r="CU546" t="str">
            <v>小計</v>
          </cell>
          <cell r="CV546" t="str">
            <v xml:space="preserve"> </v>
          </cell>
          <cell r="CW546">
            <v>200</v>
          </cell>
        </row>
        <row r="547">
          <cell r="CQ547" t="str">
            <v xml:space="preserve"> </v>
          </cell>
          <cell r="CR547" t="str">
            <v xml:space="preserve"> </v>
          </cell>
          <cell r="CS547" t="str">
            <v xml:space="preserve"> </v>
          </cell>
          <cell r="CT547" t="str">
            <v xml:space="preserve"> </v>
          </cell>
          <cell r="CU547" t="str">
            <v xml:space="preserve"> </v>
          </cell>
          <cell r="CV547" t="str">
            <v xml:space="preserve"> </v>
          </cell>
          <cell r="CW547" t="str">
            <v xml:space="preserve"> </v>
          </cell>
          <cell r="CX547" t="str">
            <v xml:space="preserve"> </v>
          </cell>
        </row>
        <row r="548">
          <cell r="CV548" t="str">
            <v xml:space="preserve"> </v>
          </cell>
          <cell r="CW548" t="str">
            <v xml:space="preserve"> </v>
          </cell>
          <cell r="CX548" t="str">
            <v xml:space="preserve"> </v>
          </cell>
        </row>
        <row r="549">
          <cell r="CQ549" t="str">
            <v xml:space="preserve"> </v>
          </cell>
          <cell r="CS549" t="str">
            <v xml:space="preserve"> </v>
          </cell>
          <cell r="CT549" t="str">
            <v xml:space="preserve"> </v>
          </cell>
          <cell r="CU549" t="str">
            <v xml:space="preserve"> </v>
          </cell>
        </row>
        <row r="550">
          <cell r="CQ550" t="str">
            <v xml:space="preserve"> </v>
          </cell>
          <cell r="CR550" t="str">
            <v xml:space="preserve"> </v>
          </cell>
          <cell r="CS550" t="str">
            <v xml:space="preserve"> </v>
          </cell>
          <cell r="CT550" t="str">
            <v xml:space="preserve"> </v>
          </cell>
          <cell r="CU550" t="str">
            <v xml:space="preserve"> </v>
          </cell>
          <cell r="CV550" t="str">
            <v xml:space="preserve"> </v>
          </cell>
        </row>
        <row r="552">
          <cell r="CQ552" t="str">
            <v xml:space="preserve"> </v>
          </cell>
          <cell r="CR552" t="str">
            <v>每</v>
          </cell>
          <cell r="CS552" t="str">
            <v>m3</v>
          </cell>
          <cell r="CT552" t="str">
            <v>單 價 計</v>
          </cell>
          <cell r="CV552" t="str">
            <v xml:space="preserve"> </v>
          </cell>
          <cell r="CW552">
            <v>200</v>
          </cell>
          <cell r="CX552" t="str">
            <v xml:space="preserve"> </v>
          </cell>
        </row>
        <row r="555">
          <cell r="CQ555" t="str">
            <v>編號:</v>
          </cell>
          <cell r="CR555" t="str">
            <v xml:space="preserve"> </v>
          </cell>
          <cell r="CS555" t="str">
            <v>工 程 項 目</v>
          </cell>
          <cell r="CU555" t="str">
            <v>175kg/cm2預拌混凝土澆置費</v>
          </cell>
          <cell r="CW555" t="str">
            <v>單    位</v>
          </cell>
          <cell r="CX555" t="str">
            <v>m3</v>
          </cell>
        </row>
        <row r="556">
          <cell r="CQ556" t="str">
            <v>工   程   項   目</v>
          </cell>
          <cell r="CS556" t="str">
            <v>說 明</v>
          </cell>
          <cell r="CT556" t="str">
            <v>單 位</v>
          </cell>
          <cell r="CU556" t="str">
            <v>數  量</v>
          </cell>
          <cell r="CV556" t="str">
            <v>單   價</v>
          </cell>
          <cell r="CW556" t="str">
            <v>總    價</v>
          </cell>
          <cell r="CX556" t="str">
            <v>備    註</v>
          </cell>
        </row>
        <row r="557">
          <cell r="CQ557" t="str">
            <v>一般技工</v>
          </cell>
          <cell r="CS557" t="str">
            <v xml:space="preserve"> </v>
          </cell>
          <cell r="CT557" t="str">
            <v>工</v>
          </cell>
          <cell r="CU557">
            <v>0.06</v>
          </cell>
          <cell r="CV557">
            <v>720</v>
          </cell>
          <cell r="CW557">
            <v>43.2</v>
          </cell>
          <cell r="CX557" t="str">
            <v xml:space="preserve"> </v>
          </cell>
        </row>
        <row r="558">
          <cell r="CU558" t="str">
            <v xml:space="preserve"> </v>
          </cell>
        </row>
        <row r="559">
          <cell r="CQ559" t="str">
            <v>普通工</v>
          </cell>
          <cell r="CS559" t="str">
            <v xml:space="preserve"> </v>
          </cell>
          <cell r="CT559" t="str">
            <v>工</v>
          </cell>
          <cell r="CU559">
            <v>0.18</v>
          </cell>
          <cell r="CV559">
            <v>530</v>
          </cell>
          <cell r="CW559">
            <v>95.4</v>
          </cell>
        </row>
        <row r="561">
          <cell r="CQ561" t="str">
            <v>預拌混凝土</v>
          </cell>
          <cell r="CS561" t="str">
            <v xml:space="preserve"> </v>
          </cell>
          <cell r="CT561" t="str">
            <v>m3</v>
          </cell>
          <cell r="CU561">
            <v>1</v>
          </cell>
          <cell r="CV561" t="str">
            <v xml:space="preserve"> </v>
          </cell>
          <cell r="CW561" t="str">
            <v xml:space="preserve"> </v>
          </cell>
          <cell r="CX561" t="str">
            <v>材料費另計</v>
          </cell>
        </row>
        <row r="563">
          <cell r="CQ563" t="str">
            <v>機具費(輸送設備及振動機)</v>
          </cell>
          <cell r="CT563" t="str">
            <v>式</v>
          </cell>
          <cell r="CU563">
            <v>1</v>
          </cell>
          <cell r="CV563" t="str">
            <v xml:space="preserve"> </v>
          </cell>
          <cell r="CW563">
            <v>57.25</v>
          </cell>
          <cell r="CX563" t="str">
            <v xml:space="preserve"> </v>
          </cell>
        </row>
        <row r="565">
          <cell r="CQ565" t="str">
            <v>工具搬運及損耗</v>
          </cell>
          <cell r="CS565" t="str">
            <v xml:space="preserve"> </v>
          </cell>
          <cell r="CT565" t="str">
            <v>式</v>
          </cell>
          <cell r="CU565">
            <v>1</v>
          </cell>
          <cell r="CV565" t="str">
            <v xml:space="preserve"> </v>
          </cell>
          <cell r="CW565">
            <v>4.1500000000000004</v>
          </cell>
          <cell r="CX565" t="str">
            <v>約工資部份3%</v>
          </cell>
        </row>
        <row r="566">
          <cell r="CQ566" t="str">
            <v xml:space="preserve"> </v>
          </cell>
          <cell r="CT566" t="str">
            <v xml:space="preserve"> </v>
          </cell>
          <cell r="CU566" t="str">
            <v xml:space="preserve"> </v>
          </cell>
          <cell r="CW566" t="str">
            <v xml:space="preserve"> </v>
          </cell>
        </row>
        <row r="567">
          <cell r="CQ567" t="str">
            <v xml:space="preserve"> </v>
          </cell>
          <cell r="CR567" t="str">
            <v xml:space="preserve"> </v>
          </cell>
          <cell r="CT567" t="str">
            <v xml:space="preserve"> </v>
          </cell>
          <cell r="CU567" t="str">
            <v>小計</v>
          </cell>
          <cell r="CV567" t="str">
            <v xml:space="preserve"> </v>
          </cell>
          <cell r="CW567">
            <v>200</v>
          </cell>
        </row>
        <row r="568">
          <cell r="CQ568" t="str">
            <v xml:space="preserve"> </v>
          </cell>
          <cell r="CR568" t="str">
            <v xml:space="preserve"> </v>
          </cell>
          <cell r="CS568" t="str">
            <v xml:space="preserve"> </v>
          </cell>
          <cell r="CT568" t="str">
            <v xml:space="preserve"> </v>
          </cell>
          <cell r="CU568" t="str">
            <v xml:space="preserve"> </v>
          </cell>
          <cell r="CV568" t="str">
            <v xml:space="preserve"> </v>
          </cell>
          <cell r="CW568" t="str">
            <v xml:space="preserve"> </v>
          </cell>
          <cell r="CX568" t="str">
            <v xml:space="preserve"> </v>
          </cell>
        </row>
        <row r="569">
          <cell r="CV569" t="str">
            <v xml:space="preserve"> </v>
          </cell>
          <cell r="CW569" t="str">
            <v xml:space="preserve"> </v>
          </cell>
          <cell r="CX569" t="str">
            <v xml:space="preserve"> </v>
          </cell>
        </row>
        <row r="570">
          <cell r="CQ570" t="str">
            <v xml:space="preserve"> </v>
          </cell>
          <cell r="CS570" t="str">
            <v xml:space="preserve"> </v>
          </cell>
          <cell r="CT570" t="str">
            <v xml:space="preserve"> </v>
          </cell>
          <cell r="CU570" t="str">
            <v xml:space="preserve"> </v>
          </cell>
        </row>
        <row r="571">
          <cell r="CQ571" t="str">
            <v xml:space="preserve"> </v>
          </cell>
          <cell r="CR571" t="str">
            <v xml:space="preserve"> </v>
          </cell>
          <cell r="CS571" t="str">
            <v xml:space="preserve"> </v>
          </cell>
          <cell r="CT571" t="str">
            <v xml:space="preserve"> </v>
          </cell>
          <cell r="CU571" t="str">
            <v xml:space="preserve"> </v>
          </cell>
          <cell r="CV571" t="str">
            <v xml:space="preserve"> </v>
          </cell>
        </row>
        <row r="573">
          <cell r="CQ573" t="str">
            <v xml:space="preserve"> </v>
          </cell>
          <cell r="CR573" t="str">
            <v>每</v>
          </cell>
          <cell r="CS573" t="str">
            <v>m3</v>
          </cell>
          <cell r="CT573" t="str">
            <v>單 價 計</v>
          </cell>
          <cell r="CV573" t="str">
            <v xml:space="preserve"> </v>
          </cell>
          <cell r="CW573">
            <v>200</v>
          </cell>
          <cell r="CX573" t="str">
            <v xml:space="preserve"> </v>
          </cell>
        </row>
        <row r="576">
          <cell r="CQ576" t="str">
            <v>編號:</v>
          </cell>
          <cell r="CR576" t="str">
            <v xml:space="preserve"> </v>
          </cell>
          <cell r="CS576" t="str">
            <v>工 程 項 目</v>
          </cell>
          <cell r="CU576" t="str">
            <v>210kg/cm2預拌混凝土澆置費</v>
          </cell>
          <cell r="CW576" t="str">
            <v>單    位</v>
          </cell>
          <cell r="CX576" t="str">
            <v>m3</v>
          </cell>
        </row>
        <row r="577">
          <cell r="CQ577" t="str">
            <v>工   程   項   目</v>
          </cell>
          <cell r="CS577" t="str">
            <v>說 明</v>
          </cell>
          <cell r="CT577" t="str">
            <v>單 位</v>
          </cell>
          <cell r="CU577" t="str">
            <v>數  量</v>
          </cell>
          <cell r="CV577" t="str">
            <v>單   價</v>
          </cell>
          <cell r="CW577" t="str">
            <v>總    價</v>
          </cell>
          <cell r="CX577" t="str">
            <v>備    註</v>
          </cell>
        </row>
        <row r="578">
          <cell r="CQ578" t="str">
            <v>一般技工</v>
          </cell>
          <cell r="CS578" t="str">
            <v xml:space="preserve"> </v>
          </cell>
          <cell r="CT578" t="str">
            <v>工</v>
          </cell>
          <cell r="CU578">
            <v>0.08</v>
          </cell>
          <cell r="CV578">
            <v>720</v>
          </cell>
          <cell r="CW578">
            <v>57.6</v>
          </cell>
        </row>
        <row r="580">
          <cell r="CQ580" t="str">
            <v>普通工</v>
          </cell>
          <cell r="CS580" t="str">
            <v xml:space="preserve"> </v>
          </cell>
          <cell r="CT580" t="str">
            <v>工</v>
          </cell>
          <cell r="CU580">
            <v>0.23</v>
          </cell>
          <cell r="CV580">
            <v>530</v>
          </cell>
          <cell r="CW580">
            <v>121.9</v>
          </cell>
        </row>
        <row r="582">
          <cell r="CQ582" t="str">
            <v>預拌混凝土</v>
          </cell>
          <cell r="CS582" t="str">
            <v xml:space="preserve"> </v>
          </cell>
          <cell r="CT582" t="str">
            <v>m3</v>
          </cell>
          <cell r="CU582">
            <v>1</v>
          </cell>
          <cell r="CV582" t="str">
            <v xml:space="preserve"> </v>
          </cell>
          <cell r="CW582" t="str">
            <v xml:space="preserve"> </v>
          </cell>
          <cell r="CX582" t="str">
            <v>材料費另計</v>
          </cell>
        </row>
        <row r="584">
          <cell r="CQ584" t="str">
            <v>機具費(輸送設備及振動機)</v>
          </cell>
          <cell r="CT584" t="str">
            <v>式</v>
          </cell>
          <cell r="CU584">
            <v>1</v>
          </cell>
          <cell r="CV584" t="str">
            <v xml:space="preserve"> </v>
          </cell>
          <cell r="CW584">
            <v>61.1</v>
          </cell>
          <cell r="CX584" t="str">
            <v xml:space="preserve"> </v>
          </cell>
        </row>
        <row r="586">
          <cell r="CQ586" t="str">
            <v>工具搬運及損耗</v>
          </cell>
          <cell r="CS586" t="str">
            <v xml:space="preserve"> </v>
          </cell>
          <cell r="CT586" t="str">
            <v>式</v>
          </cell>
          <cell r="CU586">
            <v>1</v>
          </cell>
          <cell r="CV586" t="str">
            <v xml:space="preserve"> </v>
          </cell>
          <cell r="CW586">
            <v>5.4</v>
          </cell>
          <cell r="CX586" t="str">
            <v>約工資部份3%</v>
          </cell>
        </row>
        <row r="587">
          <cell r="CQ587" t="str">
            <v xml:space="preserve"> </v>
          </cell>
          <cell r="CS587" t="str">
            <v xml:space="preserve"> </v>
          </cell>
          <cell r="CT587" t="str">
            <v xml:space="preserve"> </v>
          </cell>
          <cell r="CU587" t="str">
            <v xml:space="preserve"> </v>
          </cell>
          <cell r="CW587" t="str">
            <v xml:space="preserve"> </v>
          </cell>
        </row>
        <row r="588">
          <cell r="CQ588" t="str">
            <v xml:space="preserve"> </v>
          </cell>
          <cell r="CR588" t="str">
            <v xml:space="preserve"> </v>
          </cell>
          <cell r="CS588" t="str">
            <v xml:space="preserve"> </v>
          </cell>
          <cell r="CT588" t="str">
            <v xml:space="preserve"> </v>
          </cell>
          <cell r="CU588" t="str">
            <v>小計</v>
          </cell>
          <cell r="CV588" t="str">
            <v xml:space="preserve"> </v>
          </cell>
          <cell r="CW588">
            <v>246</v>
          </cell>
        </row>
        <row r="589">
          <cell r="CQ589" t="str">
            <v xml:space="preserve"> </v>
          </cell>
          <cell r="CR589" t="str">
            <v xml:space="preserve"> </v>
          </cell>
          <cell r="CS589" t="str">
            <v xml:space="preserve"> </v>
          </cell>
          <cell r="CT589" t="str">
            <v xml:space="preserve"> </v>
          </cell>
          <cell r="CU589" t="str">
            <v xml:space="preserve"> </v>
          </cell>
          <cell r="CV589" t="str">
            <v xml:space="preserve"> </v>
          </cell>
        </row>
        <row r="590">
          <cell r="CV590" t="str">
            <v xml:space="preserve"> </v>
          </cell>
        </row>
        <row r="591">
          <cell r="CQ591" t="str">
            <v xml:space="preserve"> </v>
          </cell>
          <cell r="CR591" t="str">
            <v xml:space="preserve"> </v>
          </cell>
          <cell r="CS591" t="str">
            <v xml:space="preserve"> </v>
          </cell>
          <cell r="CT591" t="str">
            <v xml:space="preserve"> </v>
          </cell>
          <cell r="CU591" t="str">
            <v xml:space="preserve"> </v>
          </cell>
        </row>
        <row r="592">
          <cell r="CQ592" t="str">
            <v xml:space="preserve"> </v>
          </cell>
          <cell r="CS592" t="str">
            <v xml:space="preserve"> </v>
          </cell>
          <cell r="CT592" t="str">
            <v xml:space="preserve"> </v>
          </cell>
          <cell r="CU592" t="str">
            <v xml:space="preserve"> </v>
          </cell>
          <cell r="CV592" t="str">
            <v xml:space="preserve"> </v>
          </cell>
        </row>
        <row r="594">
          <cell r="CQ594" t="str">
            <v xml:space="preserve"> </v>
          </cell>
          <cell r="CR594" t="str">
            <v>每</v>
          </cell>
          <cell r="CS594" t="str">
            <v>m3</v>
          </cell>
          <cell r="CT594" t="str">
            <v>單 價 計</v>
          </cell>
          <cell r="CV594" t="str">
            <v xml:space="preserve"> </v>
          </cell>
          <cell r="CW594">
            <v>246</v>
          </cell>
          <cell r="CX594" t="str">
            <v xml:space="preserve"> </v>
          </cell>
        </row>
        <row r="597">
          <cell r="CQ597" t="str">
            <v>號數:</v>
          </cell>
          <cell r="CR597" t="str">
            <v xml:space="preserve"> </v>
          </cell>
          <cell r="CS597" t="str">
            <v>工 程 項 目</v>
          </cell>
          <cell r="CU597" t="str">
            <v>機拌140kg/cm2混凝土</v>
          </cell>
          <cell r="CW597" t="str">
            <v xml:space="preserve">  單    位</v>
          </cell>
          <cell r="CX597" t="str">
            <v>m3</v>
          </cell>
        </row>
        <row r="598">
          <cell r="CQ598" t="str">
            <v xml:space="preserve"> 工   程   項   目</v>
          </cell>
          <cell r="CS598" t="str">
            <v xml:space="preserve"> 說 明</v>
          </cell>
          <cell r="CT598" t="str">
            <v xml:space="preserve"> 單 位</v>
          </cell>
          <cell r="CU598" t="str">
            <v xml:space="preserve"> 數  量</v>
          </cell>
          <cell r="CV598" t="str">
            <v xml:space="preserve">  單  價</v>
          </cell>
          <cell r="CW598" t="str">
            <v xml:space="preserve">  總    價 </v>
          </cell>
        </row>
        <row r="599">
          <cell r="CQ599" t="str">
            <v>淨砂</v>
          </cell>
          <cell r="CS599" t="str">
            <v xml:space="preserve"> </v>
          </cell>
          <cell r="CT599" t="str">
            <v>m3</v>
          </cell>
          <cell r="CU599">
            <v>0.45</v>
          </cell>
          <cell r="CV599">
            <v>489</v>
          </cell>
          <cell r="CW599">
            <v>220.05</v>
          </cell>
        </row>
        <row r="601">
          <cell r="CQ601" t="str">
            <v>洗石子</v>
          </cell>
          <cell r="CS601" t="str">
            <v xml:space="preserve"> </v>
          </cell>
          <cell r="CT601" t="str">
            <v>m3</v>
          </cell>
          <cell r="CU601">
            <v>0.9</v>
          </cell>
          <cell r="CV601">
            <v>346</v>
          </cell>
          <cell r="CW601">
            <v>311.39999999999998</v>
          </cell>
        </row>
        <row r="603">
          <cell r="CQ603" t="str">
            <v>柴油</v>
          </cell>
          <cell r="CT603" t="str">
            <v>公升</v>
          </cell>
          <cell r="CU603">
            <v>0.5</v>
          </cell>
          <cell r="CV603">
            <v>14.25</v>
          </cell>
          <cell r="CW603">
            <v>7.13</v>
          </cell>
        </row>
        <row r="605">
          <cell r="CQ605" t="str">
            <v>一般技工</v>
          </cell>
          <cell r="CS605" t="str">
            <v xml:space="preserve"> </v>
          </cell>
          <cell r="CT605" t="str">
            <v>工</v>
          </cell>
          <cell r="CU605">
            <v>0.1</v>
          </cell>
          <cell r="CV605">
            <v>720</v>
          </cell>
          <cell r="CW605">
            <v>72</v>
          </cell>
        </row>
        <row r="607">
          <cell r="CQ607" t="str">
            <v>普通工</v>
          </cell>
          <cell r="CS607" t="str">
            <v xml:space="preserve"> </v>
          </cell>
          <cell r="CT607" t="str">
            <v>工</v>
          </cell>
          <cell r="CU607">
            <v>0.65</v>
          </cell>
          <cell r="CV607">
            <v>530</v>
          </cell>
          <cell r="CW607">
            <v>344.5</v>
          </cell>
          <cell r="CX607" t="str">
            <v xml:space="preserve"> </v>
          </cell>
        </row>
        <row r="609">
          <cell r="CQ609" t="str">
            <v>水泥</v>
          </cell>
          <cell r="CR609" t="str">
            <v xml:space="preserve"> </v>
          </cell>
          <cell r="CS609" t="str">
            <v xml:space="preserve"> </v>
          </cell>
          <cell r="CT609" t="str">
            <v>包</v>
          </cell>
          <cell r="CU609">
            <v>4.5</v>
          </cell>
          <cell r="CV609" t="str">
            <v xml:space="preserve"> </v>
          </cell>
          <cell r="CW609" t="str">
            <v xml:space="preserve"> </v>
          </cell>
          <cell r="CX609" t="str">
            <v>材料費另計</v>
          </cell>
        </row>
        <row r="610">
          <cell r="CQ610" t="str">
            <v xml:space="preserve"> </v>
          </cell>
          <cell r="CR610" t="str">
            <v xml:space="preserve"> </v>
          </cell>
          <cell r="CS610" t="str">
            <v xml:space="preserve"> </v>
          </cell>
          <cell r="CT610" t="str">
            <v xml:space="preserve"> </v>
          </cell>
          <cell r="CU610" t="str">
            <v xml:space="preserve"> </v>
          </cell>
          <cell r="CV610" t="str">
            <v xml:space="preserve"> </v>
          </cell>
        </row>
        <row r="611">
          <cell r="CQ611" t="str">
            <v>機具費</v>
          </cell>
          <cell r="CT611" t="str">
            <v>式</v>
          </cell>
          <cell r="CU611">
            <v>1</v>
          </cell>
          <cell r="CV611" t="str">
            <v xml:space="preserve"> </v>
          </cell>
          <cell r="CW611">
            <v>71.3</v>
          </cell>
          <cell r="CX611" t="str">
            <v>約燃料費10倍</v>
          </cell>
        </row>
        <row r="613">
          <cell r="CU613" t="str">
            <v>小計</v>
          </cell>
          <cell r="CV613" t="str">
            <v xml:space="preserve"> </v>
          </cell>
          <cell r="CW613">
            <v>1026.3800000000001</v>
          </cell>
        </row>
        <row r="615">
          <cell r="CQ615" t="str">
            <v xml:space="preserve"> </v>
          </cell>
          <cell r="CR615" t="str">
            <v>每</v>
          </cell>
          <cell r="CS615" t="str">
            <v>m3</v>
          </cell>
          <cell r="CT615" t="str">
            <v>單 價 計</v>
          </cell>
          <cell r="CV615" t="str">
            <v xml:space="preserve"> </v>
          </cell>
          <cell r="CW615">
            <v>1026.3800000000001</v>
          </cell>
          <cell r="CX615" t="str">
            <v xml:space="preserve"> </v>
          </cell>
        </row>
        <row r="618">
          <cell r="CQ618" t="str">
            <v xml:space="preserve"> 號數 :  </v>
          </cell>
          <cell r="CR618">
            <v>0</v>
          </cell>
          <cell r="CS618" t="str">
            <v>工 程 項 目</v>
          </cell>
          <cell r="CU618" t="str">
            <v>排塊石</v>
          </cell>
          <cell r="CW618" t="str">
            <v>單    位</v>
          </cell>
          <cell r="CX618" t="str">
            <v></v>
          </cell>
        </row>
        <row r="619">
          <cell r="CQ619" t="str">
            <v>工   程   項   目</v>
          </cell>
          <cell r="CS619" t="str">
            <v>說 明</v>
          </cell>
          <cell r="CT619" t="str">
            <v>單 位</v>
          </cell>
          <cell r="CU619" t="str">
            <v>數  量</v>
          </cell>
          <cell r="CV619" t="str">
            <v>單   價</v>
          </cell>
          <cell r="CW619" t="str">
            <v>總    價</v>
          </cell>
          <cell r="CX619" t="str">
            <v>備    註</v>
          </cell>
        </row>
        <row r="620">
          <cell r="CQ620" t="str">
            <v>塊石</v>
          </cell>
          <cell r="CS620" t="str">
            <v>長徑約φ20cm</v>
          </cell>
          <cell r="CT620" t="str">
            <v></v>
          </cell>
          <cell r="CU620">
            <v>0.2</v>
          </cell>
          <cell r="CV620">
            <v>349</v>
          </cell>
          <cell r="CW620">
            <v>69.8</v>
          </cell>
        </row>
        <row r="621">
          <cell r="CQ621" t="str">
            <v>洗石子</v>
          </cell>
          <cell r="CS621" t="str">
            <v>填隙石子</v>
          </cell>
          <cell r="CT621" t="str">
            <v></v>
          </cell>
          <cell r="CU621">
            <v>0.06</v>
          </cell>
          <cell r="CV621">
            <v>0</v>
          </cell>
          <cell r="CW621">
            <v>0</v>
          </cell>
        </row>
        <row r="622">
          <cell r="CQ622" t="str">
            <v>一般技工</v>
          </cell>
          <cell r="CT622" t="str">
            <v>工</v>
          </cell>
          <cell r="CU622">
            <v>0.05</v>
          </cell>
          <cell r="CV622">
            <v>720</v>
          </cell>
          <cell r="CW622">
            <v>36</v>
          </cell>
        </row>
        <row r="623">
          <cell r="CQ623" t="str">
            <v>普通工</v>
          </cell>
          <cell r="CT623" t="str">
            <v>工</v>
          </cell>
          <cell r="CU623">
            <v>0.08</v>
          </cell>
          <cell r="CV623">
            <v>530</v>
          </cell>
          <cell r="CW623">
            <v>42.4</v>
          </cell>
        </row>
        <row r="624">
          <cell r="CQ624" t="str">
            <v>工具搬運及損耗</v>
          </cell>
          <cell r="CS624" t="str">
            <v>約工資之2%</v>
          </cell>
          <cell r="CT624" t="str">
            <v>式</v>
          </cell>
          <cell r="CU624">
            <v>1</v>
          </cell>
          <cell r="CV624">
            <v>1.6</v>
          </cell>
          <cell r="CW624">
            <v>1.6</v>
          </cell>
          <cell r="CX624" t="str">
            <v xml:space="preserve"> </v>
          </cell>
        </row>
        <row r="626">
          <cell r="CU626" t="str">
            <v>小計</v>
          </cell>
          <cell r="CV626" t="str">
            <v xml:space="preserve"> </v>
          </cell>
          <cell r="CW626">
            <v>149.79999999999998</v>
          </cell>
        </row>
        <row r="629">
          <cell r="CQ629" t="str">
            <v xml:space="preserve"> </v>
          </cell>
          <cell r="CS629" t="str">
            <v xml:space="preserve"> </v>
          </cell>
          <cell r="CT629" t="str">
            <v xml:space="preserve"> </v>
          </cell>
          <cell r="CU629" t="str">
            <v xml:space="preserve"> </v>
          </cell>
        </row>
        <row r="631">
          <cell r="CQ631" t="str">
            <v xml:space="preserve"> </v>
          </cell>
          <cell r="CR631" t="str">
            <v xml:space="preserve"> </v>
          </cell>
          <cell r="CS631" t="str">
            <v xml:space="preserve"> </v>
          </cell>
          <cell r="CT631" t="str">
            <v xml:space="preserve"> </v>
          </cell>
          <cell r="CU631" t="str">
            <v xml:space="preserve"> </v>
          </cell>
          <cell r="CV631" t="str">
            <v xml:space="preserve"> </v>
          </cell>
          <cell r="CW631" t="str">
            <v xml:space="preserve"> </v>
          </cell>
          <cell r="CX631" t="str">
            <v xml:space="preserve"> </v>
          </cell>
        </row>
        <row r="633">
          <cell r="CQ633" t="str">
            <v xml:space="preserve"> </v>
          </cell>
          <cell r="CR633" t="str">
            <v xml:space="preserve"> </v>
          </cell>
          <cell r="CS633" t="str">
            <v xml:space="preserve"> </v>
          </cell>
          <cell r="CT633" t="str">
            <v xml:space="preserve"> </v>
          </cell>
          <cell r="CU633" t="str">
            <v xml:space="preserve"> </v>
          </cell>
          <cell r="CV633" t="str">
            <v xml:space="preserve"> </v>
          </cell>
        </row>
        <row r="634">
          <cell r="CQ634" t="str">
            <v xml:space="preserve"> </v>
          </cell>
          <cell r="CR634" t="str">
            <v xml:space="preserve"> </v>
          </cell>
          <cell r="CS634" t="str">
            <v xml:space="preserve"> </v>
          </cell>
          <cell r="CT634" t="str">
            <v xml:space="preserve"> </v>
          </cell>
          <cell r="CU634" t="str">
            <v xml:space="preserve"> </v>
          </cell>
          <cell r="CV634" t="str">
            <v xml:space="preserve"> </v>
          </cell>
        </row>
        <row r="636">
          <cell r="CQ636" t="str">
            <v xml:space="preserve"> </v>
          </cell>
          <cell r="CR636" t="str">
            <v>每</v>
          </cell>
          <cell r="CS636" t="str">
            <v></v>
          </cell>
          <cell r="CT636" t="str">
            <v>單 價 計</v>
          </cell>
          <cell r="CV636" t="str">
            <v xml:space="preserve"> </v>
          </cell>
          <cell r="CW636">
            <v>149.79999999999998</v>
          </cell>
        </row>
        <row r="639">
          <cell r="CQ639" t="str">
            <v>號數:</v>
          </cell>
          <cell r="CR639" t="str">
            <v xml:space="preserve"> </v>
          </cell>
          <cell r="CS639" t="str">
            <v>工 程 項 目</v>
          </cell>
          <cell r="CU639" t="str">
            <v>機拌210kg/cm2混凝土</v>
          </cell>
          <cell r="CW639" t="str">
            <v xml:space="preserve">  單    位</v>
          </cell>
          <cell r="CX639" t="str">
            <v>m3</v>
          </cell>
        </row>
        <row r="640">
          <cell r="CQ640" t="str">
            <v xml:space="preserve"> 工   程   項   目</v>
          </cell>
          <cell r="CS640" t="str">
            <v xml:space="preserve"> 說 明</v>
          </cell>
          <cell r="CT640" t="str">
            <v xml:space="preserve"> 單 位</v>
          </cell>
          <cell r="CU640" t="str">
            <v xml:space="preserve"> 數  量</v>
          </cell>
          <cell r="CV640" t="str">
            <v xml:space="preserve">  單  價</v>
          </cell>
          <cell r="CW640" t="str">
            <v xml:space="preserve">  總    價 </v>
          </cell>
        </row>
        <row r="641">
          <cell r="CQ641" t="str">
            <v>淨砂</v>
          </cell>
          <cell r="CS641" t="str">
            <v xml:space="preserve"> </v>
          </cell>
          <cell r="CT641" t="str">
            <v>m3</v>
          </cell>
          <cell r="CU641">
            <v>0.43</v>
          </cell>
          <cell r="CV641">
            <v>489</v>
          </cell>
          <cell r="CW641">
            <v>210.27</v>
          </cell>
        </row>
        <row r="643">
          <cell r="CQ643" t="str">
            <v>洗石子</v>
          </cell>
          <cell r="CS643" t="str">
            <v xml:space="preserve"> </v>
          </cell>
          <cell r="CT643" t="str">
            <v>m3</v>
          </cell>
          <cell r="CU643">
            <v>0.86</v>
          </cell>
          <cell r="CV643">
            <v>346</v>
          </cell>
          <cell r="CW643">
            <v>297.56</v>
          </cell>
        </row>
        <row r="645">
          <cell r="CQ645" t="str">
            <v>柴油</v>
          </cell>
          <cell r="CT645" t="str">
            <v>公升</v>
          </cell>
          <cell r="CU645">
            <v>0.6</v>
          </cell>
          <cell r="CV645">
            <v>14.25</v>
          </cell>
          <cell r="CW645">
            <v>8.5500000000000007</v>
          </cell>
        </row>
        <row r="647">
          <cell r="CQ647" t="str">
            <v>一般技工</v>
          </cell>
          <cell r="CS647" t="str">
            <v xml:space="preserve"> </v>
          </cell>
          <cell r="CT647" t="str">
            <v>工</v>
          </cell>
          <cell r="CU647">
            <v>0.1</v>
          </cell>
          <cell r="CV647">
            <v>720</v>
          </cell>
          <cell r="CW647">
            <v>72</v>
          </cell>
        </row>
        <row r="649">
          <cell r="CQ649" t="str">
            <v>普通工</v>
          </cell>
          <cell r="CS649" t="str">
            <v xml:space="preserve"> </v>
          </cell>
          <cell r="CT649" t="str">
            <v>工</v>
          </cell>
          <cell r="CU649">
            <v>0.7</v>
          </cell>
          <cell r="CV649">
            <v>530</v>
          </cell>
          <cell r="CW649">
            <v>371</v>
          </cell>
          <cell r="CX649" t="str">
            <v xml:space="preserve"> </v>
          </cell>
        </row>
        <row r="651">
          <cell r="CQ651" t="str">
            <v>水泥</v>
          </cell>
          <cell r="CR651" t="str">
            <v xml:space="preserve"> </v>
          </cell>
          <cell r="CS651" t="str">
            <v xml:space="preserve"> </v>
          </cell>
          <cell r="CT651" t="str">
            <v>包</v>
          </cell>
          <cell r="CU651">
            <v>6.4</v>
          </cell>
          <cell r="CV651" t="str">
            <v xml:space="preserve"> </v>
          </cell>
          <cell r="CW651" t="str">
            <v xml:space="preserve"> </v>
          </cell>
          <cell r="CX651" t="str">
            <v>材料費另計</v>
          </cell>
        </row>
        <row r="652">
          <cell r="CQ652" t="str">
            <v xml:space="preserve"> </v>
          </cell>
          <cell r="CR652" t="str">
            <v xml:space="preserve"> </v>
          </cell>
          <cell r="CS652" t="str">
            <v xml:space="preserve"> </v>
          </cell>
          <cell r="CT652" t="str">
            <v xml:space="preserve"> </v>
          </cell>
          <cell r="CU652" t="str">
            <v xml:space="preserve"> </v>
          </cell>
          <cell r="CV652" t="str">
            <v xml:space="preserve"> </v>
          </cell>
        </row>
        <row r="653">
          <cell r="CQ653" t="str">
            <v>機具費</v>
          </cell>
          <cell r="CT653" t="str">
            <v>式</v>
          </cell>
          <cell r="CU653">
            <v>1</v>
          </cell>
          <cell r="CV653" t="str">
            <v xml:space="preserve"> </v>
          </cell>
          <cell r="CW653">
            <v>85.5</v>
          </cell>
          <cell r="CX653" t="str">
            <v>約燃料費10倍</v>
          </cell>
        </row>
        <row r="655">
          <cell r="CU655" t="str">
            <v>小計</v>
          </cell>
          <cell r="CV655" t="str">
            <v xml:space="preserve"> </v>
          </cell>
          <cell r="CW655">
            <v>1044.8800000000001</v>
          </cell>
        </row>
        <row r="657">
          <cell r="CQ657" t="str">
            <v xml:space="preserve"> </v>
          </cell>
          <cell r="CR657" t="str">
            <v>每</v>
          </cell>
          <cell r="CS657" t="str">
            <v>m3</v>
          </cell>
          <cell r="CT657" t="str">
            <v>單 價 計</v>
          </cell>
          <cell r="CV657" t="str">
            <v xml:space="preserve"> </v>
          </cell>
          <cell r="CW657">
            <v>1044.8800000000001</v>
          </cell>
          <cell r="CX657" t="str">
            <v xml:space="preserve"> </v>
          </cell>
        </row>
        <row r="660">
          <cell r="CQ660" t="str">
            <v>編號:</v>
          </cell>
          <cell r="CR660" t="str">
            <v xml:space="preserve"> </v>
          </cell>
          <cell r="CS660" t="str">
            <v>工 程 項 目</v>
          </cell>
          <cell r="CU660" t="str">
            <v>軀體模板製作及裝拆(裸露)</v>
          </cell>
          <cell r="CW660" t="str">
            <v>單    位</v>
          </cell>
          <cell r="CX660" t="str">
            <v>m2</v>
          </cell>
        </row>
        <row r="661">
          <cell r="CQ661" t="str">
            <v>工   程   項   目</v>
          </cell>
          <cell r="CS661" t="str">
            <v>說 明</v>
          </cell>
          <cell r="CT661" t="str">
            <v>單 位</v>
          </cell>
          <cell r="CU661" t="str">
            <v>數  量</v>
          </cell>
          <cell r="CV661" t="str">
            <v>單   價</v>
          </cell>
          <cell r="CW661" t="str">
            <v>總    價</v>
          </cell>
          <cell r="CX661" t="str">
            <v>備    註</v>
          </cell>
        </row>
        <row r="662">
          <cell r="CQ662" t="str">
            <v>板材</v>
          </cell>
          <cell r="CS662" t="str">
            <v xml:space="preserve"> </v>
          </cell>
          <cell r="CT662" t="str">
            <v>m3</v>
          </cell>
          <cell r="CU662">
            <v>0.02</v>
          </cell>
          <cell r="CV662">
            <v>2200</v>
          </cell>
          <cell r="CW662">
            <v>44</v>
          </cell>
          <cell r="CX662" t="str">
            <v>使用6-8次</v>
          </cell>
        </row>
        <row r="664">
          <cell r="CQ664" t="str">
            <v>木料(角材)</v>
          </cell>
          <cell r="CS664" t="str">
            <v xml:space="preserve"> </v>
          </cell>
          <cell r="CT664" t="str">
            <v>m3</v>
          </cell>
          <cell r="CU664">
            <v>0.03</v>
          </cell>
          <cell r="CV664">
            <v>35</v>
          </cell>
          <cell r="CW664">
            <v>1.05</v>
          </cell>
          <cell r="CX664" t="str">
            <v>使用8-10次</v>
          </cell>
        </row>
        <row r="666">
          <cell r="CQ666" t="str">
            <v>圓木</v>
          </cell>
          <cell r="CS666" t="str">
            <v>支撐</v>
          </cell>
          <cell r="CT666" t="str">
            <v>m3</v>
          </cell>
          <cell r="CU666">
            <v>2.5000000000000001E-2</v>
          </cell>
          <cell r="CV666">
            <v>1500</v>
          </cell>
          <cell r="CW666">
            <v>37.5</v>
          </cell>
          <cell r="CX666" t="str">
            <v>使用8-10次</v>
          </cell>
        </row>
        <row r="668">
          <cell r="CQ668" t="str">
            <v>鐵件</v>
          </cell>
          <cell r="CT668" t="str">
            <v>kg</v>
          </cell>
          <cell r="CU668">
            <v>0.6</v>
          </cell>
          <cell r="CV668">
            <v>20</v>
          </cell>
          <cell r="CW668">
            <v>12</v>
          </cell>
          <cell r="CX668" t="str">
            <v xml:space="preserve"> </v>
          </cell>
        </row>
        <row r="670">
          <cell r="CQ670" t="str">
            <v>一般技工</v>
          </cell>
          <cell r="CS670" t="str">
            <v>製造</v>
          </cell>
          <cell r="CT670" t="str">
            <v>工</v>
          </cell>
          <cell r="CU670">
            <v>0.215</v>
          </cell>
          <cell r="CV670">
            <v>720</v>
          </cell>
          <cell r="CW670">
            <v>154.80000000000001</v>
          </cell>
        </row>
        <row r="671">
          <cell r="CS671" t="str">
            <v>裝卸</v>
          </cell>
        </row>
        <row r="672">
          <cell r="CQ672" t="str">
            <v>普通工</v>
          </cell>
          <cell r="CT672" t="str">
            <v>工</v>
          </cell>
          <cell r="CU672">
            <v>4.4999999999999998E-2</v>
          </cell>
          <cell r="CV672">
            <v>530</v>
          </cell>
          <cell r="CW672">
            <v>23.85</v>
          </cell>
        </row>
        <row r="674">
          <cell r="CQ674" t="str">
            <v>防水夾板</v>
          </cell>
          <cell r="CS674" t="str">
            <v>3mm</v>
          </cell>
          <cell r="CT674" t="str">
            <v>m2</v>
          </cell>
          <cell r="CU674">
            <v>1</v>
          </cell>
          <cell r="CV674">
            <v>30</v>
          </cell>
          <cell r="CW674">
            <v>30</v>
          </cell>
          <cell r="CX674" t="str">
            <v>使用3次</v>
          </cell>
        </row>
        <row r="675">
          <cell r="CW675" t="str">
            <v xml:space="preserve"> </v>
          </cell>
        </row>
        <row r="676">
          <cell r="CQ676" t="str">
            <v>工具損耗及其他</v>
          </cell>
          <cell r="CS676" t="str">
            <v>塗油整理</v>
          </cell>
          <cell r="CT676" t="str">
            <v>式</v>
          </cell>
          <cell r="CU676">
            <v>1</v>
          </cell>
          <cell r="CV676" t="str">
            <v xml:space="preserve"> </v>
          </cell>
          <cell r="CW676">
            <v>2.8</v>
          </cell>
          <cell r="CX676" t="str">
            <v>約工資部份2%</v>
          </cell>
        </row>
        <row r="677">
          <cell r="CQ677" t="str">
            <v xml:space="preserve"> </v>
          </cell>
          <cell r="CR677" t="str">
            <v xml:space="preserve"> </v>
          </cell>
          <cell r="CT677" t="str">
            <v xml:space="preserve"> </v>
          </cell>
          <cell r="CU677" t="str">
            <v>小計</v>
          </cell>
          <cell r="CV677" t="str">
            <v xml:space="preserve"> </v>
          </cell>
          <cell r="CW677">
            <v>306</v>
          </cell>
        </row>
        <row r="678">
          <cell r="CQ678" t="str">
            <v xml:space="preserve"> </v>
          </cell>
          <cell r="CR678" t="str">
            <v>每</v>
          </cell>
          <cell r="CS678" t="str">
            <v>m2</v>
          </cell>
          <cell r="CT678" t="str">
            <v>單 價 計</v>
          </cell>
          <cell r="CV678" t="str">
            <v xml:space="preserve"> </v>
          </cell>
          <cell r="CW678">
            <v>306</v>
          </cell>
        </row>
        <row r="681">
          <cell r="CQ681" t="str">
            <v>編號:</v>
          </cell>
          <cell r="CR681" t="str">
            <v xml:space="preserve"> </v>
          </cell>
          <cell r="CS681" t="str">
            <v>工 程 項 目</v>
          </cell>
          <cell r="CU681" t="str">
            <v>軀體模板製作及裝拆(隱蔽)</v>
          </cell>
          <cell r="CW681" t="str">
            <v>單    位</v>
          </cell>
          <cell r="CX681" t="str">
            <v>m2</v>
          </cell>
        </row>
        <row r="682">
          <cell r="CQ682" t="str">
            <v>工   程   項   目</v>
          </cell>
          <cell r="CS682" t="str">
            <v>說 明</v>
          </cell>
          <cell r="CT682" t="str">
            <v>單 位</v>
          </cell>
          <cell r="CU682" t="str">
            <v>數  量</v>
          </cell>
          <cell r="CV682" t="str">
            <v>單   價</v>
          </cell>
          <cell r="CW682" t="str">
            <v>總    價</v>
          </cell>
          <cell r="CX682" t="str">
            <v>備    註</v>
          </cell>
        </row>
        <row r="683">
          <cell r="CQ683" t="str">
            <v>板材</v>
          </cell>
          <cell r="CS683" t="str">
            <v xml:space="preserve"> </v>
          </cell>
          <cell r="CT683" t="str">
            <v>m3</v>
          </cell>
          <cell r="CU683">
            <v>0.02</v>
          </cell>
          <cell r="CV683">
            <v>2200</v>
          </cell>
          <cell r="CW683">
            <v>44</v>
          </cell>
          <cell r="CX683" t="str">
            <v>使用6-8次</v>
          </cell>
        </row>
        <row r="685">
          <cell r="CQ685" t="str">
            <v>木料(角材)</v>
          </cell>
          <cell r="CS685" t="str">
            <v xml:space="preserve"> </v>
          </cell>
          <cell r="CT685" t="str">
            <v>m3</v>
          </cell>
          <cell r="CU685">
            <v>1.4999999999999999E-2</v>
          </cell>
          <cell r="CV685">
            <v>35</v>
          </cell>
          <cell r="CW685">
            <v>0.53</v>
          </cell>
          <cell r="CX685" t="str">
            <v>使用8-10次</v>
          </cell>
        </row>
        <row r="687">
          <cell r="CQ687" t="str">
            <v>圓木</v>
          </cell>
          <cell r="CS687" t="str">
            <v>支撐</v>
          </cell>
          <cell r="CT687" t="str">
            <v>m3</v>
          </cell>
          <cell r="CU687">
            <v>2.5000000000000001E-2</v>
          </cell>
          <cell r="CV687">
            <v>1500</v>
          </cell>
          <cell r="CW687">
            <v>37.5</v>
          </cell>
          <cell r="CX687" t="str">
            <v>使用8-10次</v>
          </cell>
        </row>
        <row r="689">
          <cell r="CQ689" t="str">
            <v>鐵件</v>
          </cell>
          <cell r="CT689" t="str">
            <v>kg</v>
          </cell>
          <cell r="CU689">
            <v>0.6</v>
          </cell>
          <cell r="CV689">
            <v>20</v>
          </cell>
          <cell r="CW689">
            <v>12</v>
          </cell>
          <cell r="CX689" t="str">
            <v>含支撐鋼筋</v>
          </cell>
        </row>
        <row r="691">
          <cell r="CQ691" t="str">
            <v>一般技工</v>
          </cell>
          <cell r="CS691" t="str">
            <v>製造</v>
          </cell>
          <cell r="CT691" t="str">
            <v>工</v>
          </cell>
          <cell r="CU691">
            <v>0.16</v>
          </cell>
          <cell r="CV691">
            <v>720</v>
          </cell>
          <cell r="CW691">
            <v>115.2</v>
          </cell>
        </row>
        <row r="692">
          <cell r="CS692" t="str">
            <v>裝卸</v>
          </cell>
        </row>
        <row r="693">
          <cell r="CQ693" t="str">
            <v>普通工</v>
          </cell>
          <cell r="CT693" t="str">
            <v>工</v>
          </cell>
          <cell r="CU693">
            <v>0.04</v>
          </cell>
          <cell r="CV693">
            <v>530</v>
          </cell>
          <cell r="CW693">
            <v>21.2</v>
          </cell>
        </row>
        <row r="695">
          <cell r="CQ695" t="str">
            <v>工具損耗及其他</v>
          </cell>
          <cell r="CS695" t="str">
            <v>塗油整理</v>
          </cell>
          <cell r="CT695" t="str">
            <v>式</v>
          </cell>
          <cell r="CU695">
            <v>1</v>
          </cell>
          <cell r="CV695" t="str">
            <v xml:space="preserve"> </v>
          </cell>
          <cell r="CW695">
            <v>2.57</v>
          </cell>
          <cell r="CX695" t="str">
            <v>約工資部份2%</v>
          </cell>
        </row>
        <row r="696">
          <cell r="CW696" t="str">
            <v xml:space="preserve"> </v>
          </cell>
        </row>
        <row r="697">
          <cell r="CU697" t="str">
            <v>小計</v>
          </cell>
          <cell r="CV697" t="str">
            <v xml:space="preserve"> </v>
          </cell>
          <cell r="CW697">
            <v>233</v>
          </cell>
        </row>
        <row r="699">
          <cell r="CQ699" t="str">
            <v xml:space="preserve"> </v>
          </cell>
          <cell r="CR699" t="str">
            <v>每</v>
          </cell>
          <cell r="CS699" t="str">
            <v>m2</v>
          </cell>
          <cell r="CT699" t="str">
            <v>單 價 計</v>
          </cell>
          <cell r="CV699" t="str">
            <v xml:space="preserve"> </v>
          </cell>
          <cell r="CW699">
            <v>233</v>
          </cell>
        </row>
        <row r="702">
          <cell r="CQ702" t="str">
            <v>號數:</v>
          </cell>
          <cell r="CR702" t="str">
            <v xml:space="preserve"> </v>
          </cell>
          <cell r="CS702" t="str">
            <v xml:space="preserve">   工  程  項  目</v>
          </cell>
          <cell r="CU702" t="str">
            <v>結構模板製作及裝拆</v>
          </cell>
          <cell r="CW702" t="str">
            <v xml:space="preserve">  單    位</v>
          </cell>
          <cell r="CX702" t="str">
            <v>m2</v>
          </cell>
        </row>
        <row r="703">
          <cell r="CQ703" t="str">
            <v>工   程   項   目</v>
          </cell>
          <cell r="CS703" t="str">
            <v xml:space="preserve"> 說 明</v>
          </cell>
          <cell r="CT703" t="str">
            <v xml:space="preserve"> 單 位</v>
          </cell>
          <cell r="CU703" t="str">
            <v xml:space="preserve"> 數  量</v>
          </cell>
          <cell r="CV703" t="str">
            <v xml:space="preserve">  單  價</v>
          </cell>
          <cell r="CW703" t="str">
            <v xml:space="preserve">  總    價 </v>
          </cell>
          <cell r="CX703" t="str">
            <v>備    註</v>
          </cell>
        </row>
        <row r="704">
          <cell r="CQ704" t="str">
            <v>板料</v>
          </cell>
          <cell r="CS704" t="str">
            <v xml:space="preserve"> </v>
          </cell>
          <cell r="CT704" t="str">
            <v>m3</v>
          </cell>
          <cell r="CU704">
            <v>2.4E-2</v>
          </cell>
          <cell r="CV704">
            <v>2200</v>
          </cell>
          <cell r="CW704">
            <v>52.8</v>
          </cell>
          <cell r="CX704" t="str">
            <v>使用6-8次</v>
          </cell>
        </row>
        <row r="706">
          <cell r="CQ706" t="str">
            <v>木料(角材)</v>
          </cell>
          <cell r="CS706" t="str">
            <v xml:space="preserve"> </v>
          </cell>
          <cell r="CT706" t="str">
            <v>m3</v>
          </cell>
          <cell r="CU706">
            <v>4.4999999999999998E-2</v>
          </cell>
          <cell r="CV706">
            <v>35</v>
          </cell>
          <cell r="CW706">
            <v>1.58</v>
          </cell>
          <cell r="CX706" t="str">
            <v>使用8-10次</v>
          </cell>
        </row>
        <row r="708">
          <cell r="CQ708" t="str">
            <v>圓木</v>
          </cell>
          <cell r="CS708" t="str">
            <v>支撐</v>
          </cell>
          <cell r="CT708" t="str">
            <v>m3</v>
          </cell>
          <cell r="CU708">
            <v>1.4999999999999999E-2</v>
          </cell>
          <cell r="CV708">
            <v>1500</v>
          </cell>
          <cell r="CW708">
            <v>22.5</v>
          </cell>
          <cell r="CX708" t="str">
            <v>使用8-10次</v>
          </cell>
        </row>
        <row r="710">
          <cell r="CQ710" t="str">
            <v>鐵件</v>
          </cell>
          <cell r="CT710" t="str">
            <v>kg</v>
          </cell>
          <cell r="CU710">
            <v>0.6</v>
          </cell>
          <cell r="CV710">
            <v>20</v>
          </cell>
          <cell r="CW710">
            <v>12</v>
          </cell>
          <cell r="CX710" t="str">
            <v>含支撐鋼筋</v>
          </cell>
        </row>
        <row r="712">
          <cell r="CQ712" t="str">
            <v>一般技工</v>
          </cell>
          <cell r="CT712" t="str">
            <v>工</v>
          </cell>
          <cell r="CU712">
            <v>0.28000000000000003</v>
          </cell>
          <cell r="CV712">
            <v>720</v>
          </cell>
          <cell r="CW712">
            <v>201.6</v>
          </cell>
        </row>
        <row r="714">
          <cell r="CQ714" t="str">
            <v>普通工</v>
          </cell>
          <cell r="CT714" t="str">
            <v>工</v>
          </cell>
          <cell r="CU714">
            <v>0.06</v>
          </cell>
          <cell r="CV714">
            <v>530</v>
          </cell>
          <cell r="CW714">
            <v>31.8</v>
          </cell>
        </row>
        <row r="716">
          <cell r="CQ716" t="str">
            <v>防水三夾板</v>
          </cell>
          <cell r="CS716" t="str">
            <v>3mm</v>
          </cell>
          <cell r="CT716" t="str">
            <v>m2</v>
          </cell>
          <cell r="CU716">
            <v>1</v>
          </cell>
          <cell r="CV716">
            <v>30</v>
          </cell>
          <cell r="CW716">
            <v>30</v>
          </cell>
          <cell r="CX716" t="str">
            <v>使用3次</v>
          </cell>
        </row>
        <row r="718">
          <cell r="CQ718" t="str">
            <v>工具損耗及其他</v>
          </cell>
          <cell r="CT718" t="str">
            <v>式</v>
          </cell>
          <cell r="CU718">
            <v>1</v>
          </cell>
          <cell r="CV718" t="str">
            <v xml:space="preserve"> </v>
          </cell>
          <cell r="CW718">
            <v>4.72</v>
          </cell>
          <cell r="CX718" t="str">
            <v>約勞力部份2%</v>
          </cell>
        </row>
        <row r="720">
          <cell r="CQ720" t="str">
            <v xml:space="preserve"> </v>
          </cell>
          <cell r="CR720" t="str">
            <v>每</v>
          </cell>
          <cell r="CS720" t="str">
            <v>m2</v>
          </cell>
          <cell r="CT720" t="str">
            <v>單 價 計</v>
          </cell>
          <cell r="CV720" t="str">
            <v xml:space="preserve"> </v>
          </cell>
          <cell r="CW720">
            <v>357</v>
          </cell>
        </row>
        <row r="723">
          <cell r="CQ723" t="str">
            <v>號數:</v>
          </cell>
          <cell r="CR723" t="str">
            <v xml:space="preserve"> </v>
          </cell>
          <cell r="CS723" t="str">
            <v>工 程 項 目</v>
          </cell>
          <cell r="CU723" t="str">
            <v>鋼筋加工及組立</v>
          </cell>
          <cell r="CW723" t="str">
            <v>單    位</v>
          </cell>
          <cell r="CX723" t="str">
            <v xml:space="preserve">T </v>
          </cell>
        </row>
        <row r="724">
          <cell r="CQ724" t="str">
            <v>工   程   項   目</v>
          </cell>
          <cell r="CS724" t="str">
            <v>說 明</v>
          </cell>
          <cell r="CT724" t="str">
            <v>單 位</v>
          </cell>
          <cell r="CU724" t="str">
            <v>數  量</v>
          </cell>
          <cell r="CV724" t="str">
            <v>單   價</v>
          </cell>
          <cell r="CW724" t="str">
            <v>總    價</v>
          </cell>
          <cell r="CX724" t="str">
            <v>備    註</v>
          </cell>
        </row>
        <row r="725">
          <cell r="CQ725" t="str">
            <v>一般技工</v>
          </cell>
          <cell r="CS725" t="str">
            <v xml:space="preserve"> </v>
          </cell>
          <cell r="CT725" t="str">
            <v>工</v>
          </cell>
          <cell r="CU725">
            <v>3.6</v>
          </cell>
          <cell r="CV725">
            <v>720</v>
          </cell>
          <cell r="CW725">
            <v>2592</v>
          </cell>
          <cell r="CX725" t="str">
            <v xml:space="preserve"> </v>
          </cell>
        </row>
        <row r="727">
          <cell r="CQ727" t="str">
            <v>普通工</v>
          </cell>
          <cell r="CS727" t="str">
            <v xml:space="preserve"> </v>
          </cell>
          <cell r="CT727" t="str">
            <v>工</v>
          </cell>
          <cell r="CU727">
            <v>4</v>
          </cell>
          <cell r="CV727">
            <v>530</v>
          </cell>
          <cell r="CW727">
            <v>2120</v>
          </cell>
        </row>
        <row r="729">
          <cell r="CQ729" t="str">
            <v>鉛絲</v>
          </cell>
          <cell r="CT729" t="str">
            <v>kg</v>
          </cell>
          <cell r="CU729">
            <v>4</v>
          </cell>
          <cell r="CV729">
            <v>25</v>
          </cell>
          <cell r="CW729">
            <v>100</v>
          </cell>
          <cell r="CX729" t="str">
            <v xml:space="preserve"> </v>
          </cell>
        </row>
        <row r="731">
          <cell r="CQ731" t="str">
            <v>工具搬運及損耗</v>
          </cell>
          <cell r="CS731" t="str">
            <v xml:space="preserve"> </v>
          </cell>
          <cell r="CT731" t="str">
            <v>式</v>
          </cell>
          <cell r="CU731">
            <v>1</v>
          </cell>
          <cell r="CV731" t="str">
            <v xml:space="preserve"> </v>
          </cell>
          <cell r="CW731">
            <v>141</v>
          </cell>
          <cell r="CX731" t="str">
            <v>約工資部份3%</v>
          </cell>
        </row>
        <row r="733">
          <cell r="CQ733" t="str">
            <v xml:space="preserve"> </v>
          </cell>
          <cell r="CR733" t="str">
            <v xml:space="preserve"> </v>
          </cell>
          <cell r="CS733" t="str">
            <v xml:space="preserve"> </v>
          </cell>
          <cell r="CT733" t="str">
            <v xml:space="preserve"> </v>
          </cell>
          <cell r="CU733" t="str">
            <v>小計</v>
          </cell>
          <cell r="CV733" t="str">
            <v xml:space="preserve"> </v>
          </cell>
          <cell r="CW733">
            <v>4953</v>
          </cell>
          <cell r="CX733" t="str">
            <v xml:space="preserve"> /1000</v>
          </cell>
        </row>
        <row r="734">
          <cell r="CQ734" t="str">
            <v xml:space="preserve"> </v>
          </cell>
          <cell r="CR734" t="str">
            <v xml:space="preserve"> </v>
          </cell>
          <cell r="CS734" t="str">
            <v xml:space="preserve"> </v>
          </cell>
          <cell r="CT734" t="str">
            <v xml:space="preserve"> </v>
          </cell>
          <cell r="CU734" t="str">
            <v xml:space="preserve"> </v>
          </cell>
          <cell r="CV734" t="str">
            <v xml:space="preserve"> </v>
          </cell>
          <cell r="CW734" t="str">
            <v xml:space="preserve"> </v>
          </cell>
          <cell r="CX734" t="str">
            <v xml:space="preserve"> </v>
          </cell>
        </row>
        <row r="735">
          <cell r="CQ735" t="str">
            <v xml:space="preserve"> </v>
          </cell>
          <cell r="CR735" t="str">
            <v xml:space="preserve"> </v>
          </cell>
          <cell r="CS735" t="str">
            <v xml:space="preserve"> </v>
          </cell>
          <cell r="CT735" t="str">
            <v xml:space="preserve"> </v>
          </cell>
          <cell r="CU735" t="str">
            <v xml:space="preserve"> </v>
          </cell>
          <cell r="CV735" t="str">
            <v xml:space="preserve"> </v>
          </cell>
        </row>
        <row r="738">
          <cell r="CV738" t="str">
            <v xml:space="preserve"> </v>
          </cell>
          <cell r="CW738" t="str">
            <v xml:space="preserve"> </v>
          </cell>
          <cell r="CX738" t="str">
            <v xml:space="preserve"> </v>
          </cell>
        </row>
        <row r="741">
          <cell r="CQ741" t="str">
            <v xml:space="preserve"> </v>
          </cell>
          <cell r="CR741" t="str">
            <v>每</v>
          </cell>
          <cell r="CS741" t="str">
            <v>kg</v>
          </cell>
          <cell r="CT741" t="str">
            <v>單 價 計</v>
          </cell>
          <cell r="CV741" t="str">
            <v xml:space="preserve"> </v>
          </cell>
          <cell r="CW741">
            <v>4.95</v>
          </cell>
        </row>
        <row r="744">
          <cell r="CQ744" t="str">
            <v>編號:</v>
          </cell>
          <cell r="CR744" t="str">
            <v xml:space="preserve"> </v>
          </cell>
          <cell r="CS744" t="str">
            <v>工 程 項 目</v>
          </cell>
          <cell r="CU744" t="str">
            <v>背填卵石</v>
          </cell>
          <cell r="CW744" t="str">
            <v xml:space="preserve">  單    位</v>
          </cell>
          <cell r="CX744" t="str">
            <v>m3</v>
          </cell>
        </row>
        <row r="745">
          <cell r="CQ745" t="str">
            <v xml:space="preserve"> 工   程   項   目</v>
          </cell>
          <cell r="CS745" t="str">
            <v xml:space="preserve"> 說 明</v>
          </cell>
          <cell r="CT745" t="str">
            <v xml:space="preserve"> 單 位</v>
          </cell>
          <cell r="CU745" t="str">
            <v xml:space="preserve"> 數  量</v>
          </cell>
          <cell r="CV745" t="str">
            <v xml:space="preserve">  單  價</v>
          </cell>
          <cell r="CW745" t="str">
            <v xml:space="preserve">  總    價 </v>
          </cell>
          <cell r="CX745" t="str">
            <v>備    註</v>
          </cell>
        </row>
        <row r="746">
          <cell r="CQ746" t="str">
            <v>卵石</v>
          </cell>
          <cell r="CT746" t="str">
            <v>m3</v>
          </cell>
          <cell r="CU746">
            <v>1</v>
          </cell>
          <cell r="CV746">
            <v>349</v>
          </cell>
          <cell r="CW746">
            <v>349</v>
          </cell>
          <cell r="CX746" t="str">
            <v xml:space="preserve"> </v>
          </cell>
        </row>
        <row r="748">
          <cell r="CQ748" t="str">
            <v>普通工</v>
          </cell>
          <cell r="CT748" t="str">
            <v>工</v>
          </cell>
          <cell r="CU748">
            <v>0.2</v>
          </cell>
          <cell r="CV748">
            <v>530</v>
          </cell>
          <cell r="CW748">
            <v>106</v>
          </cell>
        </row>
        <row r="750">
          <cell r="CQ750" t="str">
            <v>工具搬運及損耗</v>
          </cell>
          <cell r="CS750" t="str">
            <v xml:space="preserve"> </v>
          </cell>
          <cell r="CT750" t="str">
            <v>式</v>
          </cell>
          <cell r="CU750">
            <v>1</v>
          </cell>
          <cell r="CV750" t="str">
            <v xml:space="preserve"> </v>
          </cell>
          <cell r="CW750">
            <v>2</v>
          </cell>
          <cell r="CX750" t="str">
            <v>約工資部份2%</v>
          </cell>
        </row>
        <row r="752">
          <cell r="CU752" t="str">
            <v>小計</v>
          </cell>
          <cell r="CV752" t="str">
            <v xml:space="preserve"> </v>
          </cell>
          <cell r="CW752">
            <v>457</v>
          </cell>
          <cell r="CX752" t="str">
            <v xml:space="preserve"> </v>
          </cell>
        </row>
        <row r="753">
          <cell r="CW753" t="str">
            <v xml:space="preserve"> </v>
          </cell>
          <cell r="CX753" t="str">
            <v xml:space="preserve"> </v>
          </cell>
        </row>
        <row r="754">
          <cell r="CW754" t="str">
            <v xml:space="preserve"> </v>
          </cell>
          <cell r="CX754" t="str">
            <v xml:space="preserve"> </v>
          </cell>
        </row>
        <row r="755">
          <cell r="CW755" t="str">
            <v xml:space="preserve"> </v>
          </cell>
          <cell r="CX755" t="str">
            <v xml:space="preserve"> </v>
          </cell>
        </row>
        <row r="756">
          <cell r="CW756" t="str">
            <v xml:space="preserve"> </v>
          </cell>
          <cell r="CX756" t="str">
            <v xml:space="preserve"> </v>
          </cell>
        </row>
        <row r="757">
          <cell r="CW757" t="str">
            <v xml:space="preserve"> </v>
          </cell>
          <cell r="CX757" t="str">
            <v xml:space="preserve"> </v>
          </cell>
        </row>
        <row r="758">
          <cell r="CW758" t="str">
            <v xml:space="preserve"> </v>
          </cell>
          <cell r="CX758" t="str">
            <v xml:space="preserve"> </v>
          </cell>
        </row>
        <row r="762">
          <cell r="CQ762" t="str">
            <v xml:space="preserve"> </v>
          </cell>
          <cell r="CR762" t="str">
            <v>每</v>
          </cell>
          <cell r="CS762" t="str">
            <v>m3</v>
          </cell>
          <cell r="CT762" t="str">
            <v>單 價 計</v>
          </cell>
          <cell r="CV762" t="str">
            <v xml:space="preserve"> </v>
          </cell>
          <cell r="CW762">
            <v>457</v>
          </cell>
        </row>
        <row r="765">
          <cell r="CQ765" t="str">
            <v>編號:</v>
          </cell>
          <cell r="CR765" t="str">
            <v xml:space="preserve"> </v>
          </cell>
          <cell r="CS765" t="str">
            <v>工 程 項 目</v>
          </cell>
          <cell r="CU765" t="str">
            <v>φ3"PVC洩水管按裝</v>
          </cell>
          <cell r="CW765" t="str">
            <v xml:space="preserve">  單    位</v>
          </cell>
          <cell r="CX765" t="str">
            <v>m</v>
          </cell>
        </row>
        <row r="766">
          <cell r="CQ766" t="str">
            <v xml:space="preserve"> 工   程   項   目</v>
          </cell>
          <cell r="CS766" t="str">
            <v xml:space="preserve"> 說 明</v>
          </cell>
          <cell r="CT766" t="str">
            <v xml:space="preserve"> 單 位</v>
          </cell>
          <cell r="CU766" t="str">
            <v xml:space="preserve"> 數  量</v>
          </cell>
          <cell r="CV766" t="str">
            <v xml:space="preserve">  單  價</v>
          </cell>
          <cell r="CW766" t="str">
            <v xml:space="preserve">  總    價 </v>
          </cell>
          <cell r="CX766" t="str">
            <v>備    註</v>
          </cell>
        </row>
        <row r="767">
          <cell r="CQ767" t="str">
            <v>φ3"PVC洩水管</v>
          </cell>
          <cell r="CS767" t="str">
            <v xml:space="preserve"> </v>
          </cell>
          <cell r="CT767" t="str">
            <v>m</v>
          </cell>
          <cell r="CU767">
            <v>1</v>
          </cell>
          <cell r="CV767" t="str">
            <v xml:space="preserve"> </v>
          </cell>
          <cell r="CX767" t="str">
            <v>材料費另計</v>
          </cell>
        </row>
        <row r="769">
          <cell r="CQ769" t="str">
            <v>普通工</v>
          </cell>
          <cell r="CS769" t="str">
            <v xml:space="preserve"> </v>
          </cell>
          <cell r="CT769" t="str">
            <v>工</v>
          </cell>
          <cell r="CU769">
            <v>0.02</v>
          </cell>
          <cell r="CV769">
            <v>530</v>
          </cell>
          <cell r="CW769">
            <v>10.6</v>
          </cell>
        </row>
        <row r="771">
          <cell r="CQ771" t="str">
            <v>工具搬運及損耗</v>
          </cell>
          <cell r="CS771" t="str">
            <v xml:space="preserve"> </v>
          </cell>
          <cell r="CT771" t="str">
            <v>式</v>
          </cell>
          <cell r="CU771">
            <v>1</v>
          </cell>
          <cell r="CV771" t="str">
            <v xml:space="preserve"> </v>
          </cell>
          <cell r="CW771">
            <v>0.4</v>
          </cell>
          <cell r="CX771" t="str">
            <v xml:space="preserve"> </v>
          </cell>
        </row>
        <row r="773">
          <cell r="CQ773" t="str">
            <v>零星工料(含剪裁及按裝)</v>
          </cell>
          <cell r="CT773" t="str">
            <v>式</v>
          </cell>
          <cell r="CU773">
            <v>1</v>
          </cell>
          <cell r="CV773" t="str">
            <v xml:space="preserve"> </v>
          </cell>
          <cell r="CW773">
            <v>19</v>
          </cell>
        </row>
        <row r="775">
          <cell r="CU775" t="str">
            <v>小計</v>
          </cell>
          <cell r="CV775" t="str">
            <v xml:space="preserve"> </v>
          </cell>
          <cell r="CW775">
            <v>30</v>
          </cell>
        </row>
        <row r="776">
          <cell r="CQ776" t="str">
            <v xml:space="preserve"> </v>
          </cell>
          <cell r="CS776" t="str">
            <v xml:space="preserve"> </v>
          </cell>
          <cell r="CT776" t="str">
            <v xml:space="preserve"> </v>
          </cell>
          <cell r="CU776" t="str">
            <v xml:space="preserve"> </v>
          </cell>
          <cell r="CW776" t="str">
            <v xml:space="preserve"> </v>
          </cell>
        </row>
        <row r="778">
          <cell r="CQ778" t="str">
            <v xml:space="preserve"> </v>
          </cell>
          <cell r="CR778" t="str">
            <v xml:space="preserve"> </v>
          </cell>
          <cell r="CS778" t="str">
            <v xml:space="preserve"> </v>
          </cell>
          <cell r="CT778" t="str">
            <v xml:space="preserve"> </v>
          </cell>
          <cell r="CU778" t="str">
            <v xml:space="preserve"> </v>
          </cell>
          <cell r="CV778" t="str">
            <v xml:space="preserve"> </v>
          </cell>
          <cell r="CW778" t="str">
            <v xml:space="preserve"> </v>
          </cell>
          <cell r="CX778" t="str">
            <v xml:space="preserve"> </v>
          </cell>
        </row>
        <row r="779">
          <cell r="CX779" t="str">
            <v xml:space="preserve"> </v>
          </cell>
        </row>
        <row r="780">
          <cell r="CQ780" t="str">
            <v xml:space="preserve"> </v>
          </cell>
          <cell r="CR780" t="str">
            <v xml:space="preserve"> </v>
          </cell>
          <cell r="CS780" t="str">
            <v xml:space="preserve"> </v>
          </cell>
          <cell r="CT780" t="str">
            <v xml:space="preserve"> </v>
          </cell>
          <cell r="CU780" t="str">
            <v xml:space="preserve"> </v>
          </cell>
          <cell r="CV780" t="str">
            <v xml:space="preserve"> </v>
          </cell>
        </row>
        <row r="781">
          <cell r="CQ781" t="str">
            <v xml:space="preserve"> </v>
          </cell>
          <cell r="CR781" t="str">
            <v xml:space="preserve"> </v>
          </cell>
          <cell r="CS781" t="str">
            <v xml:space="preserve"> </v>
          </cell>
          <cell r="CT781" t="str">
            <v xml:space="preserve"> </v>
          </cell>
          <cell r="CU781" t="str">
            <v xml:space="preserve"> </v>
          </cell>
          <cell r="CV781" t="str">
            <v xml:space="preserve"> </v>
          </cell>
        </row>
        <row r="783">
          <cell r="CQ783" t="str">
            <v xml:space="preserve"> </v>
          </cell>
          <cell r="CR783" t="str">
            <v>每</v>
          </cell>
          <cell r="CS783" t="str">
            <v>m</v>
          </cell>
          <cell r="CT783" t="str">
            <v>單 價 計</v>
          </cell>
          <cell r="CV783" t="str">
            <v xml:space="preserve"> </v>
          </cell>
          <cell r="CW783">
            <v>30</v>
          </cell>
        </row>
        <row r="786">
          <cell r="CQ786" t="str">
            <v>號數:</v>
          </cell>
          <cell r="CR786" t="str">
            <v xml:space="preserve"> </v>
          </cell>
          <cell r="CS786" t="str">
            <v>工 程 項 目</v>
          </cell>
          <cell r="CU786" t="str">
            <v>漆白水泥漆(二度)</v>
          </cell>
          <cell r="CW786" t="str">
            <v>單    位</v>
          </cell>
          <cell r="CX786" t="str">
            <v>100m2</v>
          </cell>
        </row>
        <row r="787">
          <cell r="CQ787" t="str">
            <v>工   程   項   目</v>
          </cell>
          <cell r="CS787" t="str">
            <v>說 明</v>
          </cell>
          <cell r="CT787" t="str">
            <v>單 位</v>
          </cell>
          <cell r="CU787" t="str">
            <v>數  量</v>
          </cell>
          <cell r="CV787" t="str">
            <v>單   價</v>
          </cell>
          <cell r="CW787" t="str">
            <v>總    價</v>
          </cell>
          <cell r="CX787" t="str">
            <v>備    註</v>
          </cell>
        </row>
        <row r="788">
          <cell r="CQ788" t="str">
            <v>一般技工</v>
          </cell>
          <cell r="CS788" t="str">
            <v xml:space="preserve"> </v>
          </cell>
          <cell r="CT788" t="str">
            <v>工</v>
          </cell>
          <cell r="CU788">
            <v>6</v>
          </cell>
          <cell r="CV788">
            <v>720</v>
          </cell>
          <cell r="CW788">
            <v>4320</v>
          </cell>
        </row>
        <row r="790">
          <cell r="CQ790" t="str">
            <v>工具搬運及損耗</v>
          </cell>
          <cell r="CS790" t="str">
            <v xml:space="preserve"> </v>
          </cell>
          <cell r="CT790" t="str">
            <v>式</v>
          </cell>
          <cell r="CU790">
            <v>1</v>
          </cell>
          <cell r="CV790" t="str">
            <v xml:space="preserve"> </v>
          </cell>
          <cell r="CW790">
            <v>80</v>
          </cell>
          <cell r="CX790" t="str">
            <v>約勞力部份2%</v>
          </cell>
        </row>
        <row r="792">
          <cell r="CQ792" t="str">
            <v>白水泥漆</v>
          </cell>
          <cell r="CS792" t="str">
            <v xml:space="preserve"> </v>
          </cell>
          <cell r="CT792" t="str">
            <v>m2</v>
          </cell>
          <cell r="CU792">
            <v>100</v>
          </cell>
          <cell r="CV792">
            <v>80</v>
          </cell>
          <cell r="CW792">
            <v>8000</v>
          </cell>
          <cell r="CX792" t="str">
            <v xml:space="preserve"> </v>
          </cell>
        </row>
        <row r="794">
          <cell r="CU794" t="str">
            <v>小計</v>
          </cell>
          <cell r="CV794" t="str">
            <v xml:space="preserve"> </v>
          </cell>
          <cell r="CW794">
            <v>12400</v>
          </cell>
          <cell r="CX794" t="str">
            <v xml:space="preserve"> </v>
          </cell>
        </row>
        <row r="797">
          <cell r="CQ797" t="str">
            <v xml:space="preserve"> </v>
          </cell>
          <cell r="CS797" t="str">
            <v xml:space="preserve"> </v>
          </cell>
          <cell r="CT797" t="str">
            <v xml:space="preserve"> </v>
          </cell>
          <cell r="CU797" t="str">
            <v xml:space="preserve"> </v>
          </cell>
        </row>
        <row r="799">
          <cell r="CQ799" t="str">
            <v xml:space="preserve"> </v>
          </cell>
          <cell r="CR799" t="str">
            <v xml:space="preserve"> </v>
          </cell>
          <cell r="CS799" t="str">
            <v xml:space="preserve"> </v>
          </cell>
          <cell r="CT799" t="str">
            <v xml:space="preserve"> </v>
          </cell>
          <cell r="CU799" t="str">
            <v xml:space="preserve"> </v>
          </cell>
          <cell r="CV799" t="str">
            <v xml:space="preserve"> </v>
          </cell>
          <cell r="CW799" t="str">
            <v xml:space="preserve"> </v>
          </cell>
          <cell r="CX799" t="str">
            <v xml:space="preserve"> </v>
          </cell>
        </row>
        <row r="800">
          <cell r="CV800" t="str">
            <v xml:space="preserve"> </v>
          </cell>
          <cell r="CW800" t="str">
            <v xml:space="preserve"> </v>
          </cell>
          <cell r="CX800" t="str">
            <v xml:space="preserve"> </v>
          </cell>
        </row>
        <row r="801">
          <cell r="CQ801" t="str">
            <v xml:space="preserve"> </v>
          </cell>
          <cell r="CR801" t="str">
            <v xml:space="preserve"> </v>
          </cell>
          <cell r="CS801" t="str">
            <v xml:space="preserve"> </v>
          </cell>
          <cell r="CT801" t="str">
            <v xml:space="preserve"> </v>
          </cell>
          <cell r="CU801" t="str">
            <v xml:space="preserve"> </v>
          </cell>
          <cell r="CV801" t="str">
            <v xml:space="preserve"> </v>
          </cell>
        </row>
        <row r="802">
          <cell r="CQ802" t="str">
            <v xml:space="preserve"> </v>
          </cell>
          <cell r="CR802" t="str">
            <v xml:space="preserve"> </v>
          </cell>
          <cell r="CS802" t="str">
            <v xml:space="preserve"> </v>
          </cell>
          <cell r="CT802" t="str">
            <v xml:space="preserve"> </v>
          </cell>
          <cell r="CU802" t="str">
            <v xml:space="preserve"> </v>
          </cell>
          <cell r="CV802" t="str">
            <v xml:space="preserve"> </v>
          </cell>
        </row>
        <row r="804">
          <cell r="CQ804" t="str">
            <v xml:space="preserve"> </v>
          </cell>
          <cell r="CR804" t="str">
            <v>每</v>
          </cell>
          <cell r="CS804" t="str">
            <v>m2</v>
          </cell>
          <cell r="CT804" t="str">
            <v>單 價 計</v>
          </cell>
          <cell r="CV804" t="str">
            <v xml:space="preserve"> </v>
          </cell>
          <cell r="CW804">
            <v>124</v>
          </cell>
        </row>
        <row r="807">
          <cell r="CQ807" t="str">
            <v xml:space="preserve"> 號數 :   </v>
          </cell>
          <cell r="CR807">
            <v>0</v>
          </cell>
          <cell r="CS807" t="str">
            <v>工 程 項 目</v>
          </cell>
          <cell r="CU807" t="str">
            <v>塊石混凝土</v>
          </cell>
          <cell r="CW807" t="str">
            <v>單    位</v>
          </cell>
          <cell r="CX807" t="str">
            <v></v>
          </cell>
        </row>
        <row r="808">
          <cell r="CQ808" t="str">
            <v>工   程   項   目</v>
          </cell>
          <cell r="CS808" t="str">
            <v>說 明</v>
          </cell>
          <cell r="CT808" t="str">
            <v>單 位</v>
          </cell>
          <cell r="CU808" t="str">
            <v>數  量</v>
          </cell>
          <cell r="CV808" t="str">
            <v>單   價</v>
          </cell>
          <cell r="CW808" t="str">
            <v>總    價</v>
          </cell>
          <cell r="CX808" t="str">
            <v>備    註</v>
          </cell>
        </row>
        <row r="809">
          <cell r="CQ809" t="str">
            <v>塊石</v>
          </cell>
          <cell r="CS809" t="str">
            <v>φ10~30cm以下</v>
          </cell>
          <cell r="CT809" t="str">
            <v></v>
          </cell>
          <cell r="CU809">
            <v>0.83</v>
          </cell>
          <cell r="CV809">
            <v>349</v>
          </cell>
          <cell r="CW809">
            <v>289.67</v>
          </cell>
          <cell r="CX809" t="str">
            <v xml:space="preserve"> </v>
          </cell>
        </row>
        <row r="810">
          <cell r="CQ810" t="str">
            <v>140kg/cm2混凝土</v>
          </cell>
          <cell r="CT810" t="str">
            <v></v>
          </cell>
          <cell r="CU810">
            <v>0.5</v>
          </cell>
          <cell r="CX810" t="str">
            <v>另計</v>
          </cell>
        </row>
        <row r="811">
          <cell r="CQ811" t="str">
            <v>普通工</v>
          </cell>
          <cell r="CT811" t="str">
            <v>工</v>
          </cell>
          <cell r="CU811">
            <v>0.3</v>
          </cell>
          <cell r="CV811">
            <v>530</v>
          </cell>
          <cell r="CW811">
            <v>159</v>
          </cell>
        </row>
        <row r="812">
          <cell r="CQ812" t="str">
            <v>工具搬運及損耗</v>
          </cell>
          <cell r="CS812" t="str">
            <v>約工資之3%</v>
          </cell>
          <cell r="CT812" t="str">
            <v>式</v>
          </cell>
          <cell r="CU812">
            <v>1</v>
          </cell>
          <cell r="CV812">
            <v>5.09</v>
          </cell>
          <cell r="CW812">
            <v>5.09</v>
          </cell>
          <cell r="CX812" t="str">
            <v xml:space="preserve"> </v>
          </cell>
        </row>
        <row r="813">
          <cell r="CU813" t="str">
            <v>小計</v>
          </cell>
          <cell r="CV813" t="str">
            <v xml:space="preserve"> </v>
          </cell>
          <cell r="CW813">
            <v>453.76</v>
          </cell>
        </row>
        <row r="817">
          <cell r="CQ817" t="str">
            <v xml:space="preserve"> </v>
          </cell>
          <cell r="CR817" t="str">
            <v xml:space="preserve"> </v>
          </cell>
        </row>
        <row r="821">
          <cell r="CQ821" t="str">
            <v xml:space="preserve"> </v>
          </cell>
          <cell r="CR821" t="str">
            <v xml:space="preserve"> </v>
          </cell>
          <cell r="CS821" t="str">
            <v xml:space="preserve"> </v>
          </cell>
          <cell r="CT821" t="str">
            <v xml:space="preserve"> </v>
          </cell>
          <cell r="CU821" t="str">
            <v xml:space="preserve"> </v>
          </cell>
          <cell r="CV821" t="str">
            <v xml:space="preserve"> </v>
          </cell>
        </row>
        <row r="823">
          <cell r="CQ823" t="str">
            <v xml:space="preserve"> </v>
          </cell>
          <cell r="CR823" t="str">
            <v xml:space="preserve"> </v>
          </cell>
          <cell r="CS823" t="str">
            <v xml:space="preserve"> </v>
          </cell>
          <cell r="CT823" t="str">
            <v xml:space="preserve"> </v>
          </cell>
          <cell r="CU823" t="str">
            <v xml:space="preserve"> </v>
          </cell>
          <cell r="CV823" t="str">
            <v xml:space="preserve"> </v>
          </cell>
        </row>
        <row r="825">
          <cell r="CQ825" t="str">
            <v xml:space="preserve"> </v>
          </cell>
          <cell r="CR825" t="str">
            <v>每</v>
          </cell>
          <cell r="CS825" t="str">
            <v></v>
          </cell>
          <cell r="CT825" t="str">
            <v>單 價 計</v>
          </cell>
          <cell r="CV825" t="str">
            <v xml:space="preserve"> </v>
          </cell>
          <cell r="CW825">
            <v>453.76</v>
          </cell>
        </row>
        <row r="828">
          <cell r="CQ828" t="str">
            <v xml:space="preserve"> 號數 :   </v>
          </cell>
          <cell r="CR828">
            <v>0</v>
          </cell>
          <cell r="CS828" t="str">
            <v>工 程 項 目</v>
          </cell>
          <cell r="CU828" t="str">
            <v>混凝土砌塊石φ30cm</v>
          </cell>
          <cell r="CW828" t="str">
            <v>單    位</v>
          </cell>
          <cell r="CX828" t="str">
            <v></v>
          </cell>
        </row>
        <row r="829">
          <cell r="CQ829" t="str">
            <v>工   程   項   目</v>
          </cell>
          <cell r="CS829" t="str">
            <v>說 明</v>
          </cell>
          <cell r="CT829" t="str">
            <v>單 位</v>
          </cell>
          <cell r="CU829" t="str">
            <v>數  量</v>
          </cell>
          <cell r="CV829" t="str">
            <v>單   價</v>
          </cell>
          <cell r="CW829" t="str">
            <v>總    價</v>
          </cell>
          <cell r="CX829" t="str">
            <v>備    註</v>
          </cell>
        </row>
        <row r="830">
          <cell r="CQ830" t="str">
            <v>塊石</v>
          </cell>
          <cell r="CT830" t="str">
            <v></v>
          </cell>
          <cell r="CU830">
            <v>0.3</v>
          </cell>
          <cell r="CV830">
            <v>349</v>
          </cell>
          <cell r="CW830">
            <v>104.7</v>
          </cell>
        </row>
        <row r="831">
          <cell r="CQ831" t="str">
            <v>1:3水泥砂漿</v>
          </cell>
          <cell r="CT831" t="str">
            <v></v>
          </cell>
          <cell r="CU831">
            <v>0.03</v>
          </cell>
          <cell r="CV831">
            <v>2323</v>
          </cell>
          <cell r="CW831">
            <v>69.69</v>
          </cell>
        </row>
        <row r="832">
          <cell r="CQ832" t="str">
            <v>175kg/cm2混凝土</v>
          </cell>
          <cell r="CT832" t="str">
            <v></v>
          </cell>
          <cell r="CU832">
            <v>7.0000000000000007E-2</v>
          </cell>
          <cell r="CV832">
            <v>1600</v>
          </cell>
          <cell r="CW832">
            <v>112</v>
          </cell>
        </row>
        <row r="833">
          <cell r="CQ833" t="str">
            <v>一般技工</v>
          </cell>
          <cell r="CS833" t="str">
            <v xml:space="preserve"> </v>
          </cell>
          <cell r="CT833" t="str">
            <v>工</v>
          </cell>
          <cell r="CU833">
            <v>0.06</v>
          </cell>
          <cell r="CV833">
            <v>720</v>
          </cell>
          <cell r="CW833">
            <v>43.2</v>
          </cell>
          <cell r="CX833" t="str">
            <v xml:space="preserve"> </v>
          </cell>
        </row>
        <row r="834">
          <cell r="CQ834" t="str">
            <v>普通工</v>
          </cell>
          <cell r="CT834" t="str">
            <v>工</v>
          </cell>
          <cell r="CU834">
            <v>0.14000000000000001</v>
          </cell>
          <cell r="CV834">
            <v>530</v>
          </cell>
          <cell r="CW834">
            <v>74.2</v>
          </cell>
        </row>
        <row r="835">
          <cell r="CQ835" t="str">
            <v>工具搬運及損耗</v>
          </cell>
          <cell r="CS835" t="str">
            <v>約工資之2%</v>
          </cell>
          <cell r="CT835" t="str">
            <v>式</v>
          </cell>
          <cell r="CU835">
            <v>1</v>
          </cell>
          <cell r="CV835">
            <v>2.81</v>
          </cell>
          <cell r="CW835">
            <v>2.81</v>
          </cell>
        </row>
        <row r="836">
          <cell r="CU836" t="str">
            <v>小計</v>
          </cell>
          <cell r="CV836" t="str">
            <v xml:space="preserve"> </v>
          </cell>
          <cell r="CW836">
            <v>406.59999999999997</v>
          </cell>
        </row>
        <row r="838">
          <cell r="CQ838" t="str">
            <v xml:space="preserve"> </v>
          </cell>
          <cell r="CR838" t="str">
            <v xml:space="preserve"> </v>
          </cell>
        </row>
        <row r="842">
          <cell r="CQ842" t="str">
            <v xml:space="preserve"> </v>
          </cell>
          <cell r="CR842" t="str">
            <v xml:space="preserve"> </v>
          </cell>
          <cell r="CS842" t="str">
            <v xml:space="preserve"> </v>
          </cell>
          <cell r="CT842" t="str">
            <v xml:space="preserve"> </v>
          </cell>
          <cell r="CU842" t="str">
            <v xml:space="preserve"> </v>
          </cell>
          <cell r="CV842" t="str">
            <v xml:space="preserve"> </v>
          </cell>
        </row>
        <row r="844">
          <cell r="CQ844" t="str">
            <v xml:space="preserve"> </v>
          </cell>
          <cell r="CR844" t="str">
            <v xml:space="preserve"> </v>
          </cell>
          <cell r="CS844" t="str">
            <v xml:space="preserve"> </v>
          </cell>
          <cell r="CT844" t="str">
            <v xml:space="preserve"> </v>
          </cell>
          <cell r="CU844" t="str">
            <v xml:space="preserve"> </v>
          </cell>
          <cell r="CV844" t="str">
            <v xml:space="preserve"> </v>
          </cell>
        </row>
        <row r="846">
          <cell r="CQ846" t="str">
            <v xml:space="preserve"> </v>
          </cell>
          <cell r="CR846" t="str">
            <v>每</v>
          </cell>
          <cell r="CS846" t="str">
            <v></v>
          </cell>
          <cell r="CT846" t="str">
            <v>單 價 計</v>
          </cell>
          <cell r="CV846" t="str">
            <v xml:space="preserve"> </v>
          </cell>
          <cell r="CW846">
            <v>406.59999999999997</v>
          </cell>
        </row>
        <row r="849">
          <cell r="CQ849" t="str">
            <v xml:space="preserve"> 號數 :  </v>
          </cell>
          <cell r="CR849">
            <v>0</v>
          </cell>
          <cell r="CS849" t="str">
            <v>工 程 項 目</v>
          </cell>
          <cell r="CU849" t="str">
            <v>人工拌合1:3水泥砂漿</v>
          </cell>
          <cell r="CW849" t="str">
            <v>單    位</v>
          </cell>
          <cell r="CX849" t="str">
            <v></v>
          </cell>
        </row>
        <row r="850">
          <cell r="CQ850" t="str">
            <v>工   程   項   目</v>
          </cell>
          <cell r="CS850" t="str">
            <v>說 明</v>
          </cell>
          <cell r="CT850" t="str">
            <v>單 位</v>
          </cell>
          <cell r="CU850" t="str">
            <v>數  量</v>
          </cell>
          <cell r="CV850" t="str">
            <v>單   價</v>
          </cell>
          <cell r="CW850" t="str">
            <v>總    價</v>
          </cell>
          <cell r="CX850" t="str">
            <v>備    註</v>
          </cell>
        </row>
        <row r="851">
          <cell r="CQ851" t="str">
            <v>淨砂</v>
          </cell>
          <cell r="CT851" t="str">
            <v></v>
          </cell>
          <cell r="CU851">
            <v>1</v>
          </cell>
          <cell r="CV851">
            <v>489</v>
          </cell>
          <cell r="CW851">
            <v>489</v>
          </cell>
          <cell r="CX851" t="str">
            <v>基本單價3</v>
          </cell>
        </row>
        <row r="852">
          <cell r="CQ852" t="str">
            <v>普通工</v>
          </cell>
          <cell r="CT852" t="str">
            <v>工</v>
          </cell>
          <cell r="CU852">
            <v>0.64</v>
          </cell>
          <cell r="CV852">
            <v>530</v>
          </cell>
          <cell r="CW852">
            <v>339.2</v>
          </cell>
        </row>
        <row r="853">
          <cell r="CQ853" t="str">
            <v>工具搬運及損耗</v>
          </cell>
          <cell r="CS853" t="str">
            <v>約工資之2%</v>
          </cell>
          <cell r="CT853" t="str">
            <v>式</v>
          </cell>
          <cell r="CU853">
            <v>1</v>
          </cell>
          <cell r="CV853">
            <v>5.8000000000000007</v>
          </cell>
          <cell r="CW853">
            <v>5.8</v>
          </cell>
          <cell r="CX853" t="str">
            <v xml:space="preserve"> </v>
          </cell>
        </row>
        <row r="854">
          <cell r="CQ854" t="str">
            <v>水泥</v>
          </cell>
          <cell r="CT854" t="str">
            <v>包</v>
          </cell>
          <cell r="CU854">
            <v>10</v>
          </cell>
          <cell r="CV854">
            <v>135</v>
          </cell>
          <cell r="CW854">
            <v>1350</v>
          </cell>
        </row>
        <row r="855">
          <cell r="CU855" t="str">
            <v>小計</v>
          </cell>
          <cell r="CV855" t="str">
            <v xml:space="preserve"> </v>
          </cell>
          <cell r="CW855">
            <v>2184</v>
          </cell>
          <cell r="CX855" t="str">
            <v xml:space="preserve"> </v>
          </cell>
        </row>
        <row r="857">
          <cell r="CX857" t="str">
            <v xml:space="preserve"> </v>
          </cell>
        </row>
        <row r="860">
          <cell r="CQ860" t="str">
            <v xml:space="preserve"> </v>
          </cell>
          <cell r="CS860" t="str">
            <v xml:space="preserve"> </v>
          </cell>
          <cell r="CT860" t="str">
            <v xml:space="preserve"> </v>
          </cell>
          <cell r="CU860" t="str">
            <v xml:space="preserve"> </v>
          </cell>
        </row>
        <row r="862">
          <cell r="CQ862" t="str">
            <v xml:space="preserve"> </v>
          </cell>
          <cell r="CR862" t="str">
            <v xml:space="preserve"> </v>
          </cell>
          <cell r="CS862" t="str">
            <v xml:space="preserve"> </v>
          </cell>
          <cell r="CT862" t="str">
            <v xml:space="preserve"> </v>
          </cell>
          <cell r="CU862" t="str">
            <v xml:space="preserve"> </v>
          </cell>
          <cell r="CV862" t="str">
            <v xml:space="preserve"> </v>
          </cell>
          <cell r="CW862" t="str">
            <v xml:space="preserve"> </v>
          </cell>
          <cell r="CX862" t="str">
            <v xml:space="preserve"> </v>
          </cell>
        </row>
        <row r="864">
          <cell r="CQ864" t="str">
            <v xml:space="preserve"> </v>
          </cell>
          <cell r="CR864" t="str">
            <v xml:space="preserve"> </v>
          </cell>
          <cell r="CS864" t="str">
            <v xml:space="preserve"> </v>
          </cell>
          <cell r="CT864" t="str">
            <v xml:space="preserve"> </v>
          </cell>
          <cell r="CU864" t="str">
            <v xml:space="preserve"> </v>
          </cell>
          <cell r="CV864" t="str">
            <v xml:space="preserve"> </v>
          </cell>
        </row>
        <row r="865">
          <cell r="CQ865" t="str">
            <v xml:space="preserve"> </v>
          </cell>
          <cell r="CS865" t="str">
            <v xml:space="preserve"> </v>
          </cell>
          <cell r="CT865" t="str">
            <v xml:space="preserve"> </v>
          </cell>
          <cell r="CU865" t="str">
            <v xml:space="preserve"> </v>
          </cell>
        </row>
        <row r="866">
          <cell r="CV866" t="str">
            <v xml:space="preserve"> </v>
          </cell>
          <cell r="CW866" t="str">
            <v xml:space="preserve"> </v>
          </cell>
        </row>
        <row r="867">
          <cell r="CQ867" t="str">
            <v xml:space="preserve"> </v>
          </cell>
          <cell r="CR867" t="str">
            <v>每</v>
          </cell>
          <cell r="CS867" t="str">
            <v></v>
          </cell>
          <cell r="CT867" t="str">
            <v>單 價 計</v>
          </cell>
          <cell r="CV867" t="str">
            <v xml:space="preserve"> </v>
          </cell>
          <cell r="CW867">
            <v>2184</v>
          </cell>
        </row>
        <row r="891">
          <cell r="CQ891" t="str">
            <v>編號:</v>
          </cell>
          <cell r="CR891" t="str">
            <v xml:space="preserve"> </v>
          </cell>
          <cell r="CS891" t="str">
            <v>工 程 項 目</v>
          </cell>
          <cell r="CU891" t="str">
            <v>1:2水泥砂漿</v>
          </cell>
          <cell r="CW891" t="str">
            <v xml:space="preserve">單   位 </v>
          </cell>
          <cell r="CX891" t="str">
            <v>m3</v>
          </cell>
        </row>
        <row r="892">
          <cell r="CQ892" t="str">
            <v xml:space="preserve"> 工   程   項   目</v>
          </cell>
          <cell r="CS892" t="str">
            <v xml:space="preserve"> 說 明</v>
          </cell>
          <cell r="CT892" t="str">
            <v xml:space="preserve"> 單 位</v>
          </cell>
          <cell r="CU892" t="str">
            <v>數  量</v>
          </cell>
          <cell r="CV892" t="str">
            <v>單  價</v>
          </cell>
          <cell r="CW892" t="str">
            <v xml:space="preserve">總   價 </v>
          </cell>
          <cell r="CX892" t="str">
            <v>備    註</v>
          </cell>
        </row>
        <row r="893">
          <cell r="CQ893" t="str">
            <v>普通工</v>
          </cell>
          <cell r="CS893" t="str">
            <v xml:space="preserve"> </v>
          </cell>
          <cell r="CT893" t="str">
            <v>工</v>
          </cell>
          <cell r="CU893">
            <v>0.5</v>
          </cell>
          <cell r="CV893">
            <v>530</v>
          </cell>
          <cell r="CW893">
            <v>265</v>
          </cell>
          <cell r="CX893" t="str">
            <v xml:space="preserve"> </v>
          </cell>
        </row>
        <row r="895">
          <cell r="CQ895" t="str">
            <v>工具損耗</v>
          </cell>
          <cell r="CT895" t="str">
            <v>式</v>
          </cell>
          <cell r="CU895">
            <v>1</v>
          </cell>
          <cell r="CW895">
            <v>5.3</v>
          </cell>
          <cell r="CX895" t="str">
            <v>約工資部份2%</v>
          </cell>
        </row>
        <row r="897">
          <cell r="CQ897" t="str">
            <v>淨砂</v>
          </cell>
          <cell r="CS897" t="str">
            <v xml:space="preserve"> </v>
          </cell>
          <cell r="CT897" t="str">
            <v>M3</v>
          </cell>
          <cell r="CU897">
            <v>0.8</v>
          </cell>
          <cell r="CV897">
            <v>489</v>
          </cell>
          <cell r="CW897">
            <v>391.2</v>
          </cell>
        </row>
        <row r="899">
          <cell r="CQ899" t="str">
            <v>水泥</v>
          </cell>
          <cell r="CT899" t="str">
            <v>包</v>
          </cell>
          <cell r="CU899">
            <v>13</v>
          </cell>
          <cell r="CV899">
            <v>145</v>
          </cell>
          <cell r="CW899">
            <v>1885</v>
          </cell>
        </row>
        <row r="901">
          <cell r="CQ901" t="str">
            <v xml:space="preserve"> </v>
          </cell>
          <cell r="CR901" t="str">
            <v xml:space="preserve"> </v>
          </cell>
          <cell r="CS901" t="str">
            <v xml:space="preserve"> </v>
          </cell>
          <cell r="CT901" t="str">
            <v xml:space="preserve"> </v>
          </cell>
          <cell r="CU901" t="str">
            <v>小計</v>
          </cell>
          <cell r="CV901" t="str">
            <v xml:space="preserve"> </v>
          </cell>
          <cell r="CW901">
            <v>2546.5</v>
          </cell>
        </row>
        <row r="902">
          <cell r="CQ902" t="str">
            <v xml:space="preserve"> </v>
          </cell>
          <cell r="CR902" t="str">
            <v xml:space="preserve"> </v>
          </cell>
          <cell r="CS902" t="str">
            <v xml:space="preserve"> </v>
          </cell>
          <cell r="CT902" t="str">
            <v xml:space="preserve"> </v>
          </cell>
          <cell r="CU902" t="str">
            <v xml:space="preserve"> </v>
          </cell>
          <cell r="CV902" t="str">
            <v xml:space="preserve"> </v>
          </cell>
          <cell r="CW902" t="str">
            <v xml:space="preserve"> </v>
          </cell>
        </row>
        <row r="903">
          <cell r="CQ903" t="str">
            <v xml:space="preserve"> </v>
          </cell>
          <cell r="CR903" t="str">
            <v xml:space="preserve"> </v>
          </cell>
          <cell r="CT903" t="str">
            <v xml:space="preserve"> </v>
          </cell>
          <cell r="CU903" t="str">
            <v xml:space="preserve"> </v>
          </cell>
          <cell r="CV903" t="str">
            <v xml:space="preserve"> </v>
          </cell>
          <cell r="CW903" t="str">
            <v xml:space="preserve"> </v>
          </cell>
        </row>
        <row r="904">
          <cell r="CQ904" t="str">
            <v xml:space="preserve"> </v>
          </cell>
          <cell r="CR904" t="str">
            <v xml:space="preserve"> </v>
          </cell>
          <cell r="CS904" t="str">
            <v xml:space="preserve"> </v>
          </cell>
          <cell r="CT904" t="str">
            <v xml:space="preserve"> </v>
          </cell>
          <cell r="CU904" t="str">
            <v xml:space="preserve"> </v>
          </cell>
          <cell r="CV904" t="str">
            <v xml:space="preserve"> </v>
          </cell>
          <cell r="CX904" t="str">
            <v xml:space="preserve"> </v>
          </cell>
        </row>
        <row r="909">
          <cell r="CQ909" t="str">
            <v xml:space="preserve"> </v>
          </cell>
          <cell r="CR909" t="str">
            <v>每</v>
          </cell>
          <cell r="CS909" t="str">
            <v>m3</v>
          </cell>
          <cell r="CT909" t="str">
            <v>單 價 計</v>
          </cell>
          <cell r="CV909" t="str">
            <v xml:space="preserve"> </v>
          </cell>
          <cell r="CW909">
            <v>2546.5</v>
          </cell>
        </row>
        <row r="912">
          <cell r="CQ912" t="str">
            <v>編號:</v>
          </cell>
          <cell r="CR912" t="str">
            <v xml:space="preserve"> </v>
          </cell>
          <cell r="CS912" t="str">
            <v>工 程 項 目</v>
          </cell>
          <cell r="CU912" t="str">
            <v>1:2 防水粉刷</v>
          </cell>
          <cell r="CW912" t="str">
            <v>單    位</v>
          </cell>
          <cell r="CX912" t="str">
            <v>m2</v>
          </cell>
        </row>
        <row r="913">
          <cell r="CQ913" t="str">
            <v>工   程   項   目</v>
          </cell>
          <cell r="CS913" t="str">
            <v>說 明</v>
          </cell>
          <cell r="CT913" t="str">
            <v>單 位</v>
          </cell>
          <cell r="CU913" t="str">
            <v>數  量</v>
          </cell>
          <cell r="CV913" t="str">
            <v>單   價</v>
          </cell>
          <cell r="CW913" t="str">
            <v>總    價</v>
          </cell>
          <cell r="CX913" t="str">
            <v>備    註</v>
          </cell>
        </row>
        <row r="914">
          <cell r="CQ914" t="str">
            <v>1:2水泥砂漿</v>
          </cell>
          <cell r="CS914" t="str">
            <v xml:space="preserve"> </v>
          </cell>
          <cell r="CT914" t="str">
            <v>M3</v>
          </cell>
          <cell r="CU914">
            <v>0.03</v>
          </cell>
          <cell r="CV914">
            <v>2546.5</v>
          </cell>
          <cell r="CW914">
            <v>76.400000000000006</v>
          </cell>
        </row>
        <row r="916">
          <cell r="CQ916" t="str">
            <v>一般技工</v>
          </cell>
          <cell r="CT916" t="str">
            <v>工</v>
          </cell>
          <cell r="CU916">
            <v>0.18</v>
          </cell>
          <cell r="CV916">
            <v>720</v>
          </cell>
          <cell r="CW916">
            <v>129.6</v>
          </cell>
        </row>
        <row r="918">
          <cell r="CQ918" t="str">
            <v>普通工</v>
          </cell>
          <cell r="CS918" t="str">
            <v xml:space="preserve"> </v>
          </cell>
          <cell r="CT918" t="str">
            <v>工</v>
          </cell>
          <cell r="CU918">
            <v>0.14000000000000001</v>
          </cell>
          <cell r="CV918">
            <v>530</v>
          </cell>
          <cell r="CW918">
            <v>74.2</v>
          </cell>
        </row>
        <row r="920">
          <cell r="CQ920" t="str">
            <v>防水劑</v>
          </cell>
          <cell r="CT920" t="str">
            <v>加侖</v>
          </cell>
          <cell r="CU920">
            <v>0.25</v>
          </cell>
          <cell r="CV920">
            <v>100</v>
          </cell>
          <cell r="CW920">
            <v>25</v>
          </cell>
        </row>
        <row r="922">
          <cell r="CQ922" t="str">
            <v>工具損耗</v>
          </cell>
          <cell r="CS922" t="str">
            <v xml:space="preserve"> </v>
          </cell>
          <cell r="CT922" t="str">
            <v>式</v>
          </cell>
          <cell r="CU922">
            <v>1</v>
          </cell>
          <cell r="CW922">
            <v>6.1</v>
          </cell>
          <cell r="CX922" t="str">
            <v>約工資部份2%</v>
          </cell>
        </row>
        <row r="924">
          <cell r="CU924" t="str">
            <v>小計</v>
          </cell>
          <cell r="CV924" t="str">
            <v xml:space="preserve"> </v>
          </cell>
          <cell r="CW924">
            <v>311.3</v>
          </cell>
        </row>
        <row r="927">
          <cell r="CQ927" t="str">
            <v xml:space="preserve"> </v>
          </cell>
          <cell r="CR927" t="str">
            <v xml:space="preserve"> </v>
          </cell>
          <cell r="CS927" t="str">
            <v xml:space="preserve"> </v>
          </cell>
          <cell r="CT927" t="str">
            <v xml:space="preserve"> </v>
          </cell>
          <cell r="CU927" t="str">
            <v xml:space="preserve"> </v>
          </cell>
        </row>
        <row r="928">
          <cell r="CQ928" t="str">
            <v xml:space="preserve"> </v>
          </cell>
          <cell r="CS928" t="str">
            <v xml:space="preserve"> </v>
          </cell>
          <cell r="CT928" t="str">
            <v xml:space="preserve"> </v>
          </cell>
          <cell r="CU928" t="str">
            <v xml:space="preserve"> </v>
          </cell>
          <cell r="CV928" t="str">
            <v xml:space="preserve"> </v>
          </cell>
        </row>
        <row r="930">
          <cell r="CQ930" t="str">
            <v xml:space="preserve"> </v>
          </cell>
          <cell r="CR930" t="str">
            <v>每</v>
          </cell>
          <cell r="CS930" t="str">
            <v>m2</v>
          </cell>
          <cell r="CT930" t="str">
            <v>單 價 計</v>
          </cell>
          <cell r="CV930" t="str">
            <v xml:space="preserve"> </v>
          </cell>
          <cell r="CW930">
            <v>311.3</v>
          </cell>
          <cell r="CX930" t="str">
            <v xml:space="preserve"> </v>
          </cell>
        </row>
        <row r="933">
          <cell r="CQ933" t="str">
            <v>編號:</v>
          </cell>
          <cell r="CR933" t="str">
            <v xml:space="preserve"> </v>
          </cell>
          <cell r="CS933" t="str">
            <v>工 程 項 目</v>
          </cell>
          <cell r="CU933" t="str">
            <v>甲種鐵絲蛇籠</v>
          </cell>
          <cell r="CW933" t="str">
            <v>單    位</v>
          </cell>
          <cell r="CX933" t="str">
            <v>m</v>
          </cell>
        </row>
        <row r="934">
          <cell r="CQ934" t="str">
            <v>工   程   項   目</v>
          </cell>
          <cell r="CS934" t="str">
            <v>說 明</v>
          </cell>
          <cell r="CT934" t="str">
            <v>單 位</v>
          </cell>
          <cell r="CU934" t="str">
            <v>數  量</v>
          </cell>
          <cell r="CV934" t="str">
            <v>單   價</v>
          </cell>
          <cell r="CW934" t="str">
            <v>總    價</v>
          </cell>
          <cell r="CX934" t="str">
            <v>備    註</v>
          </cell>
        </row>
        <row r="935">
          <cell r="CQ935" t="str">
            <v>特種技工</v>
          </cell>
          <cell r="CS935" t="str">
            <v xml:space="preserve"> </v>
          </cell>
          <cell r="CT935" t="str">
            <v>工</v>
          </cell>
          <cell r="CU935">
            <v>0.15</v>
          </cell>
          <cell r="CV935">
            <v>800</v>
          </cell>
          <cell r="CW935">
            <v>120</v>
          </cell>
          <cell r="CX935" t="str">
            <v xml:space="preserve"> </v>
          </cell>
        </row>
        <row r="937">
          <cell r="CQ937" t="str">
            <v>半技工</v>
          </cell>
          <cell r="CS937" t="str">
            <v xml:space="preserve"> </v>
          </cell>
          <cell r="CT937" t="str">
            <v>工</v>
          </cell>
          <cell r="CU937">
            <v>0.06</v>
          </cell>
          <cell r="CV937">
            <v>560</v>
          </cell>
          <cell r="CW937">
            <v>33.6</v>
          </cell>
        </row>
        <row r="939">
          <cell r="CQ939" t="str">
            <v>普通工</v>
          </cell>
          <cell r="CS939" t="str">
            <v xml:space="preserve"> </v>
          </cell>
          <cell r="CT939" t="str">
            <v>工</v>
          </cell>
          <cell r="CU939">
            <v>0.12</v>
          </cell>
          <cell r="CV939">
            <v>530</v>
          </cell>
          <cell r="CW939">
            <v>63.6</v>
          </cell>
        </row>
        <row r="941">
          <cell r="CQ941" t="str">
            <v>塊石</v>
          </cell>
          <cell r="CT941" t="str">
            <v>m3</v>
          </cell>
          <cell r="CU941">
            <v>0.52</v>
          </cell>
          <cell r="CV941">
            <v>349</v>
          </cell>
          <cell r="CW941">
            <v>181.48</v>
          </cell>
          <cell r="CX941" t="str">
            <v>φ25~30cm</v>
          </cell>
        </row>
        <row r="943">
          <cell r="CQ943" t="str">
            <v>4.191mmφ鍍鋅鐵線</v>
          </cell>
          <cell r="CT943" t="str">
            <v>kg</v>
          </cell>
          <cell r="CU943">
            <v>7.5</v>
          </cell>
          <cell r="CV943">
            <v>80</v>
          </cell>
          <cell r="CW943">
            <v>600</v>
          </cell>
        </row>
        <row r="944">
          <cell r="CQ944" t="str">
            <v>(包括間隔網及綁紮鐵線)</v>
          </cell>
          <cell r="CS944" t="str">
            <v xml:space="preserve"> </v>
          </cell>
          <cell r="CT944" t="str">
            <v xml:space="preserve"> </v>
          </cell>
        </row>
        <row r="945">
          <cell r="CQ945" t="str">
            <v>工具搬運及損耗</v>
          </cell>
          <cell r="CS945" t="str">
            <v xml:space="preserve"> </v>
          </cell>
          <cell r="CT945" t="str">
            <v>式</v>
          </cell>
          <cell r="CU945">
            <v>1</v>
          </cell>
          <cell r="CV945" t="str">
            <v xml:space="preserve"> </v>
          </cell>
          <cell r="CW945">
            <v>5.68</v>
          </cell>
          <cell r="CX945" t="str">
            <v>約工資部份3%</v>
          </cell>
        </row>
        <row r="946">
          <cell r="CQ946" t="str">
            <v xml:space="preserve"> </v>
          </cell>
          <cell r="CT946" t="str">
            <v xml:space="preserve"> </v>
          </cell>
          <cell r="CU946" t="str">
            <v xml:space="preserve"> </v>
          </cell>
          <cell r="CW946" t="str">
            <v xml:space="preserve"> </v>
          </cell>
        </row>
        <row r="947">
          <cell r="CQ947" t="str">
            <v xml:space="preserve"> </v>
          </cell>
          <cell r="CR947" t="str">
            <v xml:space="preserve"> </v>
          </cell>
          <cell r="CT947" t="str">
            <v xml:space="preserve"> </v>
          </cell>
          <cell r="CU947" t="str">
            <v>小計</v>
          </cell>
          <cell r="CV947" t="str">
            <v xml:space="preserve"> </v>
          </cell>
          <cell r="CW947">
            <v>1004.36</v>
          </cell>
        </row>
        <row r="948">
          <cell r="CQ948" t="str">
            <v xml:space="preserve"> </v>
          </cell>
          <cell r="CR948" t="str">
            <v xml:space="preserve"> </v>
          </cell>
          <cell r="CS948" t="str">
            <v xml:space="preserve"> </v>
          </cell>
          <cell r="CT948" t="str">
            <v xml:space="preserve"> </v>
          </cell>
          <cell r="CU948" t="str">
            <v xml:space="preserve"> </v>
          </cell>
          <cell r="CV948" t="str">
            <v xml:space="preserve"> </v>
          </cell>
          <cell r="CW948" t="str">
            <v xml:space="preserve"> </v>
          </cell>
          <cell r="CX948" t="str">
            <v xml:space="preserve"> </v>
          </cell>
        </row>
        <row r="949">
          <cell r="CV949" t="str">
            <v xml:space="preserve"> </v>
          </cell>
          <cell r="CW949" t="str">
            <v xml:space="preserve"> </v>
          </cell>
          <cell r="CX949" t="str">
            <v xml:space="preserve"> </v>
          </cell>
        </row>
        <row r="950">
          <cell r="CQ950" t="str">
            <v xml:space="preserve"> </v>
          </cell>
          <cell r="CS950" t="str">
            <v xml:space="preserve"> </v>
          </cell>
          <cell r="CT950" t="str">
            <v xml:space="preserve"> </v>
          </cell>
          <cell r="CU950" t="str">
            <v xml:space="preserve"> </v>
          </cell>
        </row>
        <row r="951">
          <cell r="CQ951" t="str">
            <v xml:space="preserve"> </v>
          </cell>
          <cell r="CR951" t="str">
            <v>每</v>
          </cell>
          <cell r="CS951" t="str">
            <v>m</v>
          </cell>
          <cell r="CT951" t="str">
            <v>單 價 計</v>
          </cell>
          <cell r="CV951" t="str">
            <v xml:space="preserve"> </v>
          </cell>
          <cell r="CW951">
            <v>1004.36</v>
          </cell>
          <cell r="CX951" t="str">
            <v xml:space="preserve"> </v>
          </cell>
        </row>
        <row r="954">
          <cell r="CQ954" t="str">
            <v xml:space="preserve">號數:  </v>
          </cell>
          <cell r="CS954" t="str">
            <v>工 程 項 目</v>
          </cell>
          <cell r="CU954" t="str">
            <v>路面標線標誌標示</v>
          </cell>
          <cell r="CW954" t="str">
            <v>單    位</v>
          </cell>
          <cell r="CX954" t="str">
            <v>m2</v>
          </cell>
        </row>
        <row r="955">
          <cell r="CQ955" t="str">
            <v>工   程   項   目</v>
          </cell>
          <cell r="CS955" t="str">
            <v>說 明</v>
          </cell>
          <cell r="CT955" t="str">
            <v>單 位</v>
          </cell>
          <cell r="CU955" t="str">
            <v>數  量</v>
          </cell>
          <cell r="CV955" t="str">
            <v>單   價</v>
          </cell>
          <cell r="CW955" t="str">
            <v>總    價</v>
          </cell>
          <cell r="CX955" t="str">
            <v>備    註</v>
          </cell>
        </row>
        <row r="956">
          <cell r="CQ956" t="str">
            <v>一般技工</v>
          </cell>
          <cell r="CS956" t="str">
            <v xml:space="preserve"> </v>
          </cell>
          <cell r="CT956" t="str">
            <v>工</v>
          </cell>
          <cell r="CU956">
            <v>0.01</v>
          </cell>
          <cell r="CV956">
            <v>720</v>
          </cell>
          <cell r="CW956">
            <v>7.2</v>
          </cell>
          <cell r="CX956" t="str">
            <v xml:space="preserve"> </v>
          </cell>
        </row>
        <row r="958">
          <cell r="CQ958" t="str">
            <v>普通工</v>
          </cell>
          <cell r="CS958" t="str">
            <v xml:space="preserve"> </v>
          </cell>
          <cell r="CT958" t="str">
            <v>工</v>
          </cell>
          <cell r="CU958">
            <v>0.02</v>
          </cell>
          <cell r="CV958">
            <v>530</v>
          </cell>
          <cell r="CW958">
            <v>10.6</v>
          </cell>
        </row>
        <row r="960">
          <cell r="CQ960" t="str">
            <v>工具損耗</v>
          </cell>
          <cell r="CT960" t="str">
            <v>式</v>
          </cell>
          <cell r="CU960">
            <v>1</v>
          </cell>
          <cell r="CW960">
            <v>0.95</v>
          </cell>
        </row>
        <row r="962">
          <cell r="CQ962" t="str">
            <v>塑膠標線(原料)</v>
          </cell>
          <cell r="CS962" t="str">
            <v xml:space="preserve"> </v>
          </cell>
          <cell r="CT962" t="str">
            <v>KG</v>
          </cell>
          <cell r="CU962">
            <v>4.29</v>
          </cell>
          <cell r="CV962">
            <v>45</v>
          </cell>
          <cell r="CW962">
            <v>193.05</v>
          </cell>
        </row>
        <row r="964">
          <cell r="CQ964" t="str">
            <v>反光玻璃珠</v>
          </cell>
          <cell r="CS964" t="str">
            <v xml:space="preserve"> </v>
          </cell>
          <cell r="CT964" t="str">
            <v>KG</v>
          </cell>
          <cell r="CU964">
            <v>1.29</v>
          </cell>
          <cell r="CV964">
            <v>40</v>
          </cell>
          <cell r="CW964">
            <v>51.6</v>
          </cell>
        </row>
        <row r="965">
          <cell r="CQ965" t="str">
            <v xml:space="preserve"> </v>
          </cell>
          <cell r="CS965" t="str">
            <v xml:space="preserve"> </v>
          </cell>
          <cell r="CT965" t="str">
            <v xml:space="preserve"> </v>
          </cell>
          <cell r="CU965" t="str">
            <v xml:space="preserve"> </v>
          </cell>
          <cell r="CW965" t="str">
            <v xml:space="preserve"> </v>
          </cell>
        </row>
        <row r="966">
          <cell r="CQ966" t="str">
            <v>粘著劑</v>
          </cell>
          <cell r="CS966" t="str">
            <v xml:space="preserve"> </v>
          </cell>
          <cell r="CT966" t="str">
            <v>KG</v>
          </cell>
          <cell r="CU966">
            <v>0.14000000000000001</v>
          </cell>
          <cell r="CV966">
            <v>80</v>
          </cell>
          <cell r="CW966">
            <v>11.2</v>
          </cell>
        </row>
        <row r="967">
          <cell r="CQ967" t="str">
            <v xml:space="preserve"> </v>
          </cell>
          <cell r="CR967" t="str">
            <v xml:space="preserve"> </v>
          </cell>
          <cell r="CS967" t="str">
            <v xml:space="preserve"> </v>
          </cell>
          <cell r="CT967" t="str">
            <v xml:space="preserve"> </v>
          </cell>
          <cell r="CU967" t="str">
            <v xml:space="preserve"> </v>
          </cell>
          <cell r="CV967" t="str">
            <v xml:space="preserve"> </v>
          </cell>
          <cell r="CW967" t="str">
            <v xml:space="preserve"> </v>
          </cell>
          <cell r="CX967" t="str">
            <v xml:space="preserve"> </v>
          </cell>
        </row>
        <row r="968">
          <cell r="CQ968" t="str">
            <v>機具費</v>
          </cell>
          <cell r="CS968" t="str">
            <v xml:space="preserve"> </v>
          </cell>
          <cell r="CT968" t="str">
            <v>式</v>
          </cell>
          <cell r="CU968">
            <v>1</v>
          </cell>
          <cell r="CV968">
            <v>19.399999999999999</v>
          </cell>
          <cell r="CW968">
            <v>19.399999999999999</v>
          </cell>
          <cell r="CX968" t="str">
            <v xml:space="preserve"> </v>
          </cell>
        </row>
        <row r="969">
          <cell r="CQ969" t="str">
            <v xml:space="preserve"> </v>
          </cell>
          <cell r="CR969" t="str">
            <v xml:space="preserve"> </v>
          </cell>
          <cell r="CS969" t="str">
            <v xml:space="preserve"> </v>
          </cell>
          <cell r="CT969" t="str">
            <v xml:space="preserve"> </v>
          </cell>
          <cell r="CU969" t="str">
            <v xml:space="preserve"> </v>
          </cell>
          <cell r="CV969" t="str">
            <v xml:space="preserve"> </v>
          </cell>
        </row>
        <row r="970">
          <cell r="CQ970" t="str">
            <v xml:space="preserve"> </v>
          </cell>
          <cell r="CS970" t="str">
            <v xml:space="preserve"> </v>
          </cell>
          <cell r="CT970" t="str">
            <v xml:space="preserve"> </v>
          </cell>
          <cell r="CU970" t="str">
            <v>小計</v>
          </cell>
          <cell r="CV970" t="str">
            <v xml:space="preserve"> </v>
          </cell>
          <cell r="CW970">
            <v>294</v>
          </cell>
        </row>
        <row r="971">
          <cell r="CQ971" t="str">
            <v xml:space="preserve"> </v>
          </cell>
          <cell r="CR971" t="str">
            <v xml:space="preserve"> </v>
          </cell>
          <cell r="CS971" t="str">
            <v xml:space="preserve"> </v>
          </cell>
          <cell r="CT971" t="str">
            <v xml:space="preserve"> </v>
          </cell>
          <cell r="CU971" t="str">
            <v xml:space="preserve"> </v>
          </cell>
          <cell r="CV971" t="str">
            <v xml:space="preserve"> </v>
          </cell>
        </row>
        <row r="972">
          <cell r="CQ972" t="str">
            <v xml:space="preserve"> </v>
          </cell>
          <cell r="CR972" t="str">
            <v>每</v>
          </cell>
          <cell r="CS972" t="str">
            <v>m2</v>
          </cell>
          <cell r="CT972" t="str">
            <v>單 價 計</v>
          </cell>
          <cell r="CV972" t="str">
            <v xml:space="preserve"> </v>
          </cell>
          <cell r="CW972">
            <v>294</v>
          </cell>
        </row>
        <row r="1017">
          <cell r="CQ1017" t="str">
            <v>編號:</v>
          </cell>
          <cell r="CR1017" t="str">
            <v xml:space="preserve"> </v>
          </cell>
          <cell r="CS1017" t="str">
            <v>工 程 項 目</v>
          </cell>
          <cell r="CU1017" t="str">
            <v>排水孔</v>
          </cell>
          <cell r="CW1017" t="str">
            <v xml:space="preserve">  單    位</v>
          </cell>
          <cell r="CX1017" t="str">
            <v>個</v>
          </cell>
        </row>
        <row r="1018">
          <cell r="CQ1018" t="str">
            <v xml:space="preserve"> 工   程   項   目</v>
          </cell>
          <cell r="CS1018" t="str">
            <v xml:space="preserve"> 說 明</v>
          </cell>
          <cell r="CT1018" t="str">
            <v xml:space="preserve"> 單 位</v>
          </cell>
          <cell r="CU1018" t="str">
            <v xml:space="preserve"> 數  量</v>
          </cell>
          <cell r="CV1018" t="str">
            <v xml:space="preserve">  單  價</v>
          </cell>
          <cell r="CW1018" t="str">
            <v xml:space="preserve">  總    價 </v>
          </cell>
          <cell r="CX1018" t="str">
            <v>備    註</v>
          </cell>
        </row>
        <row r="1019">
          <cell r="CQ1019" t="str">
            <v>排水孔</v>
          </cell>
          <cell r="CS1019" t="str">
            <v xml:space="preserve"> </v>
          </cell>
          <cell r="CT1019" t="str">
            <v>個</v>
          </cell>
          <cell r="CU1019">
            <v>1</v>
          </cell>
          <cell r="CV1019">
            <v>120</v>
          </cell>
          <cell r="CW1019">
            <v>120</v>
          </cell>
          <cell r="CX1019" t="str">
            <v xml:space="preserve"> </v>
          </cell>
        </row>
        <row r="1021">
          <cell r="CQ1021" t="str">
            <v>剪裁及按裝</v>
          </cell>
          <cell r="CS1021" t="str">
            <v xml:space="preserve"> </v>
          </cell>
          <cell r="CT1021" t="str">
            <v>式</v>
          </cell>
          <cell r="CU1021">
            <v>1</v>
          </cell>
          <cell r="CW1021">
            <v>30</v>
          </cell>
        </row>
        <row r="1023">
          <cell r="CU1023" t="str">
            <v>小計</v>
          </cell>
          <cell r="CV1023" t="str">
            <v xml:space="preserve"> </v>
          </cell>
          <cell r="CW1023">
            <v>150</v>
          </cell>
        </row>
        <row r="1025">
          <cell r="CX1025" t="str">
            <v xml:space="preserve"> </v>
          </cell>
        </row>
        <row r="1029">
          <cell r="CQ1029" t="str">
            <v xml:space="preserve"> </v>
          </cell>
          <cell r="CS1029" t="str">
            <v xml:space="preserve"> </v>
          </cell>
          <cell r="CT1029" t="str">
            <v xml:space="preserve"> </v>
          </cell>
          <cell r="CU1029" t="str">
            <v xml:space="preserve"> </v>
          </cell>
          <cell r="CW1029" t="str">
            <v xml:space="preserve"> </v>
          </cell>
        </row>
        <row r="1032">
          <cell r="CX1032" t="str">
            <v xml:space="preserve"> </v>
          </cell>
        </row>
        <row r="1033">
          <cell r="CQ1033" t="str">
            <v xml:space="preserve"> </v>
          </cell>
          <cell r="CR1033" t="str">
            <v xml:space="preserve"> </v>
          </cell>
          <cell r="CS1033" t="str">
            <v xml:space="preserve"> </v>
          </cell>
          <cell r="CT1033" t="str">
            <v xml:space="preserve"> </v>
          </cell>
          <cell r="CU1033" t="str">
            <v xml:space="preserve"> </v>
          </cell>
          <cell r="CV1033" t="str">
            <v xml:space="preserve"> </v>
          </cell>
        </row>
        <row r="1034">
          <cell r="CQ1034" t="str">
            <v xml:space="preserve"> </v>
          </cell>
          <cell r="CS1034" t="str">
            <v xml:space="preserve"> </v>
          </cell>
          <cell r="CT1034" t="str">
            <v xml:space="preserve"> </v>
          </cell>
          <cell r="CU1034" t="str">
            <v xml:space="preserve"> </v>
          </cell>
          <cell r="CV1034" t="str">
            <v xml:space="preserve"> </v>
          </cell>
        </row>
        <row r="1035">
          <cell r="CQ1035" t="str">
            <v xml:space="preserve"> </v>
          </cell>
          <cell r="CR1035" t="str">
            <v>每</v>
          </cell>
          <cell r="CS1035" t="str">
            <v>個</v>
          </cell>
          <cell r="CT1035" t="str">
            <v>單 價 計</v>
          </cell>
          <cell r="CV1035" t="str">
            <v xml:space="preserve"> </v>
          </cell>
          <cell r="CW1035">
            <v>150</v>
          </cell>
        </row>
        <row r="1038">
          <cell r="CQ1038" t="str">
            <v xml:space="preserve"> 號數 : </v>
          </cell>
          <cell r="CR1038">
            <v>0</v>
          </cell>
          <cell r="CS1038" t="str">
            <v>工 程 項 目</v>
          </cell>
          <cell r="CU1038" t="str">
            <v>護欄</v>
          </cell>
          <cell r="CW1038" t="str">
            <v>單    位</v>
          </cell>
          <cell r="CX1038" t="str">
            <v>M</v>
          </cell>
        </row>
        <row r="1039">
          <cell r="CQ1039" t="str">
            <v>工   程   項   目</v>
          </cell>
          <cell r="CS1039" t="str">
            <v>說 明</v>
          </cell>
          <cell r="CT1039" t="str">
            <v>單 位</v>
          </cell>
          <cell r="CU1039" t="str">
            <v>數  量</v>
          </cell>
          <cell r="CV1039" t="str">
            <v>單   價</v>
          </cell>
          <cell r="CW1039" t="str">
            <v>總    價</v>
          </cell>
          <cell r="CX1039" t="str">
            <v>備    註</v>
          </cell>
        </row>
        <row r="1040">
          <cell r="CQ1040" t="str">
            <v>預拌210kg/cm2混凝土</v>
          </cell>
          <cell r="CS1040" t="str">
            <v xml:space="preserve"> </v>
          </cell>
          <cell r="CT1040" t="str">
            <v>M3</v>
          </cell>
          <cell r="CU1040">
            <v>0.08</v>
          </cell>
          <cell r="CV1040">
            <v>1600</v>
          </cell>
          <cell r="CW1040">
            <v>128</v>
          </cell>
        </row>
        <row r="1042">
          <cell r="CQ1042" t="str">
            <v>軀體模板製作及裝拆(裸露)</v>
          </cell>
          <cell r="CS1042" t="str">
            <v xml:space="preserve"> </v>
          </cell>
          <cell r="CT1042" t="str">
            <v>M2</v>
          </cell>
          <cell r="CU1042">
            <v>0.71</v>
          </cell>
          <cell r="CV1042">
            <v>306</v>
          </cell>
          <cell r="CW1042">
            <v>217.26</v>
          </cell>
          <cell r="CX1042" t="str">
            <v xml:space="preserve"> </v>
          </cell>
        </row>
        <row r="1044">
          <cell r="CQ1044" t="str">
            <v>鋼筋</v>
          </cell>
          <cell r="CS1044" t="str">
            <v xml:space="preserve"> </v>
          </cell>
          <cell r="CT1044" t="str">
            <v>KG</v>
          </cell>
          <cell r="CU1044">
            <v>10.039999999999999</v>
          </cell>
          <cell r="CV1044">
            <v>10.5</v>
          </cell>
          <cell r="CW1044">
            <v>105.42</v>
          </cell>
          <cell r="CX1044" t="str">
            <v xml:space="preserve"> </v>
          </cell>
        </row>
        <row r="1046">
          <cell r="CQ1046" t="str">
            <v>抿石子(二分石)</v>
          </cell>
          <cell r="CS1046" t="str">
            <v xml:space="preserve"> </v>
          </cell>
          <cell r="CT1046" t="str">
            <v>M2</v>
          </cell>
          <cell r="CU1046">
            <v>0.75</v>
          </cell>
          <cell r="CV1046">
            <v>950</v>
          </cell>
          <cell r="CW1046">
            <v>712.5</v>
          </cell>
          <cell r="CX1046" t="str">
            <v xml:space="preserve"> </v>
          </cell>
        </row>
        <row r="1048">
          <cell r="CQ1048" t="str">
            <v>φ4"鍍鋅鋼管GIP</v>
          </cell>
          <cell r="CT1048" t="str">
            <v>M</v>
          </cell>
          <cell r="CU1048">
            <v>3</v>
          </cell>
          <cell r="CV1048">
            <v>210</v>
          </cell>
          <cell r="CW1048">
            <v>630</v>
          </cell>
        </row>
        <row r="1050">
          <cell r="CQ1050" t="str">
            <v>鋼管烤漆</v>
          </cell>
          <cell r="CT1050" t="str">
            <v>式</v>
          </cell>
          <cell r="CU1050">
            <v>1</v>
          </cell>
          <cell r="CV1050">
            <v>280</v>
          </cell>
          <cell r="CW1050">
            <v>280</v>
          </cell>
        </row>
        <row r="1051">
          <cell r="CQ1051" t="str">
            <v xml:space="preserve"> </v>
          </cell>
          <cell r="CS1051" t="str">
            <v xml:space="preserve"> </v>
          </cell>
          <cell r="CT1051" t="str">
            <v xml:space="preserve"> </v>
          </cell>
          <cell r="CU1051" t="str">
            <v xml:space="preserve"> </v>
          </cell>
        </row>
        <row r="1052">
          <cell r="CQ1052" t="str">
            <v>五金另料</v>
          </cell>
          <cell r="CT1052" t="str">
            <v>式</v>
          </cell>
          <cell r="CU1052">
            <v>1</v>
          </cell>
          <cell r="CV1052">
            <v>26.82</v>
          </cell>
          <cell r="CW1052">
            <v>26.82</v>
          </cell>
        </row>
        <row r="1053">
          <cell r="CQ1053" t="str">
            <v xml:space="preserve"> </v>
          </cell>
          <cell r="CR1053" t="str">
            <v xml:space="preserve"> </v>
          </cell>
          <cell r="CS1053" t="str">
            <v xml:space="preserve"> </v>
          </cell>
          <cell r="CT1053" t="str">
            <v xml:space="preserve"> </v>
          </cell>
          <cell r="CU1053" t="str">
            <v xml:space="preserve"> </v>
          </cell>
          <cell r="CV1053" t="str">
            <v xml:space="preserve"> </v>
          </cell>
        </row>
        <row r="1055">
          <cell r="CQ1055" t="str">
            <v xml:space="preserve"> </v>
          </cell>
          <cell r="CS1055" t="str">
            <v xml:space="preserve"> </v>
          </cell>
          <cell r="CT1055" t="str">
            <v xml:space="preserve"> </v>
          </cell>
          <cell r="CU1055" t="str">
            <v xml:space="preserve"> </v>
          </cell>
        </row>
        <row r="1056">
          <cell r="CQ1056" t="str">
            <v xml:space="preserve"> </v>
          </cell>
          <cell r="CR1056" t="str">
            <v>每</v>
          </cell>
          <cell r="CS1056" t="str">
            <v>M</v>
          </cell>
          <cell r="CT1056" t="str">
            <v>單 價 計</v>
          </cell>
          <cell r="CV1056" t="str">
            <v xml:space="preserve"> </v>
          </cell>
          <cell r="CW1056">
            <v>2100.0000000000005</v>
          </cell>
        </row>
        <row r="1059">
          <cell r="CQ1059" t="str">
            <v xml:space="preserve"> 編號 :</v>
          </cell>
          <cell r="CR1059">
            <v>0</v>
          </cell>
          <cell r="CS1059" t="str">
            <v>工 程 項 目</v>
          </cell>
          <cell r="CU1059" t="str">
            <v>預置式排水器</v>
          </cell>
          <cell r="CW1059" t="str">
            <v>單    位</v>
          </cell>
          <cell r="CX1059" t="str">
            <v>處</v>
          </cell>
        </row>
        <row r="1060">
          <cell r="CQ1060" t="str">
            <v>工   程   項   目</v>
          </cell>
          <cell r="CS1060" t="str">
            <v>說 明</v>
          </cell>
          <cell r="CT1060" t="str">
            <v>單 位</v>
          </cell>
          <cell r="CU1060" t="str">
            <v>數  量</v>
          </cell>
          <cell r="CV1060" t="str">
            <v>單  價</v>
          </cell>
          <cell r="CW1060" t="str">
            <v>總    價</v>
          </cell>
          <cell r="CX1060" t="str">
            <v>備    註</v>
          </cell>
        </row>
        <row r="1061">
          <cell r="CQ1061" t="str">
            <v>過濾框</v>
          </cell>
          <cell r="CS1061" t="str">
            <v xml:space="preserve"> </v>
          </cell>
          <cell r="CT1061" t="str">
            <v>個</v>
          </cell>
          <cell r="CU1061">
            <v>1</v>
          </cell>
          <cell r="CV1061">
            <v>40</v>
          </cell>
          <cell r="CW1061">
            <v>40</v>
          </cell>
          <cell r="CX1061" t="str">
            <v xml:space="preserve"> </v>
          </cell>
        </row>
        <row r="1063">
          <cell r="CQ1063" t="str">
            <v>固定框</v>
          </cell>
          <cell r="CS1063" t="str">
            <v xml:space="preserve"> </v>
          </cell>
          <cell r="CT1063" t="str">
            <v>個</v>
          </cell>
          <cell r="CU1063">
            <v>1</v>
          </cell>
          <cell r="CV1063">
            <v>25</v>
          </cell>
          <cell r="CW1063">
            <v>25</v>
          </cell>
        </row>
        <row r="1065">
          <cell r="CQ1065" t="str">
            <v>φ3"PVC管</v>
          </cell>
          <cell r="CS1065" t="str">
            <v xml:space="preserve"> </v>
          </cell>
          <cell r="CT1065" t="str">
            <v>M</v>
          </cell>
          <cell r="CU1065">
            <v>0.8</v>
          </cell>
          <cell r="CV1065">
            <v>60</v>
          </cell>
          <cell r="CW1065">
            <v>48</v>
          </cell>
        </row>
        <row r="1067">
          <cell r="CQ1067" t="str">
            <v>小工</v>
          </cell>
          <cell r="CS1067" t="str">
            <v xml:space="preserve"> </v>
          </cell>
          <cell r="CT1067" t="str">
            <v>工</v>
          </cell>
          <cell r="CU1067">
            <v>0.01</v>
          </cell>
          <cell r="CV1067">
            <v>520</v>
          </cell>
          <cell r="CW1067">
            <v>5.2</v>
          </cell>
          <cell r="CX1067" t="str">
            <v xml:space="preserve"> </v>
          </cell>
        </row>
        <row r="1069">
          <cell r="CQ1069" t="str">
            <v>工具損耗</v>
          </cell>
          <cell r="CS1069" t="str">
            <v>約3%</v>
          </cell>
          <cell r="CT1069" t="str">
            <v>式</v>
          </cell>
          <cell r="CU1069">
            <v>1</v>
          </cell>
          <cell r="CV1069" t="str">
            <v xml:space="preserve"> </v>
          </cell>
          <cell r="CW1069">
            <v>1.8</v>
          </cell>
        </row>
        <row r="1071">
          <cell r="CU1071" t="str">
            <v>小計</v>
          </cell>
          <cell r="CV1071" t="str">
            <v xml:space="preserve"> </v>
          </cell>
          <cell r="CW1071">
            <v>120</v>
          </cell>
        </row>
        <row r="1072">
          <cell r="CQ1072" t="str">
            <v xml:space="preserve"> </v>
          </cell>
          <cell r="CR1072" t="str">
            <v xml:space="preserve"> </v>
          </cell>
          <cell r="CS1072" t="str">
            <v xml:space="preserve"> </v>
          </cell>
          <cell r="CT1072" t="str">
            <v xml:space="preserve"> </v>
          </cell>
          <cell r="CU1072" t="str">
            <v xml:space="preserve"> </v>
          </cell>
          <cell r="CV1072" t="str">
            <v xml:space="preserve"> </v>
          </cell>
          <cell r="CW1072" t="str">
            <v xml:space="preserve"> </v>
          </cell>
          <cell r="CX1072" t="str">
            <v xml:space="preserve"> </v>
          </cell>
        </row>
        <row r="1073">
          <cell r="CQ1073" t="str">
            <v xml:space="preserve"> </v>
          </cell>
          <cell r="CR1073" t="str">
            <v xml:space="preserve"> </v>
          </cell>
          <cell r="CS1073" t="str">
            <v xml:space="preserve"> </v>
          </cell>
          <cell r="CT1073" t="str">
            <v xml:space="preserve"> </v>
          </cell>
          <cell r="CU1073" t="str">
            <v xml:space="preserve"> </v>
          </cell>
          <cell r="CV1073" t="str">
            <v xml:space="preserve"> </v>
          </cell>
        </row>
        <row r="1074">
          <cell r="CQ1074" t="str">
            <v xml:space="preserve"> </v>
          </cell>
          <cell r="CS1074" t="str">
            <v xml:space="preserve"> </v>
          </cell>
          <cell r="CT1074" t="str">
            <v xml:space="preserve"> </v>
          </cell>
          <cell r="CU1074" t="str">
            <v xml:space="preserve"> </v>
          </cell>
          <cell r="CV1074" t="str">
            <v xml:space="preserve"> </v>
          </cell>
        </row>
        <row r="1075">
          <cell r="CQ1075" t="str">
            <v xml:space="preserve"> </v>
          </cell>
          <cell r="CR1075" t="str">
            <v xml:space="preserve"> </v>
          </cell>
          <cell r="CS1075" t="str">
            <v xml:space="preserve"> </v>
          </cell>
          <cell r="CT1075" t="str">
            <v xml:space="preserve"> </v>
          </cell>
          <cell r="CU1075" t="str">
            <v xml:space="preserve"> </v>
          </cell>
          <cell r="CV1075" t="str">
            <v xml:space="preserve"> </v>
          </cell>
        </row>
        <row r="1077">
          <cell r="CQ1077" t="str">
            <v xml:space="preserve"> </v>
          </cell>
          <cell r="CR1077" t="str">
            <v>每</v>
          </cell>
          <cell r="CS1077" t="str">
            <v>處</v>
          </cell>
          <cell r="CT1077" t="str">
            <v>單 價 計</v>
          </cell>
          <cell r="CV1077" t="str">
            <v xml:space="preserve"> </v>
          </cell>
          <cell r="CW1077">
            <v>120</v>
          </cell>
        </row>
        <row r="1164">
          <cell r="CQ1164" t="str">
            <v>編號:</v>
          </cell>
          <cell r="CR1164" t="str">
            <v xml:space="preserve"> </v>
          </cell>
          <cell r="CS1164" t="str">
            <v>工 程 項 目</v>
          </cell>
          <cell r="CU1164" t="str">
            <v>機械埋設涵管φ30cm</v>
          </cell>
          <cell r="CW1164" t="str">
            <v>單    位</v>
          </cell>
          <cell r="CX1164" t="str">
            <v>支</v>
          </cell>
        </row>
        <row r="1165">
          <cell r="CQ1165" t="str">
            <v>工   程   項   目</v>
          </cell>
          <cell r="CS1165" t="str">
            <v>說 明</v>
          </cell>
          <cell r="CT1165" t="str">
            <v>單 位</v>
          </cell>
          <cell r="CU1165" t="str">
            <v>數  量</v>
          </cell>
          <cell r="CV1165" t="str">
            <v>單   價</v>
          </cell>
          <cell r="CW1165" t="str">
            <v>總    價</v>
          </cell>
          <cell r="CX1165" t="str">
            <v>備    註</v>
          </cell>
        </row>
        <row r="1166">
          <cell r="CQ1166" t="str">
            <v>特種技工</v>
          </cell>
          <cell r="CS1166" t="str">
            <v xml:space="preserve"> </v>
          </cell>
          <cell r="CT1166" t="str">
            <v>工</v>
          </cell>
          <cell r="CU1166">
            <v>0.02</v>
          </cell>
          <cell r="CV1166">
            <v>800</v>
          </cell>
          <cell r="CW1166">
            <v>16</v>
          </cell>
          <cell r="CX1166" t="str">
            <v>涵管長度L=2.5m</v>
          </cell>
        </row>
        <row r="1168">
          <cell r="CQ1168" t="str">
            <v>普通工</v>
          </cell>
          <cell r="CS1168" t="str">
            <v xml:space="preserve"> </v>
          </cell>
          <cell r="CT1168" t="str">
            <v>工</v>
          </cell>
          <cell r="CU1168">
            <v>0.1</v>
          </cell>
          <cell r="CV1168">
            <v>530</v>
          </cell>
          <cell r="CW1168">
            <v>53</v>
          </cell>
          <cell r="CX1168" t="str">
            <v>含接頭.灌漿</v>
          </cell>
        </row>
        <row r="1170">
          <cell r="CQ1170" t="str">
            <v>機具費</v>
          </cell>
          <cell r="CT1170" t="str">
            <v>小時</v>
          </cell>
          <cell r="CU1170">
            <v>0.15</v>
          </cell>
          <cell r="CV1170">
            <v>750</v>
          </cell>
          <cell r="CW1170">
            <v>112.5</v>
          </cell>
          <cell r="CX1170" t="str">
            <v xml:space="preserve"> 0.4m3挖土機</v>
          </cell>
        </row>
        <row r="1172">
          <cell r="CQ1172" t="str">
            <v>工具搬運及損耗</v>
          </cell>
          <cell r="CS1172" t="str">
            <v>約3%</v>
          </cell>
          <cell r="CT1172" t="str">
            <v>式</v>
          </cell>
          <cell r="CU1172">
            <v>1</v>
          </cell>
          <cell r="CV1172" t="str">
            <v xml:space="preserve"> </v>
          </cell>
          <cell r="CW1172">
            <v>1.5</v>
          </cell>
          <cell r="CX1172" t="str">
            <v>含水泥砂漿</v>
          </cell>
        </row>
        <row r="1174">
          <cell r="CQ1174" t="str">
            <v xml:space="preserve"> </v>
          </cell>
          <cell r="CR1174" t="str">
            <v xml:space="preserve"> </v>
          </cell>
          <cell r="CS1174" t="str">
            <v xml:space="preserve"> </v>
          </cell>
          <cell r="CT1174" t="str">
            <v xml:space="preserve"> </v>
          </cell>
          <cell r="CU1174" t="str">
            <v>小計</v>
          </cell>
          <cell r="CV1174" t="str">
            <v xml:space="preserve"> </v>
          </cell>
          <cell r="CW1174">
            <v>183</v>
          </cell>
          <cell r="CX1174" t="str">
            <v xml:space="preserve"> </v>
          </cell>
        </row>
        <row r="1181">
          <cell r="CQ1181" t="str">
            <v xml:space="preserve"> </v>
          </cell>
          <cell r="CR1181" t="str">
            <v xml:space="preserve"> </v>
          </cell>
          <cell r="CS1181" t="str">
            <v xml:space="preserve"> </v>
          </cell>
          <cell r="CT1181" t="str">
            <v xml:space="preserve"> </v>
          </cell>
          <cell r="CU1181" t="str">
            <v xml:space="preserve"> </v>
          </cell>
          <cell r="CV1181" t="str">
            <v xml:space="preserve"> </v>
          </cell>
        </row>
        <row r="1182">
          <cell r="CQ1182" t="str">
            <v xml:space="preserve"> </v>
          </cell>
          <cell r="CR1182" t="str">
            <v>每</v>
          </cell>
          <cell r="CS1182" t="str">
            <v>支</v>
          </cell>
          <cell r="CT1182" t="str">
            <v>單 價 計</v>
          </cell>
          <cell r="CV1182" t="str">
            <v xml:space="preserve"> </v>
          </cell>
          <cell r="CW1182">
            <v>183</v>
          </cell>
        </row>
        <row r="1185">
          <cell r="CQ1185" t="str">
            <v>編號:</v>
          </cell>
          <cell r="CR1185" t="str">
            <v xml:space="preserve"> </v>
          </cell>
          <cell r="CS1185" t="str">
            <v>工 程 項 目</v>
          </cell>
          <cell r="CU1185" t="str">
            <v>機械埋設涵管φ45cm</v>
          </cell>
          <cell r="CW1185" t="str">
            <v>單    位</v>
          </cell>
          <cell r="CX1185" t="str">
            <v>支</v>
          </cell>
        </row>
        <row r="1186">
          <cell r="CQ1186" t="str">
            <v>工   程   項   目</v>
          </cell>
          <cell r="CS1186" t="str">
            <v>說 明</v>
          </cell>
          <cell r="CT1186" t="str">
            <v>單 位</v>
          </cell>
          <cell r="CU1186" t="str">
            <v>數  量</v>
          </cell>
          <cell r="CV1186" t="str">
            <v>單   價</v>
          </cell>
          <cell r="CW1186" t="str">
            <v>總    價</v>
          </cell>
          <cell r="CX1186" t="str">
            <v>備    註</v>
          </cell>
        </row>
        <row r="1187">
          <cell r="CQ1187" t="str">
            <v>特種技工</v>
          </cell>
          <cell r="CS1187" t="str">
            <v xml:space="preserve"> </v>
          </cell>
          <cell r="CT1187" t="str">
            <v>工</v>
          </cell>
          <cell r="CU1187">
            <v>7.0000000000000007E-2</v>
          </cell>
          <cell r="CV1187">
            <v>800</v>
          </cell>
          <cell r="CW1187">
            <v>56</v>
          </cell>
          <cell r="CX1187" t="str">
            <v>涵管長度L=2.5m</v>
          </cell>
        </row>
        <row r="1189">
          <cell r="CQ1189" t="str">
            <v>普通工</v>
          </cell>
          <cell r="CS1189" t="str">
            <v xml:space="preserve"> </v>
          </cell>
          <cell r="CT1189" t="str">
            <v>工</v>
          </cell>
          <cell r="CU1189">
            <v>0.15</v>
          </cell>
          <cell r="CV1189">
            <v>530</v>
          </cell>
          <cell r="CW1189">
            <v>79.5</v>
          </cell>
          <cell r="CX1189" t="str">
            <v>含接頭.灌漿</v>
          </cell>
        </row>
        <row r="1191">
          <cell r="CQ1191" t="str">
            <v>機具費</v>
          </cell>
          <cell r="CT1191" t="str">
            <v>小時</v>
          </cell>
          <cell r="CU1191">
            <v>0.4</v>
          </cell>
          <cell r="CV1191">
            <v>750</v>
          </cell>
          <cell r="CW1191">
            <v>300</v>
          </cell>
          <cell r="CX1191" t="str">
            <v xml:space="preserve"> 0.4m3挖土機</v>
          </cell>
        </row>
        <row r="1193">
          <cell r="CQ1193" t="str">
            <v>工具搬運及損耗</v>
          </cell>
          <cell r="CS1193" t="str">
            <v>約3%</v>
          </cell>
          <cell r="CT1193" t="str">
            <v>式</v>
          </cell>
          <cell r="CU1193">
            <v>1</v>
          </cell>
          <cell r="CV1193" t="str">
            <v xml:space="preserve"> </v>
          </cell>
          <cell r="CW1193">
            <v>3.5</v>
          </cell>
          <cell r="CX1193" t="str">
            <v>含水泥砂漿</v>
          </cell>
        </row>
        <row r="1195">
          <cell r="CQ1195" t="str">
            <v xml:space="preserve"> </v>
          </cell>
          <cell r="CR1195" t="str">
            <v xml:space="preserve"> </v>
          </cell>
          <cell r="CS1195" t="str">
            <v xml:space="preserve"> </v>
          </cell>
          <cell r="CT1195" t="str">
            <v xml:space="preserve"> </v>
          </cell>
          <cell r="CU1195" t="str">
            <v>小計</v>
          </cell>
          <cell r="CV1195" t="str">
            <v xml:space="preserve"> </v>
          </cell>
          <cell r="CW1195">
            <v>439</v>
          </cell>
        </row>
        <row r="1202">
          <cell r="CQ1202" t="str">
            <v xml:space="preserve"> </v>
          </cell>
          <cell r="CR1202" t="str">
            <v xml:space="preserve"> </v>
          </cell>
          <cell r="CS1202" t="str">
            <v xml:space="preserve"> </v>
          </cell>
          <cell r="CT1202" t="str">
            <v xml:space="preserve"> </v>
          </cell>
          <cell r="CU1202" t="str">
            <v xml:space="preserve"> </v>
          </cell>
          <cell r="CV1202" t="str">
            <v xml:space="preserve"> </v>
          </cell>
        </row>
        <row r="1203">
          <cell r="CQ1203" t="str">
            <v xml:space="preserve"> </v>
          </cell>
          <cell r="CR1203" t="str">
            <v>每</v>
          </cell>
          <cell r="CS1203" t="str">
            <v>支</v>
          </cell>
          <cell r="CT1203" t="str">
            <v>單 價 計</v>
          </cell>
          <cell r="CV1203" t="str">
            <v xml:space="preserve"> </v>
          </cell>
          <cell r="CW1203">
            <v>439</v>
          </cell>
        </row>
        <row r="1206">
          <cell r="CQ1206" t="str">
            <v>編號:</v>
          </cell>
          <cell r="CR1206" t="str">
            <v xml:space="preserve"> </v>
          </cell>
          <cell r="CS1206" t="str">
            <v>工 程 項 目</v>
          </cell>
          <cell r="CU1206" t="str">
            <v>機械埋設涵管φ60cm</v>
          </cell>
          <cell r="CW1206" t="str">
            <v>單    位</v>
          </cell>
          <cell r="CX1206" t="str">
            <v>支</v>
          </cell>
        </row>
        <row r="1207">
          <cell r="CQ1207" t="str">
            <v>工   程   項   目</v>
          </cell>
          <cell r="CS1207" t="str">
            <v>說 明</v>
          </cell>
          <cell r="CT1207" t="str">
            <v>單 位</v>
          </cell>
          <cell r="CU1207" t="str">
            <v>數  量</v>
          </cell>
          <cell r="CV1207" t="str">
            <v>單   價</v>
          </cell>
          <cell r="CW1207" t="str">
            <v>總    價</v>
          </cell>
          <cell r="CX1207" t="str">
            <v>備    註</v>
          </cell>
        </row>
        <row r="1208">
          <cell r="CQ1208" t="str">
            <v>特種技工</v>
          </cell>
          <cell r="CS1208" t="str">
            <v xml:space="preserve"> </v>
          </cell>
          <cell r="CT1208" t="str">
            <v>工</v>
          </cell>
          <cell r="CU1208">
            <v>0.08</v>
          </cell>
          <cell r="CV1208">
            <v>800</v>
          </cell>
          <cell r="CW1208">
            <v>64</v>
          </cell>
          <cell r="CX1208" t="str">
            <v>涵管長度L=2.5m</v>
          </cell>
        </row>
        <row r="1210">
          <cell r="CQ1210" t="str">
            <v>普通工</v>
          </cell>
          <cell r="CS1210" t="str">
            <v xml:space="preserve"> </v>
          </cell>
          <cell r="CT1210" t="str">
            <v>工</v>
          </cell>
          <cell r="CU1210">
            <v>0.2</v>
          </cell>
          <cell r="CV1210">
            <v>530</v>
          </cell>
          <cell r="CW1210">
            <v>106</v>
          </cell>
          <cell r="CX1210" t="str">
            <v>含接頭.灌漿</v>
          </cell>
        </row>
        <row r="1212">
          <cell r="CQ1212" t="str">
            <v>機具費</v>
          </cell>
          <cell r="CT1212" t="str">
            <v>小時</v>
          </cell>
          <cell r="CU1212">
            <v>0.56999999999999995</v>
          </cell>
          <cell r="CV1212">
            <v>750</v>
          </cell>
          <cell r="CW1212">
            <v>427.5</v>
          </cell>
          <cell r="CX1212" t="str">
            <v xml:space="preserve"> 0.4m3挖土機</v>
          </cell>
        </row>
        <row r="1214">
          <cell r="CQ1214" t="str">
            <v>工具搬運及損耗</v>
          </cell>
          <cell r="CS1214" t="str">
            <v>約3%</v>
          </cell>
          <cell r="CT1214" t="str">
            <v>式</v>
          </cell>
          <cell r="CU1214">
            <v>1</v>
          </cell>
          <cell r="CV1214" t="str">
            <v xml:space="preserve"> </v>
          </cell>
          <cell r="CW1214">
            <v>4.5</v>
          </cell>
          <cell r="CX1214" t="str">
            <v>含水泥砂漿</v>
          </cell>
        </row>
        <row r="1216">
          <cell r="CQ1216" t="str">
            <v xml:space="preserve"> </v>
          </cell>
          <cell r="CR1216" t="str">
            <v xml:space="preserve"> </v>
          </cell>
          <cell r="CS1216" t="str">
            <v xml:space="preserve"> </v>
          </cell>
          <cell r="CT1216" t="str">
            <v xml:space="preserve"> </v>
          </cell>
          <cell r="CU1216" t="str">
            <v>小計</v>
          </cell>
          <cell r="CV1216" t="str">
            <v xml:space="preserve"> </v>
          </cell>
          <cell r="CW1216">
            <v>602</v>
          </cell>
        </row>
        <row r="1223">
          <cell r="CQ1223" t="str">
            <v xml:space="preserve"> </v>
          </cell>
          <cell r="CR1223" t="str">
            <v xml:space="preserve"> </v>
          </cell>
          <cell r="CS1223" t="str">
            <v xml:space="preserve"> </v>
          </cell>
          <cell r="CT1223" t="str">
            <v xml:space="preserve"> </v>
          </cell>
          <cell r="CU1223" t="str">
            <v xml:space="preserve"> </v>
          </cell>
          <cell r="CV1223" t="str">
            <v xml:space="preserve"> </v>
          </cell>
        </row>
        <row r="1224">
          <cell r="CQ1224" t="str">
            <v xml:space="preserve"> </v>
          </cell>
          <cell r="CR1224" t="str">
            <v>每</v>
          </cell>
          <cell r="CS1224" t="str">
            <v>支</v>
          </cell>
          <cell r="CT1224" t="str">
            <v>單 價 計</v>
          </cell>
          <cell r="CV1224" t="str">
            <v xml:space="preserve"> </v>
          </cell>
          <cell r="CW1224">
            <v>602</v>
          </cell>
        </row>
        <row r="1227">
          <cell r="CQ1227" t="str">
            <v>編號:</v>
          </cell>
          <cell r="CR1227" t="str">
            <v xml:space="preserve"> </v>
          </cell>
          <cell r="CS1227" t="str">
            <v>工 程 項 目</v>
          </cell>
          <cell r="CU1227" t="str">
            <v>機械埋設涵管φ90cm</v>
          </cell>
          <cell r="CW1227" t="str">
            <v>單    位</v>
          </cell>
          <cell r="CX1227" t="str">
            <v>支</v>
          </cell>
        </row>
        <row r="1228">
          <cell r="CQ1228" t="str">
            <v>工   程   項   目</v>
          </cell>
          <cell r="CS1228" t="str">
            <v>說 明</v>
          </cell>
          <cell r="CT1228" t="str">
            <v>單 位</v>
          </cell>
          <cell r="CU1228" t="str">
            <v>數  量</v>
          </cell>
          <cell r="CV1228" t="str">
            <v>單   價</v>
          </cell>
          <cell r="CW1228" t="str">
            <v>總    價</v>
          </cell>
          <cell r="CX1228" t="str">
            <v>備    註</v>
          </cell>
        </row>
        <row r="1229">
          <cell r="CQ1229" t="str">
            <v>特種技工</v>
          </cell>
          <cell r="CS1229" t="str">
            <v xml:space="preserve"> </v>
          </cell>
          <cell r="CT1229" t="str">
            <v>工</v>
          </cell>
          <cell r="CU1229">
            <v>0.09</v>
          </cell>
          <cell r="CV1229">
            <v>800</v>
          </cell>
          <cell r="CW1229">
            <v>72</v>
          </cell>
          <cell r="CX1229" t="str">
            <v>涵管長度L=2.5m</v>
          </cell>
        </row>
        <row r="1231">
          <cell r="CQ1231" t="str">
            <v>普通工</v>
          </cell>
          <cell r="CS1231" t="str">
            <v xml:space="preserve"> </v>
          </cell>
          <cell r="CT1231" t="str">
            <v>工</v>
          </cell>
          <cell r="CU1231">
            <v>0.35</v>
          </cell>
          <cell r="CV1231">
            <v>530</v>
          </cell>
          <cell r="CW1231">
            <v>185.5</v>
          </cell>
          <cell r="CX1231" t="str">
            <v>含接頭.灌漿</v>
          </cell>
        </row>
        <row r="1233">
          <cell r="CQ1233" t="str">
            <v>機具費</v>
          </cell>
          <cell r="CT1233" t="str">
            <v>小時</v>
          </cell>
          <cell r="CU1233">
            <v>0.67</v>
          </cell>
          <cell r="CV1233">
            <v>750</v>
          </cell>
          <cell r="CW1233">
            <v>502.5</v>
          </cell>
          <cell r="CX1233" t="str">
            <v xml:space="preserve"> 0.4m3挖土機</v>
          </cell>
        </row>
        <row r="1235">
          <cell r="CQ1235" t="str">
            <v>工具搬運及損耗</v>
          </cell>
          <cell r="CS1235" t="str">
            <v>約3%</v>
          </cell>
          <cell r="CT1235" t="str">
            <v>式</v>
          </cell>
          <cell r="CU1235">
            <v>1</v>
          </cell>
          <cell r="CV1235" t="str">
            <v xml:space="preserve"> </v>
          </cell>
          <cell r="CW1235">
            <v>7</v>
          </cell>
          <cell r="CX1235" t="str">
            <v>含水泥砂漿</v>
          </cell>
        </row>
        <row r="1237">
          <cell r="CQ1237" t="str">
            <v xml:space="preserve"> </v>
          </cell>
          <cell r="CR1237" t="str">
            <v xml:space="preserve"> </v>
          </cell>
          <cell r="CS1237" t="str">
            <v xml:space="preserve"> </v>
          </cell>
          <cell r="CT1237" t="str">
            <v xml:space="preserve"> </v>
          </cell>
          <cell r="CU1237" t="str">
            <v>小計</v>
          </cell>
          <cell r="CV1237" t="str">
            <v xml:space="preserve"> </v>
          </cell>
          <cell r="CW1237">
            <v>767</v>
          </cell>
        </row>
        <row r="1244">
          <cell r="CQ1244" t="str">
            <v xml:space="preserve"> </v>
          </cell>
          <cell r="CR1244" t="str">
            <v xml:space="preserve"> </v>
          </cell>
          <cell r="CS1244" t="str">
            <v xml:space="preserve"> </v>
          </cell>
          <cell r="CT1244" t="str">
            <v xml:space="preserve"> </v>
          </cell>
          <cell r="CU1244" t="str">
            <v xml:space="preserve"> </v>
          </cell>
          <cell r="CV1244" t="str">
            <v xml:space="preserve"> </v>
          </cell>
        </row>
        <row r="1245">
          <cell r="CQ1245" t="str">
            <v xml:space="preserve"> </v>
          </cell>
          <cell r="CR1245" t="str">
            <v>每</v>
          </cell>
          <cell r="CS1245" t="str">
            <v>支</v>
          </cell>
          <cell r="CT1245" t="str">
            <v>單 價 計</v>
          </cell>
          <cell r="CV1245" t="str">
            <v xml:space="preserve"> </v>
          </cell>
          <cell r="CW1245">
            <v>767</v>
          </cell>
        </row>
        <row r="1248">
          <cell r="CQ1248" t="str">
            <v>編號:</v>
          </cell>
          <cell r="CR1248" t="str">
            <v xml:space="preserve"> </v>
          </cell>
          <cell r="CS1248" t="str">
            <v>工 程 項 目</v>
          </cell>
          <cell r="CU1248" t="str">
            <v>機械埋設涵管φ120cm</v>
          </cell>
          <cell r="CW1248" t="str">
            <v>單    位</v>
          </cell>
          <cell r="CX1248" t="str">
            <v>支</v>
          </cell>
        </row>
        <row r="1249">
          <cell r="CQ1249" t="str">
            <v>工   程   項   目</v>
          </cell>
          <cell r="CS1249" t="str">
            <v>說 明</v>
          </cell>
          <cell r="CT1249" t="str">
            <v>單 位</v>
          </cell>
          <cell r="CU1249" t="str">
            <v>數  量</v>
          </cell>
          <cell r="CV1249" t="str">
            <v>單   價</v>
          </cell>
          <cell r="CW1249" t="str">
            <v>總    價</v>
          </cell>
          <cell r="CX1249" t="str">
            <v>備    註</v>
          </cell>
        </row>
        <row r="1250">
          <cell r="CQ1250" t="str">
            <v>特種技工</v>
          </cell>
          <cell r="CS1250" t="str">
            <v xml:space="preserve"> </v>
          </cell>
          <cell r="CT1250" t="str">
            <v>工</v>
          </cell>
          <cell r="CU1250">
            <v>0.15</v>
          </cell>
          <cell r="CV1250">
            <v>800</v>
          </cell>
          <cell r="CW1250">
            <v>120</v>
          </cell>
          <cell r="CX1250" t="str">
            <v>涵管長度L=2.5m</v>
          </cell>
        </row>
        <row r="1252">
          <cell r="CQ1252" t="str">
            <v>普通工</v>
          </cell>
          <cell r="CS1252" t="str">
            <v xml:space="preserve"> </v>
          </cell>
          <cell r="CT1252" t="str">
            <v>工</v>
          </cell>
          <cell r="CU1252">
            <v>0.6</v>
          </cell>
          <cell r="CV1252">
            <v>530</v>
          </cell>
          <cell r="CW1252">
            <v>318</v>
          </cell>
          <cell r="CX1252" t="str">
            <v>含接頭.灌漿</v>
          </cell>
        </row>
        <row r="1254">
          <cell r="CQ1254" t="str">
            <v>機具費</v>
          </cell>
          <cell r="CT1254" t="str">
            <v>小時</v>
          </cell>
          <cell r="CU1254">
            <v>1</v>
          </cell>
          <cell r="CV1254">
            <v>750</v>
          </cell>
          <cell r="CW1254">
            <v>750</v>
          </cell>
          <cell r="CX1254" t="str">
            <v xml:space="preserve"> 0.4m3挖土機</v>
          </cell>
        </row>
        <row r="1256">
          <cell r="CQ1256" t="str">
            <v>工具搬運及損耗</v>
          </cell>
          <cell r="CS1256" t="str">
            <v>約3%</v>
          </cell>
          <cell r="CT1256" t="str">
            <v>式</v>
          </cell>
          <cell r="CU1256">
            <v>1</v>
          </cell>
          <cell r="CV1256" t="str">
            <v xml:space="preserve"> </v>
          </cell>
          <cell r="CW1256">
            <v>12</v>
          </cell>
          <cell r="CX1256" t="str">
            <v>含水泥砂漿</v>
          </cell>
        </row>
        <row r="1258">
          <cell r="CQ1258" t="str">
            <v xml:space="preserve"> </v>
          </cell>
          <cell r="CR1258" t="str">
            <v xml:space="preserve"> </v>
          </cell>
          <cell r="CS1258" t="str">
            <v xml:space="preserve"> </v>
          </cell>
          <cell r="CT1258" t="str">
            <v xml:space="preserve"> </v>
          </cell>
          <cell r="CU1258" t="str">
            <v>小計</v>
          </cell>
          <cell r="CV1258" t="str">
            <v xml:space="preserve"> </v>
          </cell>
          <cell r="CW1258">
            <v>1200</v>
          </cell>
        </row>
        <row r="1265">
          <cell r="CQ1265" t="str">
            <v xml:space="preserve"> </v>
          </cell>
          <cell r="CR1265" t="str">
            <v xml:space="preserve"> </v>
          </cell>
          <cell r="CS1265" t="str">
            <v xml:space="preserve"> </v>
          </cell>
          <cell r="CT1265" t="str">
            <v xml:space="preserve"> </v>
          </cell>
          <cell r="CU1265" t="str">
            <v xml:space="preserve"> </v>
          </cell>
          <cell r="CV1265" t="str">
            <v xml:space="preserve"> </v>
          </cell>
        </row>
        <row r="1266">
          <cell r="CQ1266" t="str">
            <v xml:space="preserve"> </v>
          </cell>
          <cell r="CR1266" t="str">
            <v>每</v>
          </cell>
          <cell r="CS1266" t="str">
            <v>支</v>
          </cell>
          <cell r="CT1266" t="str">
            <v>單 價 計</v>
          </cell>
          <cell r="CV1266" t="str">
            <v xml:space="preserve"> </v>
          </cell>
          <cell r="CW1266">
            <v>1200</v>
          </cell>
        </row>
        <row r="1458">
          <cell r="CQ1458" t="str">
            <v xml:space="preserve"> 號數 : </v>
          </cell>
          <cell r="CR1458">
            <v>0</v>
          </cell>
          <cell r="CS1458" t="str">
            <v>工 程 項 目</v>
          </cell>
          <cell r="CU1458" t="str">
            <v>清潔孔熱浸鍍鋅格柵板及安裝(30cm)</v>
          </cell>
          <cell r="CW1458" t="str">
            <v>單    位</v>
          </cell>
          <cell r="CX1458" t="str">
            <v>組</v>
          </cell>
        </row>
        <row r="1459">
          <cell r="CQ1459" t="str">
            <v>工   程   項   目</v>
          </cell>
          <cell r="CS1459" t="str">
            <v>說 明</v>
          </cell>
          <cell r="CT1459" t="str">
            <v>單 位</v>
          </cell>
          <cell r="CU1459" t="str">
            <v>數  量</v>
          </cell>
          <cell r="CV1459" t="str">
            <v>單   價</v>
          </cell>
          <cell r="CW1459" t="str">
            <v>總    價</v>
          </cell>
          <cell r="CX1459" t="str">
            <v>備    註</v>
          </cell>
        </row>
        <row r="1460">
          <cell r="CQ1460" t="str">
            <v>熱浸鍍鋅格柵板</v>
          </cell>
          <cell r="CS1460" t="str">
            <v xml:space="preserve"> </v>
          </cell>
          <cell r="CT1460" t="str">
            <v>KG</v>
          </cell>
          <cell r="CU1460">
            <v>22.7</v>
          </cell>
          <cell r="CV1460">
            <v>75</v>
          </cell>
          <cell r="CW1460">
            <v>1702.5</v>
          </cell>
          <cell r="CX1460" t="str">
            <v xml:space="preserve"> </v>
          </cell>
        </row>
        <row r="1462">
          <cell r="CQ1462" t="str">
            <v>裝置及搬運</v>
          </cell>
          <cell r="CS1462" t="str">
            <v xml:space="preserve"> </v>
          </cell>
          <cell r="CT1462" t="str">
            <v>式</v>
          </cell>
          <cell r="CU1462">
            <v>1</v>
          </cell>
          <cell r="CV1462">
            <v>250.5</v>
          </cell>
          <cell r="CW1462">
            <v>250.5</v>
          </cell>
        </row>
        <row r="1464">
          <cell r="CU1464" t="str">
            <v>小計</v>
          </cell>
          <cell r="CV1464" t="str">
            <v xml:space="preserve"> </v>
          </cell>
          <cell r="CW1464">
            <v>1953</v>
          </cell>
        </row>
        <row r="1472">
          <cell r="CQ1472" t="str">
            <v xml:space="preserve"> </v>
          </cell>
          <cell r="CR1472" t="str">
            <v xml:space="preserve"> </v>
          </cell>
          <cell r="CS1472" t="str">
            <v xml:space="preserve"> </v>
          </cell>
          <cell r="CT1472" t="str">
            <v xml:space="preserve"> </v>
          </cell>
          <cell r="CU1472" t="str">
            <v xml:space="preserve"> </v>
          </cell>
          <cell r="CV1472" t="str">
            <v xml:space="preserve"> </v>
          </cell>
        </row>
        <row r="1473">
          <cell r="CQ1473" t="str">
            <v xml:space="preserve"> </v>
          </cell>
          <cell r="CS1473" t="str">
            <v xml:space="preserve"> </v>
          </cell>
          <cell r="CT1473" t="str">
            <v xml:space="preserve"> </v>
          </cell>
          <cell r="CU1473" t="str">
            <v xml:space="preserve"> </v>
          </cell>
        </row>
        <row r="1474">
          <cell r="CQ1474" t="str">
            <v xml:space="preserve"> </v>
          </cell>
          <cell r="CR1474" t="str">
            <v xml:space="preserve"> </v>
          </cell>
          <cell r="CS1474" t="str">
            <v xml:space="preserve"> </v>
          </cell>
          <cell r="CT1474" t="str">
            <v xml:space="preserve"> </v>
          </cell>
          <cell r="CU1474" t="str">
            <v xml:space="preserve"> </v>
          </cell>
          <cell r="CV1474" t="str">
            <v xml:space="preserve"> </v>
          </cell>
        </row>
        <row r="1476">
          <cell r="CQ1476" t="str">
            <v xml:space="preserve"> </v>
          </cell>
          <cell r="CR1476" t="str">
            <v>每</v>
          </cell>
          <cell r="CS1476" t="str">
            <v>組</v>
          </cell>
          <cell r="CT1476" t="str">
            <v>單 價 計</v>
          </cell>
          <cell r="CV1476" t="str">
            <v xml:space="preserve"> </v>
          </cell>
          <cell r="CW1476">
            <v>1953</v>
          </cell>
        </row>
        <row r="1479">
          <cell r="CQ1479" t="str">
            <v>編號:</v>
          </cell>
          <cell r="CR1479" t="str">
            <v xml:space="preserve"> </v>
          </cell>
          <cell r="CS1479" t="str">
            <v>工 程 項 目</v>
          </cell>
          <cell r="CU1479" t="str">
            <v>清潔孔熱浸鍍鋅格柵板及安裝(40cm)</v>
          </cell>
          <cell r="CW1479" t="str">
            <v xml:space="preserve">  單    位</v>
          </cell>
          <cell r="CX1479" t="str">
            <v>組</v>
          </cell>
        </row>
        <row r="1480">
          <cell r="CQ1480" t="str">
            <v xml:space="preserve"> 工   程   項   目</v>
          </cell>
          <cell r="CS1480" t="str">
            <v xml:space="preserve"> 說 明</v>
          </cell>
          <cell r="CT1480" t="str">
            <v xml:space="preserve"> 單 位</v>
          </cell>
          <cell r="CU1480" t="str">
            <v xml:space="preserve"> 數  量</v>
          </cell>
          <cell r="CV1480" t="str">
            <v xml:space="preserve">  單  價</v>
          </cell>
          <cell r="CW1480" t="str">
            <v xml:space="preserve">  總    價 </v>
          </cell>
          <cell r="CX1480" t="str">
            <v>備    註</v>
          </cell>
        </row>
        <row r="1481">
          <cell r="CQ1481" t="str">
            <v>熱浸鍍鋅格柵板</v>
          </cell>
          <cell r="CS1481" t="str">
            <v xml:space="preserve"> </v>
          </cell>
          <cell r="CT1481" t="str">
            <v>KG</v>
          </cell>
          <cell r="CU1481">
            <v>28.9</v>
          </cell>
          <cell r="CV1481">
            <v>75</v>
          </cell>
          <cell r="CW1481">
            <v>2167.5</v>
          </cell>
          <cell r="CX1481" t="str">
            <v xml:space="preserve"> </v>
          </cell>
        </row>
        <row r="1483">
          <cell r="CQ1483" t="str">
            <v>裝置及搬運</v>
          </cell>
          <cell r="CS1483" t="str">
            <v xml:space="preserve"> </v>
          </cell>
          <cell r="CT1483" t="str">
            <v>式</v>
          </cell>
          <cell r="CU1483">
            <v>1</v>
          </cell>
          <cell r="CV1483" t="str">
            <v xml:space="preserve"> </v>
          </cell>
          <cell r="CW1483">
            <v>250.5</v>
          </cell>
        </row>
        <row r="1485">
          <cell r="CU1485" t="str">
            <v>小計</v>
          </cell>
          <cell r="CV1485" t="str">
            <v xml:space="preserve"> </v>
          </cell>
          <cell r="CW1485">
            <v>2418</v>
          </cell>
        </row>
        <row r="1493">
          <cell r="CQ1493" t="str">
            <v xml:space="preserve"> </v>
          </cell>
          <cell r="CR1493" t="str">
            <v xml:space="preserve"> </v>
          </cell>
          <cell r="CS1493" t="str">
            <v xml:space="preserve"> </v>
          </cell>
          <cell r="CT1493" t="str">
            <v xml:space="preserve"> </v>
          </cell>
          <cell r="CU1493" t="str">
            <v xml:space="preserve"> </v>
          </cell>
          <cell r="CV1493" t="str">
            <v xml:space="preserve"> </v>
          </cell>
        </row>
        <row r="1494">
          <cell r="CQ1494" t="str">
            <v xml:space="preserve"> </v>
          </cell>
          <cell r="CS1494" t="str">
            <v xml:space="preserve"> </v>
          </cell>
          <cell r="CT1494" t="str">
            <v xml:space="preserve"> </v>
          </cell>
          <cell r="CU1494" t="str">
            <v xml:space="preserve"> </v>
          </cell>
        </row>
        <row r="1495">
          <cell r="CQ1495" t="str">
            <v xml:space="preserve"> </v>
          </cell>
          <cell r="CR1495" t="str">
            <v xml:space="preserve"> </v>
          </cell>
          <cell r="CS1495" t="str">
            <v xml:space="preserve"> </v>
          </cell>
          <cell r="CT1495" t="str">
            <v xml:space="preserve"> </v>
          </cell>
          <cell r="CU1495" t="str">
            <v xml:space="preserve"> </v>
          </cell>
          <cell r="CV1495" t="str">
            <v xml:space="preserve"> </v>
          </cell>
        </row>
        <row r="1497">
          <cell r="CQ1497" t="str">
            <v xml:space="preserve"> </v>
          </cell>
          <cell r="CR1497" t="str">
            <v>每</v>
          </cell>
          <cell r="CS1497" t="str">
            <v>組</v>
          </cell>
          <cell r="CT1497" t="str">
            <v>單 價 計</v>
          </cell>
          <cell r="CV1497" t="str">
            <v xml:space="preserve"> </v>
          </cell>
          <cell r="CW1497">
            <v>2418</v>
          </cell>
        </row>
        <row r="1500">
          <cell r="CQ1500" t="str">
            <v xml:space="preserve"> 號數 : </v>
          </cell>
          <cell r="CR1500">
            <v>0</v>
          </cell>
          <cell r="CS1500" t="str">
            <v>工 程 項 目</v>
          </cell>
          <cell r="CU1500" t="str">
            <v>清潔孔熱浸鍍鋅格柵板及安裝(50cm)</v>
          </cell>
          <cell r="CW1500" t="str">
            <v>單    位</v>
          </cell>
          <cell r="CX1500" t="str">
            <v>組</v>
          </cell>
        </row>
        <row r="1501">
          <cell r="CQ1501" t="str">
            <v>工   程   項   目</v>
          </cell>
          <cell r="CS1501" t="str">
            <v>說 明</v>
          </cell>
          <cell r="CT1501" t="str">
            <v>單 位</v>
          </cell>
          <cell r="CU1501" t="str">
            <v>數  量</v>
          </cell>
          <cell r="CV1501" t="str">
            <v>單   價</v>
          </cell>
          <cell r="CW1501" t="str">
            <v>總    價</v>
          </cell>
          <cell r="CX1501" t="str">
            <v>備    註</v>
          </cell>
        </row>
        <row r="1502">
          <cell r="CQ1502" t="str">
            <v>熱浸鍍鋅格柵板</v>
          </cell>
          <cell r="CS1502" t="str">
            <v xml:space="preserve"> </v>
          </cell>
          <cell r="CT1502" t="str">
            <v>KG</v>
          </cell>
          <cell r="CU1502">
            <v>35</v>
          </cell>
          <cell r="CV1502">
            <v>75</v>
          </cell>
          <cell r="CW1502">
            <v>2625</v>
          </cell>
          <cell r="CX1502" t="str">
            <v xml:space="preserve"> </v>
          </cell>
        </row>
        <row r="1504">
          <cell r="CQ1504" t="str">
            <v>裝置及搬運</v>
          </cell>
          <cell r="CS1504" t="str">
            <v xml:space="preserve"> </v>
          </cell>
          <cell r="CT1504" t="str">
            <v>式</v>
          </cell>
          <cell r="CU1504">
            <v>1</v>
          </cell>
          <cell r="CV1504">
            <v>250</v>
          </cell>
          <cell r="CW1504">
            <v>250</v>
          </cell>
        </row>
        <row r="1506">
          <cell r="CU1506" t="str">
            <v>小計</v>
          </cell>
          <cell r="CV1506" t="str">
            <v xml:space="preserve"> </v>
          </cell>
          <cell r="CW1506">
            <v>2875</v>
          </cell>
        </row>
        <row r="1514">
          <cell r="CQ1514" t="str">
            <v xml:space="preserve"> </v>
          </cell>
          <cell r="CR1514" t="str">
            <v xml:space="preserve"> </v>
          </cell>
          <cell r="CS1514" t="str">
            <v xml:space="preserve"> </v>
          </cell>
          <cell r="CT1514" t="str">
            <v xml:space="preserve"> </v>
          </cell>
          <cell r="CU1514" t="str">
            <v xml:space="preserve"> </v>
          </cell>
          <cell r="CV1514" t="str">
            <v xml:space="preserve"> </v>
          </cell>
        </row>
        <row r="1515">
          <cell r="CQ1515" t="str">
            <v xml:space="preserve"> </v>
          </cell>
          <cell r="CS1515" t="str">
            <v xml:space="preserve"> </v>
          </cell>
          <cell r="CT1515" t="str">
            <v xml:space="preserve"> </v>
          </cell>
          <cell r="CU1515" t="str">
            <v xml:space="preserve"> </v>
          </cell>
        </row>
        <row r="1516">
          <cell r="CQ1516" t="str">
            <v xml:space="preserve"> </v>
          </cell>
          <cell r="CR1516" t="str">
            <v xml:space="preserve"> </v>
          </cell>
          <cell r="CS1516" t="str">
            <v xml:space="preserve"> </v>
          </cell>
          <cell r="CT1516" t="str">
            <v xml:space="preserve"> </v>
          </cell>
          <cell r="CU1516" t="str">
            <v xml:space="preserve"> </v>
          </cell>
          <cell r="CV1516" t="str">
            <v xml:space="preserve"> </v>
          </cell>
        </row>
        <row r="1518">
          <cell r="CQ1518" t="str">
            <v xml:space="preserve"> </v>
          </cell>
          <cell r="CR1518" t="str">
            <v>每</v>
          </cell>
          <cell r="CS1518" t="str">
            <v>組</v>
          </cell>
          <cell r="CT1518" t="str">
            <v>單 價 計</v>
          </cell>
          <cell r="CV1518" t="str">
            <v xml:space="preserve"> </v>
          </cell>
          <cell r="CW1518">
            <v>2875</v>
          </cell>
        </row>
        <row r="1521">
          <cell r="CQ1521" t="str">
            <v xml:space="preserve"> 號數 : </v>
          </cell>
          <cell r="CR1521">
            <v>0</v>
          </cell>
          <cell r="CS1521" t="str">
            <v>工 程 項 目</v>
          </cell>
          <cell r="CU1521" t="str">
            <v>清潔孔熱浸鍍鋅格柵板及安裝(60cm)</v>
          </cell>
          <cell r="CW1521" t="str">
            <v>單    位</v>
          </cell>
          <cell r="CX1521" t="str">
            <v>組</v>
          </cell>
        </row>
        <row r="1522">
          <cell r="CQ1522" t="str">
            <v>工   程   項   目</v>
          </cell>
          <cell r="CS1522" t="str">
            <v>說 明</v>
          </cell>
          <cell r="CT1522" t="str">
            <v>單 位</v>
          </cell>
          <cell r="CU1522" t="str">
            <v>數  量</v>
          </cell>
          <cell r="CV1522" t="str">
            <v>單   價</v>
          </cell>
          <cell r="CW1522" t="str">
            <v>總    價</v>
          </cell>
          <cell r="CX1522" t="str">
            <v>備    註</v>
          </cell>
        </row>
        <row r="1523">
          <cell r="CQ1523" t="str">
            <v>熱浸鍍鋅格柵板</v>
          </cell>
          <cell r="CS1523" t="str">
            <v xml:space="preserve"> </v>
          </cell>
          <cell r="CT1523" t="str">
            <v>KG</v>
          </cell>
          <cell r="CU1523">
            <v>41.2</v>
          </cell>
          <cell r="CV1523">
            <v>75</v>
          </cell>
          <cell r="CW1523">
            <v>3090</v>
          </cell>
          <cell r="CX1523" t="str">
            <v xml:space="preserve"> </v>
          </cell>
        </row>
        <row r="1525">
          <cell r="CQ1525" t="str">
            <v>裝置及搬運</v>
          </cell>
          <cell r="CS1525" t="str">
            <v xml:space="preserve"> </v>
          </cell>
          <cell r="CT1525" t="str">
            <v>式</v>
          </cell>
          <cell r="CU1525">
            <v>1</v>
          </cell>
          <cell r="CV1525">
            <v>250</v>
          </cell>
          <cell r="CW1525">
            <v>250</v>
          </cell>
        </row>
        <row r="1527">
          <cell r="CU1527" t="str">
            <v>小計</v>
          </cell>
          <cell r="CV1527" t="str">
            <v xml:space="preserve"> </v>
          </cell>
          <cell r="CW1527">
            <v>3340</v>
          </cell>
        </row>
        <row r="1535">
          <cell r="CQ1535" t="str">
            <v xml:space="preserve"> </v>
          </cell>
          <cell r="CR1535" t="str">
            <v xml:space="preserve"> </v>
          </cell>
          <cell r="CS1535" t="str">
            <v xml:space="preserve"> </v>
          </cell>
          <cell r="CT1535" t="str">
            <v xml:space="preserve"> </v>
          </cell>
          <cell r="CU1535" t="str">
            <v xml:space="preserve"> </v>
          </cell>
          <cell r="CV1535" t="str">
            <v xml:space="preserve"> </v>
          </cell>
        </row>
        <row r="1536">
          <cell r="CQ1536" t="str">
            <v xml:space="preserve"> </v>
          </cell>
          <cell r="CS1536" t="str">
            <v xml:space="preserve"> </v>
          </cell>
          <cell r="CT1536" t="str">
            <v xml:space="preserve"> </v>
          </cell>
          <cell r="CU1536" t="str">
            <v xml:space="preserve"> </v>
          </cell>
        </row>
        <row r="1537">
          <cell r="CQ1537" t="str">
            <v xml:space="preserve"> </v>
          </cell>
          <cell r="CR1537" t="str">
            <v xml:space="preserve"> </v>
          </cell>
          <cell r="CS1537" t="str">
            <v xml:space="preserve"> </v>
          </cell>
          <cell r="CT1537" t="str">
            <v xml:space="preserve"> </v>
          </cell>
          <cell r="CU1537" t="str">
            <v xml:space="preserve"> </v>
          </cell>
          <cell r="CV1537" t="str">
            <v xml:space="preserve"> </v>
          </cell>
        </row>
        <row r="1539">
          <cell r="CQ1539" t="str">
            <v xml:space="preserve"> </v>
          </cell>
          <cell r="CR1539" t="str">
            <v>每</v>
          </cell>
          <cell r="CS1539" t="str">
            <v>組</v>
          </cell>
          <cell r="CT1539" t="str">
            <v>單 價 計</v>
          </cell>
          <cell r="CV1539" t="str">
            <v xml:space="preserve"> </v>
          </cell>
          <cell r="CW1539">
            <v>3340</v>
          </cell>
        </row>
        <row r="1542">
          <cell r="CQ1542" t="str">
            <v xml:space="preserve"> 號數 : </v>
          </cell>
          <cell r="CR1542">
            <v>0</v>
          </cell>
          <cell r="CS1542" t="str">
            <v>工 程 項 目</v>
          </cell>
          <cell r="CU1542" t="str">
            <v>集水井熱浸鍍鋅格柵板及安裝</v>
          </cell>
          <cell r="CW1542" t="str">
            <v>單    位</v>
          </cell>
          <cell r="CX1542" t="str">
            <v>組</v>
          </cell>
        </row>
        <row r="1543">
          <cell r="CQ1543" t="str">
            <v>工   程   項   目</v>
          </cell>
          <cell r="CS1543" t="str">
            <v>說 明</v>
          </cell>
          <cell r="CT1543" t="str">
            <v>單 位</v>
          </cell>
          <cell r="CU1543" t="str">
            <v>數  量</v>
          </cell>
          <cell r="CV1543" t="str">
            <v>單   價</v>
          </cell>
          <cell r="CW1543" t="str">
            <v>總    價</v>
          </cell>
          <cell r="CX1543" t="str">
            <v>備    註</v>
          </cell>
        </row>
        <row r="1544">
          <cell r="CQ1544" t="str">
            <v>熱浸鍍鋅格柵板</v>
          </cell>
          <cell r="CS1544" t="str">
            <v xml:space="preserve"> </v>
          </cell>
          <cell r="CT1544" t="str">
            <v>KG</v>
          </cell>
          <cell r="CU1544">
            <v>77</v>
          </cell>
          <cell r="CV1544">
            <v>75</v>
          </cell>
          <cell r="CW1544">
            <v>5775</v>
          </cell>
          <cell r="CX1544" t="str">
            <v xml:space="preserve"> I65*700*700M</v>
          </cell>
        </row>
        <row r="1546">
          <cell r="CQ1546" t="str">
            <v>裝置及搬運</v>
          </cell>
          <cell r="CS1546" t="str">
            <v xml:space="preserve"> </v>
          </cell>
          <cell r="CT1546" t="str">
            <v>式</v>
          </cell>
          <cell r="CU1546">
            <v>1</v>
          </cell>
          <cell r="CV1546">
            <v>250</v>
          </cell>
          <cell r="CW1546">
            <v>250</v>
          </cell>
        </row>
        <row r="1548">
          <cell r="CU1548" t="str">
            <v>小計</v>
          </cell>
          <cell r="CV1548" t="str">
            <v xml:space="preserve"> </v>
          </cell>
          <cell r="CW1548">
            <v>6025</v>
          </cell>
        </row>
        <row r="1558">
          <cell r="CQ1558" t="str">
            <v xml:space="preserve"> </v>
          </cell>
          <cell r="CR1558" t="str">
            <v xml:space="preserve"> </v>
          </cell>
          <cell r="CS1558" t="str">
            <v xml:space="preserve"> </v>
          </cell>
          <cell r="CT1558" t="str">
            <v xml:space="preserve"> </v>
          </cell>
          <cell r="CU1558" t="str">
            <v xml:space="preserve"> </v>
          </cell>
          <cell r="CV1558" t="str">
            <v xml:space="preserve"> </v>
          </cell>
        </row>
        <row r="1560">
          <cell r="CQ1560" t="str">
            <v xml:space="preserve"> </v>
          </cell>
          <cell r="CR1560" t="str">
            <v>每</v>
          </cell>
          <cell r="CS1560" t="str">
            <v>組</v>
          </cell>
          <cell r="CT1560" t="str">
            <v>單 價 計</v>
          </cell>
          <cell r="CV1560" t="str">
            <v xml:space="preserve"> </v>
          </cell>
          <cell r="CW1560">
            <v>6025</v>
          </cell>
        </row>
        <row r="1563">
          <cell r="CQ1563" t="str">
            <v xml:space="preserve"> 號數 : </v>
          </cell>
          <cell r="CR1563">
            <v>0</v>
          </cell>
          <cell r="CS1563" t="str">
            <v>工 程 項 目</v>
          </cell>
          <cell r="CU1563" t="str">
            <v>熱浸鍍鋅格柵板(w=40cm)</v>
          </cell>
          <cell r="CW1563" t="str">
            <v>單    位</v>
          </cell>
          <cell r="CX1563" t="str">
            <v>m</v>
          </cell>
        </row>
        <row r="1564">
          <cell r="CQ1564" t="str">
            <v>工   程   項   目</v>
          </cell>
          <cell r="CS1564" t="str">
            <v>說 明</v>
          </cell>
          <cell r="CT1564" t="str">
            <v>單 位</v>
          </cell>
          <cell r="CU1564" t="str">
            <v>數  量</v>
          </cell>
          <cell r="CV1564" t="str">
            <v>單   價</v>
          </cell>
          <cell r="CW1564" t="str">
            <v>總    價</v>
          </cell>
          <cell r="CX1564" t="str">
            <v>備    註</v>
          </cell>
        </row>
        <row r="1565">
          <cell r="CQ1565" t="str">
            <v>熱浸鍍鋅格柵板</v>
          </cell>
          <cell r="CS1565" t="str">
            <v xml:space="preserve"> </v>
          </cell>
          <cell r="CT1565" t="str">
            <v>KG</v>
          </cell>
          <cell r="CU1565">
            <v>55.8</v>
          </cell>
          <cell r="CV1565">
            <v>75</v>
          </cell>
          <cell r="CW1565">
            <v>4185</v>
          </cell>
          <cell r="CX1565" t="str">
            <v>含插梢及另料</v>
          </cell>
        </row>
        <row r="1567">
          <cell r="CQ1567" t="str">
            <v>裝置及搬運</v>
          </cell>
          <cell r="CS1567" t="str">
            <v xml:space="preserve"> </v>
          </cell>
          <cell r="CT1567" t="str">
            <v>式</v>
          </cell>
          <cell r="CU1567">
            <v>1</v>
          </cell>
          <cell r="CV1567">
            <v>250</v>
          </cell>
          <cell r="CW1567">
            <v>250</v>
          </cell>
        </row>
        <row r="1568">
          <cell r="CX1568" t="str">
            <v xml:space="preserve"> </v>
          </cell>
        </row>
        <row r="1569">
          <cell r="CU1569" t="str">
            <v>小計</v>
          </cell>
          <cell r="CV1569" t="str">
            <v xml:space="preserve"> </v>
          </cell>
          <cell r="CW1569">
            <v>4435</v>
          </cell>
          <cell r="CX1569" t="str">
            <v xml:space="preserve"> </v>
          </cell>
        </row>
        <row r="1574">
          <cell r="CQ1574" t="str">
            <v xml:space="preserve"> </v>
          </cell>
          <cell r="CS1574" t="str">
            <v xml:space="preserve"> </v>
          </cell>
          <cell r="CT1574" t="str">
            <v xml:space="preserve"> </v>
          </cell>
          <cell r="CU1574" t="str">
            <v xml:space="preserve"> </v>
          </cell>
        </row>
        <row r="1575">
          <cell r="CX1575" t="str">
            <v xml:space="preserve"> </v>
          </cell>
        </row>
        <row r="1576">
          <cell r="CQ1576" t="str">
            <v xml:space="preserve"> </v>
          </cell>
          <cell r="CR1576" t="str">
            <v xml:space="preserve"> </v>
          </cell>
          <cell r="CS1576" t="str">
            <v xml:space="preserve"> </v>
          </cell>
          <cell r="CT1576" t="str">
            <v xml:space="preserve"> </v>
          </cell>
          <cell r="CU1576" t="str">
            <v xml:space="preserve"> </v>
          </cell>
          <cell r="CV1576" t="str">
            <v xml:space="preserve"> </v>
          </cell>
          <cell r="CW1576" t="str">
            <v xml:space="preserve"> </v>
          </cell>
          <cell r="CX1576" t="str">
            <v xml:space="preserve"> </v>
          </cell>
        </row>
        <row r="1578">
          <cell r="CQ1578" t="str">
            <v xml:space="preserve"> </v>
          </cell>
          <cell r="CS1578" t="str">
            <v xml:space="preserve"> </v>
          </cell>
          <cell r="CT1578" t="str">
            <v xml:space="preserve"> </v>
          </cell>
          <cell r="CU1578" t="str">
            <v xml:space="preserve"> </v>
          </cell>
        </row>
        <row r="1579">
          <cell r="CQ1579" t="str">
            <v xml:space="preserve"> </v>
          </cell>
          <cell r="CR1579" t="str">
            <v xml:space="preserve"> </v>
          </cell>
          <cell r="CS1579" t="str">
            <v xml:space="preserve"> </v>
          </cell>
          <cell r="CT1579" t="str">
            <v xml:space="preserve"> </v>
          </cell>
          <cell r="CU1579" t="str">
            <v xml:space="preserve"> </v>
          </cell>
          <cell r="CV1579" t="str">
            <v xml:space="preserve"> </v>
          </cell>
        </row>
        <row r="1580">
          <cell r="CV1580" t="str">
            <v xml:space="preserve"> </v>
          </cell>
          <cell r="CW1580" t="str">
            <v xml:space="preserve"> </v>
          </cell>
        </row>
        <row r="1581">
          <cell r="CQ1581" t="str">
            <v xml:space="preserve"> </v>
          </cell>
          <cell r="CR1581" t="str">
            <v>每</v>
          </cell>
          <cell r="CS1581" t="str">
            <v>m</v>
          </cell>
          <cell r="CT1581" t="str">
            <v>單 價 計</v>
          </cell>
          <cell r="CV1581" t="str">
            <v xml:space="preserve"> </v>
          </cell>
          <cell r="CW1581">
            <v>4435</v>
          </cell>
        </row>
        <row r="1584">
          <cell r="CQ1584" t="str">
            <v xml:space="preserve"> 號數 :  </v>
          </cell>
          <cell r="CR1584">
            <v>0</v>
          </cell>
          <cell r="CS1584" t="str">
            <v>工 程 項 目</v>
          </cell>
          <cell r="CU1584" t="str">
            <v>熱浸鍍鋅格柵板(w=60)</v>
          </cell>
          <cell r="CW1584" t="str">
            <v>單    位</v>
          </cell>
          <cell r="CX1584" t="str">
            <v>m</v>
          </cell>
        </row>
        <row r="1585">
          <cell r="CQ1585" t="str">
            <v>工   程   項   目</v>
          </cell>
          <cell r="CS1585" t="str">
            <v>說 明</v>
          </cell>
          <cell r="CT1585" t="str">
            <v>單 位</v>
          </cell>
          <cell r="CU1585" t="str">
            <v>數  量</v>
          </cell>
          <cell r="CV1585" t="str">
            <v>單   價</v>
          </cell>
          <cell r="CW1585" t="str">
            <v>總    價</v>
          </cell>
          <cell r="CX1585" t="str">
            <v>備    註</v>
          </cell>
        </row>
        <row r="1586">
          <cell r="CQ1586" t="str">
            <v>熱浸鍍鋅格柵板</v>
          </cell>
          <cell r="CS1586" t="str">
            <v xml:space="preserve"> </v>
          </cell>
          <cell r="CT1586" t="str">
            <v>KG</v>
          </cell>
          <cell r="CU1586">
            <v>84</v>
          </cell>
          <cell r="CV1586">
            <v>75</v>
          </cell>
          <cell r="CW1586">
            <v>6300</v>
          </cell>
          <cell r="CX1586" t="str">
            <v>含插梢及另料</v>
          </cell>
        </row>
        <row r="1588">
          <cell r="CQ1588" t="str">
            <v>裝置及搬運</v>
          </cell>
          <cell r="CS1588" t="str">
            <v xml:space="preserve"> </v>
          </cell>
          <cell r="CT1588" t="str">
            <v>式</v>
          </cell>
          <cell r="CU1588">
            <v>1</v>
          </cell>
          <cell r="CV1588">
            <v>250</v>
          </cell>
          <cell r="CW1588">
            <v>250</v>
          </cell>
        </row>
        <row r="1590">
          <cell r="CU1590" t="str">
            <v>小計</v>
          </cell>
          <cell r="CV1590" t="str">
            <v xml:space="preserve"> </v>
          </cell>
          <cell r="CW1590">
            <v>6550</v>
          </cell>
          <cell r="CX1590" t="str">
            <v xml:space="preserve"> </v>
          </cell>
        </row>
        <row r="1595">
          <cell r="CQ1595" t="str">
            <v xml:space="preserve"> </v>
          </cell>
          <cell r="CS1595" t="str">
            <v xml:space="preserve"> </v>
          </cell>
          <cell r="CT1595" t="str">
            <v xml:space="preserve"> </v>
          </cell>
          <cell r="CU1595" t="str">
            <v xml:space="preserve"> </v>
          </cell>
        </row>
        <row r="1596">
          <cell r="CX1596" t="str">
            <v xml:space="preserve"> </v>
          </cell>
        </row>
        <row r="1597">
          <cell r="CQ1597" t="str">
            <v xml:space="preserve"> </v>
          </cell>
          <cell r="CR1597" t="str">
            <v xml:space="preserve"> </v>
          </cell>
          <cell r="CS1597" t="str">
            <v xml:space="preserve"> </v>
          </cell>
          <cell r="CT1597" t="str">
            <v xml:space="preserve"> </v>
          </cell>
          <cell r="CU1597" t="str">
            <v xml:space="preserve"> </v>
          </cell>
          <cell r="CV1597" t="str">
            <v xml:space="preserve"> </v>
          </cell>
          <cell r="CW1597" t="str">
            <v xml:space="preserve"> </v>
          </cell>
          <cell r="CX1597" t="str">
            <v xml:space="preserve"> </v>
          </cell>
        </row>
        <row r="1599">
          <cell r="CQ1599" t="str">
            <v xml:space="preserve"> </v>
          </cell>
          <cell r="CS1599" t="str">
            <v xml:space="preserve"> </v>
          </cell>
          <cell r="CT1599" t="str">
            <v xml:space="preserve"> </v>
          </cell>
          <cell r="CU1599" t="str">
            <v xml:space="preserve"> </v>
          </cell>
        </row>
        <row r="1600">
          <cell r="CQ1600" t="str">
            <v xml:space="preserve"> </v>
          </cell>
          <cell r="CR1600" t="str">
            <v xml:space="preserve"> </v>
          </cell>
          <cell r="CS1600" t="str">
            <v xml:space="preserve"> </v>
          </cell>
          <cell r="CT1600" t="str">
            <v xml:space="preserve"> </v>
          </cell>
          <cell r="CU1600" t="str">
            <v xml:space="preserve"> </v>
          </cell>
          <cell r="CV1600" t="str">
            <v xml:space="preserve"> </v>
          </cell>
        </row>
        <row r="1601">
          <cell r="CV1601" t="str">
            <v xml:space="preserve"> </v>
          </cell>
          <cell r="CW1601" t="str">
            <v xml:space="preserve"> </v>
          </cell>
        </row>
        <row r="1602">
          <cell r="CQ1602" t="str">
            <v xml:space="preserve"> </v>
          </cell>
          <cell r="CR1602" t="str">
            <v>每</v>
          </cell>
          <cell r="CS1602" t="str">
            <v>m</v>
          </cell>
          <cell r="CT1602" t="str">
            <v>單 價 計</v>
          </cell>
          <cell r="CV1602" t="str">
            <v xml:space="preserve"> </v>
          </cell>
          <cell r="CW1602">
            <v>6550</v>
          </cell>
        </row>
        <row r="2067">
          <cell r="CQ2067" t="str">
            <v>編號:</v>
          </cell>
          <cell r="CR2067" t="str">
            <v xml:space="preserve"> </v>
          </cell>
          <cell r="CS2067" t="str">
            <v>工 程 項 目</v>
          </cell>
          <cell r="CU2067" t="str">
            <v>工程材料試驗費</v>
          </cell>
          <cell r="CV2067">
            <v>0</v>
          </cell>
          <cell r="CW2067" t="str">
            <v>單    位</v>
          </cell>
          <cell r="CX2067" t="str">
            <v>式</v>
          </cell>
        </row>
        <row r="2068">
          <cell r="CQ2068" t="str">
            <v>工   程   項   目</v>
          </cell>
          <cell r="CS2068" t="str">
            <v>說 明</v>
          </cell>
          <cell r="CT2068" t="str">
            <v>單 位</v>
          </cell>
          <cell r="CU2068" t="str">
            <v>數  量</v>
          </cell>
          <cell r="CV2068" t="str">
            <v>單   價</v>
          </cell>
          <cell r="CW2068" t="str">
            <v>總    價</v>
          </cell>
          <cell r="CX2068" t="str">
            <v>備    註</v>
          </cell>
        </row>
        <row r="2069">
          <cell r="CQ2069" t="str">
            <v>混凝土抗壓強度(含坍度試驗)</v>
          </cell>
          <cell r="CR2069">
            <v>0</v>
          </cell>
          <cell r="CS2069" t="str">
            <v xml:space="preserve"> </v>
          </cell>
          <cell r="CT2069" t="str">
            <v>組</v>
          </cell>
          <cell r="CU2069">
            <v>6</v>
          </cell>
          <cell r="CV2069">
            <v>480</v>
          </cell>
          <cell r="CW2069">
            <v>2880</v>
          </cell>
          <cell r="CX2069">
            <v>0</v>
          </cell>
        </row>
        <row r="2070">
          <cell r="CQ2070">
            <v>0</v>
          </cell>
          <cell r="CR2070">
            <v>0</v>
          </cell>
          <cell r="CS2070">
            <v>0</v>
          </cell>
          <cell r="CT2070">
            <v>0</v>
          </cell>
          <cell r="CU2070">
            <v>0</v>
          </cell>
          <cell r="CV2070">
            <v>0</v>
          </cell>
          <cell r="CW2070">
            <v>0</v>
          </cell>
          <cell r="CX2070">
            <v>0</v>
          </cell>
        </row>
        <row r="2071">
          <cell r="CQ2071" t="str">
            <v>混凝土鑽心取樣試驗</v>
          </cell>
          <cell r="CR2071">
            <v>0</v>
          </cell>
          <cell r="CS2071">
            <v>0</v>
          </cell>
          <cell r="CT2071" t="str">
            <v>組</v>
          </cell>
          <cell r="CU2071">
            <v>1</v>
          </cell>
          <cell r="CV2071">
            <v>6000</v>
          </cell>
          <cell r="CW2071">
            <v>6000</v>
          </cell>
          <cell r="CX2071">
            <v>0</v>
          </cell>
        </row>
        <row r="2072">
          <cell r="CQ2072">
            <v>0</v>
          </cell>
          <cell r="CR2072">
            <v>0</v>
          </cell>
          <cell r="CS2072">
            <v>0</v>
          </cell>
          <cell r="CT2072">
            <v>0</v>
          </cell>
          <cell r="CU2072">
            <v>0</v>
          </cell>
          <cell r="CV2072">
            <v>0</v>
          </cell>
          <cell r="CW2072">
            <v>0</v>
          </cell>
          <cell r="CX2072">
            <v>0</v>
          </cell>
        </row>
        <row r="2073">
          <cell r="CQ2073" t="str">
            <v>鋼筋抗拉試驗(含無輻射)</v>
          </cell>
          <cell r="CR2073">
            <v>0</v>
          </cell>
          <cell r="CS2073">
            <v>0</v>
          </cell>
          <cell r="CT2073" t="str">
            <v>組</v>
          </cell>
          <cell r="CU2073">
            <v>7</v>
          </cell>
          <cell r="CV2073">
            <v>1500</v>
          </cell>
          <cell r="CW2073">
            <v>10500</v>
          </cell>
          <cell r="CX2073" t="str">
            <v>(1組3支)</v>
          </cell>
        </row>
        <row r="2074">
          <cell r="CQ2074" t="str">
            <v xml:space="preserve"> </v>
          </cell>
          <cell r="CR2074">
            <v>0</v>
          </cell>
          <cell r="CS2074" t="str">
            <v xml:space="preserve"> </v>
          </cell>
          <cell r="CT2074" t="str">
            <v xml:space="preserve"> </v>
          </cell>
          <cell r="CU2074" t="str">
            <v xml:space="preserve"> </v>
          </cell>
          <cell r="CV2074">
            <v>0</v>
          </cell>
          <cell r="CW2074">
            <v>0</v>
          </cell>
          <cell r="CX2074">
            <v>0</v>
          </cell>
        </row>
        <row r="2075">
          <cell r="CQ2075" t="str">
            <v>混凝土穿透試驗</v>
          </cell>
          <cell r="CR2075">
            <v>0</v>
          </cell>
          <cell r="CS2075">
            <v>0</v>
          </cell>
          <cell r="CT2075" t="str">
            <v>組</v>
          </cell>
          <cell r="CU2075">
            <v>1</v>
          </cell>
          <cell r="CV2075">
            <v>2000</v>
          </cell>
          <cell r="CW2075">
            <v>2000</v>
          </cell>
          <cell r="CX2075">
            <v>0</v>
          </cell>
        </row>
        <row r="2076">
          <cell r="CQ2076">
            <v>0</v>
          </cell>
          <cell r="CR2076">
            <v>0</v>
          </cell>
          <cell r="CS2076">
            <v>0</v>
          </cell>
          <cell r="CT2076">
            <v>0</v>
          </cell>
          <cell r="CU2076">
            <v>0</v>
          </cell>
          <cell r="CV2076">
            <v>0</v>
          </cell>
          <cell r="CW2076">
            <v>0</v>
          </cell>
          <cell r="CX2076">
            <v>0</v>
          </cell>
        </row>
        <row r="2077">
          <cell r="CQ2077">
            <v>0</v>
          </cell>
          <cell r="CR2077">
            <v>0</v>
          </cell>
          <cell r="CS2077">
            <v>0</v>
          </cell>
          <cell r="CT2077">
            <v>0</v>
          </cell>
          <cell r="CU2077" t="str">
            <v>小計</v>
          </cell>
          <cell r="CV2077" t="str">
            <v xml:space="preserve"> </v>
          </cell>
          <cell r="CW2077">
            <v>21380</v>
          </cell>
          <cell r="CX2077">
            <v>0</v>
          </cell>
        </row>
        <row r="2078">
          <cell r="CQ2078">
            <v>0</v>
          </cell>
          <cell r="CR2078">
            <v>0</v>
          </cell>
          <cell r="CS2078">
            <v>0</v>
          </cell>
          <cell r="CT2078">
            <v>0</v>
          </cell>
          <cell r="CU2078">
            <v>0</v>
          </cell>
          <cell r="CV2078">
            <v>0</v>
          </cell>
          <cell r="CW2078">
            <v>0</v>
          </cell>
          <cell r="CX2078">
            <v>0</v>
          </cell>
        </row>
        <row r="2079">
          <cell r="CQ2079">
            <v>0</v>
          </cell>
          <cell r="CR2079">
            <v>0</v>
          </cell>
          <cell r="CS2079">
            <v>0</v>
          </cell>
          <cell r="CT2079">
            <v>0</v>
          </cell>
          <cell r="CU2079">
            <v>0</v>
          </cell>
          <cell r="CV2079">
            <v>0</v>
          </cell>
          <cell r="CW2079">
            <v>0</v>
          </cell>
          <cell r="CX2079">
            <v>0</v>
          </cell>
        </row>
        <row r="2080">
          <cell r="CQ2080" t="str">
            <v xml:space="preserve"> </v>
          </cell>
          <cell r="CR2080" t="str">
            <v xml:space="preserve"> </v>
          </cell>
          <cell r="CS2080" t="str">
            <v xml:space="preserve"> </v>
          </cell>
          <cell r="CT2080" t="str">
            <v xml:space="preserve"> </v>
          </cell>
          <cell r="CU2080" t="str">
            <v xml:space="preserve"> </v>
          </cell>
          <cell r="CV2080" t="str">
            <v xml:space="preserve"> </v>
          </cell>
          <cell r="CW2080" t="str">
            <v xml:space="preserve"> </v>
          </cell>
          <cell r="CX2080" t="str">
            <v xml:space="preserve"> </v>
          </cell>
        </row>
        <row r="2081">
          <cell r="CQ2081">
            <v>0</v>
          </cell>
          <cell r="CR2081">
            <v>0</v>
          </cell>
          <cell r="CS2081">
            <v>0</v>
          </cell>
          <cell r="CT2081">
            <v>0</v>
          </cell>
          <cell r="CU2081">
            <v>0</v>
          </cell>
          <cell r="CV2081">
            <v>0</v>
          </cell>
          <cell r="CW2081">
            <v>0</v>
          </cell>
          <cell r="CX2081" t="str">
            <v xml:space="preserve"> </v>
          </cell>
        </row>
        <row r="2082">
          <cell r="CQ2082" t="str">
            <v xml:space="preserve"> </v>
          </cell>
          <cell r="CR2082" t="str">
            <v xml:space="preserve"> </v>
          </cell>
          <cell r="CS2082" t="str">
            <v xml:space="preserve"> </v>
          </cell>
          <cell r="CT2082" t="str">
            <v xml:space="preserve"> </v>
          </cell>
          <cell r="CU2082" t="str">
            <v xml:space="preserve"> </v>
          </cell>
          <cell r="CV2082" t="str">
            <v xml:space="preserve"> </v>
          </cell>
          <cell r="CW2082">
            <v>0</v>
          </cell>
          <cell r="CX2082">
            <v>0</v>
          </cell>
        </row>
        <row r="2083">
          <cell r="CQ2083" t="str">
            <v xml:space="preserve"> </v>
          </cell>
          <cell r="CR2083" t="str">
            <v xml:space="preserve"> </v>
          </cell>
          <cell r="CS2083" t="str">
            <v xml:space="preserve"> </v>
          </cell>
          <cell r="CT2083" t="str">
            <v xml:space="preserve"> </v>
          </cell>
          <cell r="CU2083" t="str">
            <v xml:space="preserve"> </v>
          </cell>
          <cell r="CV2083" t="str">
            <v xml:space="preserve"> </v>
          </cell>
          <cell r="CW2083">
            <v>0</v>
          </cell>
          <cell r="CX2083">
            <v>0</v>
          </cell>
        </row>
        <row r="2084">
          <cell r="CQ2084">
            <v>0</v>
          </cell>
          <cell r="CR2084">
            <v>0</v>
          </cell>
          <cell r="CS2084">
            <v>0</v>
          </cell>
          <cell r="CT2084">
            <v>0</v>
          </cell>
          <cell r="CU2084">
            <v>0</v>
          </cell>
          <cell r="CV2084">
            <v>0</v>
          </cell>
          <cell r="CW2084">
            <v>0</v>
          </cell>
          <cell r="CX2084">
            <v>0</v>
          </cell>
        </row>
        <row r="2085">
          <cell r="CQ2085" t="str">
            <v xml:space="preserve"> </v>
          </cell>
          <cell r="CR2085" t="str">
            <v>每</v>
          </cell>
          <cell r="CS2085" t="str">
            <v>式</v>
          </cell>
          <cell r="CT2085" t="str">
            <v>單 價 計</v>
          </cell>
          <cell r="CU2085">
            <v>0</v>
          </cell>
          <cell r="CV2085" t="str">
            <v xml:space="preserve"> </v>
          </cell>
          <cell r="CW2085">
            <v>21380</v>
          </cell>
          <cell r="CX2085">
            <v>0</v>
          </cell>
        </row>
        <row r="2088">
          <cell r="CQ2088" t="str">
            <v xml:space="preserve"> 號數 :  </v>
          </cell>
          <cell r="CR2088">
            <v>0</v>
          </cell>
          <cell r="CS2088" t="str">
            <v>工 程 項 目</v>
          </cell>
          <cell r="CU2088" t="str">
            <v>營造綜合保險費</v>
          </cell>
          <cell r="CW2088" t="str">
            <v>單    位</v>
          </cell>
          <cell r="CX2088" t="str">
            <v>式</v>
          </cell>
        </row>
        <row r="2089">
          <cell r="CQ2089" t="str">
            <v>工   程   項   目</v>
          </cell>
          <cell r="CS2089" t="str">
            <v>說 明</v>
          </cell>
          <cell r="CT2089" t="str">
            <v>單 位</v>
          </cell>
          <cell r="CU2089" t="str">
            <v>數  量</v>
          </cell>
          <cell r="CV2089" t="str">
            <v>單   價</v>
          </cell>
          <cell r="CW2089" t="str">
            <v>總    價</v>
          </cell>
          <cell r="CX2089" t="str">
            <v>備    註</v>
          </cell>
        </row>
        <row r="2090">
          <cell r="CQ2090" t="str">
            <v>營造工程第三人意外險</v>
          </cell>
          <cell r="CS2090" t="str">
            <v xml:space="preserve"> </v>
          </cell>
          <cell r="CT2090" t="str">
            <v>式</v>
          </cell>
          <cell r="CU2090">
            <v>1</v>
          </cell>
          <cell r="CV2090">
            <v>28000</v>
          </cell>
          <cell r="CW2090">
            <v>28000</v>
          </cell>
        </row>
        <row r="2092">
          <cell r="CQ2092" t="str">
            <v>雇主意外責任保險</v>
          </cell>
          <cell r="CS2092" t="str">
            <v xml:space="preserve"> </v>
          </cell>
          <cell r="CT2092" t="str">
            <v>式</v>
          </cell>
          <cell r="CU2092">
            <v>1</v>
          </cell>
          <cell r="CV2092">
            <v>41719</v>
          </cell>
          <cell r="CW2092">
            <v>41719</v>
          </cell>
        </row>
        <row r="2094">
          <cell r="CU2094" t="str">
            <v>小計</v>
          </cell>
          <cell r="CV2094" t="str">
            <v xml:space="preserve"> </v>
          </cell>
          <cell r="CW2094">
            <v>69719</v>
          </cell>
          <cell r="CX2094" t="str">
            <v xml:space="preserve"> </v>
          </cell>
        </row>
        <row r="2096">
          <cell r="CX2096" t="str">
            <v xml:space="preserve"> </v>
          </cell>
        </row>
        <row r="2099">
          <cell r="CQ2099" t="str">
            <v xml:space="preserve"> </v>
          </cell>
          <cell r="CS2099" t="str">
            <v xml:space="preserve"> </v>
          </cell>
          <cell r="CT2099" t="str">
            <v xml:space="preserve"> </v>
          </cell>
          <cell r="CU2099" t="str">
            <v xml:space="preserve"> </v>
          </cell>
        </row>
        <row r="2101">
          <cell r="CQ2101" t="str">
            <v xml:space="preserve"> </v>
          </cell>
          <cell r="CR2101" t="str">
            <v xml:space="preserve"> </v>
          </cell>
          <cell r="CS2101" t="str">
            <v xml:space="preserve"> </v>
          </cell>
          <cell r="CT2101" t="str">
            <v xml:space="preserve"> </v>
          </cell>
          <cell r="CU2101" t="str">
            <v xml:space="preserve"> </v>
          </cell>
          <cell r="CV2101" t="str">
            <v xml:space="preserve"> </v>
          </cell>
          <cell r="CW2101" t="str">
            <v xml:space="preserve"> </v>
          </cell>
          <cell r="CX2101" t="str">
            <v xml:space="preserve"> </v>
          </cell>
        </row>
        <row r="2103">
          <cell r="CQ2103" t="str">
            <v xml:space="preserve"> </v>
          </cell>
          <cell r="CR2103" t="str">
            <v xml:space="preserve"> </v>
          </cell>
          <cell r="CS2103" t="str">
            <v xml:space="preserve"> </v>
          </cell>
          <cell r="CT2103" t="str">
            <v xml:space="preserve"> </v>
          </cell>
          <cell r="CU2103" t="str">
            <v xml:space="preserve"> </v>
          </cell>
          <cell r="CV2103" t="str">
            <v xml:space="preserve"> </v>
          </cell>
        </row>
        <row r="2104">
          <cell r="CQ2104" t="str">
            <v xml:space="preserve"> </v>
          </cell>
          <cell r="CS2104" t="str">
            <v xml:space="preserve"> </v>
          </cell>
          <cell r="CT2104" t="str">
            <v xml:space="preserve"> </v>
          </cell>
          <cell r="CU2104" t="str">
            <v xml:space="preserve"> </v>
          </cell>
        </row>
        <row r="2105">
          <cell r="CQ2105" t="str">
            <v xml:space="preserve"> </v>
          </cell>
          <cell r="CR2105" t="str">
            <v xml:space="preserve"> </v>
          </cell>
          <cell r="CS2105" t="str">
            <v xml:space="preserve"> </v>
          </cell>
          <cell r="CT2105" t="str">
            <v xml:space="preserve"> </v>
          </cell>
          <cell r="CU2105" t="str">
            <v xml:space="preserve"> </v>
          </cell>
          <cell r="CV2105" t="str">
            <v xml:space="preserve"> </v>
          </cell>
        </row>
        <row r="2106">
          <cell r="CQ2106" t="str">
            <v xml:space="preserve"> </v>
          </cell>
          <cell r="CR2106" t="str">
            <v>每</v>
          </cell>
          <cell r="CS2106" t="str">
            <v>式</v>
          </cell>
          <cell r="CT2106" t="str">
            <v>單 價 計</v>
          </cell>
          <cell r="CV2106" t="str">
            <v xml:space="preserve"> </v>
          </cell>
          <cell r="CW2106">
            <v>69719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單價分析表(1-11)"/>
      <sheetName val="單價分析表"/>
      <sheetName val="總表"/>
      <sheetName val="預2"/>
      <sheetName val="預1"/>
      <sheetName val="單1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input"/>
      <sheetName val="預算"/>
      <sheetName val="預算資源統計表"/>
      <sheetName val="E85D014"/>
      <sheetName val="資料庫2"/>
      <sheetName val="基本資料表"/>
      <sheetName val="預算書費率表"/>
      <sheetName val="數量總表"/>
      <sheetName val="基本單價說明"/>
      <sheetName val="空白工程預算書 "/>
      <sheetName val="單價分析表(1-6)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 "/>
      <sheetName val="首頁"/>
      <sheetName val="總表"/>
      <sheetName val="單價分析表 "/>
      <sheetName val="計算式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預算書"/>
      <sheetName val="單價分析表"/>
      <sheetName val="分析資料"/>
      <sheetName val="單價總表"/>
      <sheetName val="基本單價"/>
      <sheetName val="工程計算紙"/>
      <sheetName val="工程單位查表"/>
      <sheetName val="土石方數量計算表橫"/>
      <sheetName val="估價單1"/>
      <sheetName val="估價單2"/>
      <sheetName val="費率 (2)"/>
      <sheetName val="費率"/>
      <sheetName val="單價計算"/>
      <sheetName val="合約1"/>
      <sheetName val="合約2"/>
      <sheetName val="變更"/>
      <sheetName val="變更說明書"/>
      <sheetName val="估驗"/>
      <sheetName val="結算"/>
      <sheetName val="工程預算書"/>
      <sheetName val="單價分析表 "/>
    </sheetNames>
    <sheetDataSet>
      <sheetData sheetId="0" refreshError="1"/>
      <sheetData sheetId="1" refreshError="1"/>
      <sheetData sheetId="2" refreshError="1">
        <row r="7">
          <cell r="T7" t="str">
            <v xml:space="preserve"> 遠運棄土</v>
          </cell>
          <cell r="U7">
            <v>63</v>
          </cell>
        </row>
        <row r="8">
          <cell r="T8" t="str">
            <v xml:space="preserve"> 箱型網籠內填塊石</v>
          </cell>
          <cell r="U8">
            <v>500</v>
          </cell>
        </row>
        <row r="9">
          <cell r="T9" t="str">
            <v xml:space="preserve"> 排水溝施工費</v>
          </cell>
          <cell r="U9">
            <v>265</v>
          </cell>
        </row>
        <row r="10">
          <cell r="T10" t="str">
            <v>健康步道舖設</v>
          </cell>
          <cell r="U10">
            <v>260</v>
          </cell>
        </row>
        <row r="11">
          <cell r="T11" t="str">
            <v xml:space="preserve"> 5公分瀝青混凝土面層</v>
          </cell>
          <cell r="U11">
            <v>17035</v>
          </cell>
        </row>
        <row r="12">
          <cell r="T12" t="str">
            <v xml:space="preserve"> 點焊鋼絲網舖設</v>
          </cell>
          <cell r="U12">
            <v>220</v>
          </cell>
        </row>
        <row r="13">
          <cell r="T13" t="str">
            <v xml:space="preserve"> 砌 清 水 磚 (1/2B)</v>
          </cell>
          <cell r="U13">
            <v>228</v>
          </cell>
        </row>
        <row r="14">
          <cell r="T14" t="str">
            <v xml:space="preserve"> 10cm厚碎石級配料底層舖壓</v>
          </cell>
          <cell r="U14">
            <v>965</v>
          </cell>
        </row>
        <row r="15">
          <cell r="T15" t="str">
            <v>合成工樑製作加工</v>
          </cell>
          <cell r="U15">
            <v>14700</v>
          </cell>
        </row>
        <row r="16">
          <cell r="T16" t="str">
            <v>合成工樑油漆工程</v>
          </cell>
          <cell r="U16">
            <v>1700</v>
          </cell>
        </row>
        <row r="17">
          <cell r="T17" t="str">
            <v>鋼托鈑加工組立</v>
          </cell>
          <cell r="U17">
            <v>266</v>
          </cell>
        </row>
        <row r="18">
          <cell r="T18" t="str">
            <v>熱浸鍍鋅管欄杆設置</v>
          </cell>
          <cell r="U18">
            <v>1680</v>
          </cell>
        </row>
        <row r="19">
          <cell r="T19" t="str">
            <v>青斗石版階梯舖設</v>
          </cell>
          <cell r="U19">
            <v>415</v>
          </cell>
        </row>
        <row r="20">
          <cell r="T20" t="str">
            <v xml:space="preserve"> 防落石柵組立</v>
          </cell>
          <cell r="U20">
            <v>1675.5</v>
          </cell>
        </row>
        <row r="21">
          <cell r="T21" t="str">
            <v xml:space="preserve"> HDPE管埋設</v>
          </cell>
          <cell r="U21">
            <v>180</v>
          </cell>
        </row>
        <row r="22">
          <cell r="T22" t="str">
            <v>3/4"自動釋氣閥及自來水表箱施設</v>
          </cell>
          <cell r="U22">
            <v>2500</v>
          </cell>
        </row>
        <row r="23">
          <cell r="T23" t="str">
            <v>2㎜不銹鋼內襯施作</v>
          </cell>
          <cell r="U23">
            <v>280</v>
          </cell>
        </row>
        <row r="24">
          <cell r="T24" t="str">
            <v>櫟木欄杆組立</v>
          </cell>
          <cell r="U24">
            <v>777</v>
          </cell>
        </row>
        <row r="25">
          <cell r="T25" t="str">
            <v>組合式鐵網圍籬</v>
          </cell>
          <cell r="U25">
            <v>393</v>
          </cell>
        </row>
        <row r="26">
          <cell r="T26" t="str">
            <v xml:space="preserve"> 南方松木平台組立(5m*10m)</v>
          </cell>
          <cell r="U26">
            <v>476190</v>
          </cell>
        </row>
        <row r="27">
          <cell r="T27" t="str">
            <v xml:space="preserve"> 鍍鋅格柵板施工費</v>
          </cell>
          <cell r="U27">
            <v>366</v>
          </cell>
        </row>
        <row r="28">
          <cell r="T28" t="str">
            <v xml:space="preserve"> 紐澤西式護欄</v>
          </cell>
          <cell r="U28">
            <v>65</v>
          </cell>
        </row>
        <row r="29">
          <cell r="T29" t="str">
            <v>枕木步道組立</v>
          </cell>
          <cell r="U29">
            <v>3127</v>
          </cell>
        </row>
        <row r="30">
          <cell r="T30" t="str">
            <v>枕木欄杆組立</v>
          </cell>
          <cell r="U30">
            <v>3264</v>
          </cell>
        </row>
        <row r="31">
          <cell r="T31" t="str">
            <v>HDPE管懸掛</v>
          </cell>
          <cell r="U31">
            <v>427</v>
          </cell>
        </row>
        <row r="32">
          <cell r="T32" t="str">
            <v>鋼承鈑加工組立</v>
          </cell>
          <cell r="U32">
            <v>900</v>
          </cell>
        </row>
        <row r="33">
          <cell r="T33" t="str">
            <v>混凝土鑽孔(∮7"╳30㎝)</v>
          </cell>
          <cell r="U33">
            <v>1222</v>
          </cell>
        </row>
        <row r="34">
          <cell r="T34" t="str">
            <v>太平洋鐵木欄杆組立</v>
          </cell>
          <cell r="U34">
            <v>2144</v>
          </cell>
        </row>
        <row r="35">
          <cell r="T35" t="str">
            <v xml:space="preserve"> 營造綜合保險費</v>
          </cell>
          <cell r="U35">
            <v>177600</v>
          </cell>
        </row>
        <row r="36">
          <cell r="T36" t="str">
            <v xml:space="preserve"> 公共工程安全衛生設備費</v>
          </cell>
          <cell r="U36">
            <v>110000</v>
          </cell>
        </row>
      </sheetData>
      <sheetData sheetId="3" refreshError="1"/>
      <sheetData sheetId="4" refreshError="1">
        <row r="2">
          <cell r="A2" t="str">
            <v>編號</v>
          </cell>
          <cell r="B2" t="str">
            <v>項            目</v>
          </cell>
          <cell r="C2" t="str">
            <v>說    明</v>
          </cell>
          <cell r="D2" t="str">
            <v>單 位</v>
          </cell>
          <cell r="E2" t="str">
            <v>單價(元)</v>
          </cell>
          <cell r="F2" t="str">
            <v>附  註</v>
          </cell>
        </row>
        <row r="3">
          <cell r="A3" t="str">
            <v>t0</v>
          </cell>
          <cell r="B3" t="str">
            <v>參 考 單 價</v>
          </cell>
        </row>
        <row r="4">
          <cell r="A4">
            <v>1</v>
          </cell>
          <cell r="B4" t="str">
            <v xml:space="preserve"> 挖普通土(機械作業)</v>
          </cell>
          <cell r="C4" t="str">
            <v>適用路基工程</v>
          </cell>
          <cell r="D4" t="str">
            <v>m3</v>
          </cell>
          <cell r="E4">
            <v>13</v>
          </cell>
          <cell r="F4" t="str">
            <v>參考單價</v>
          </cell>
        </row>
        <row r="5">
          <cell r="A5">
            <v>2</v>
          </cell>
          <cell r="B5" t="str">
            <v xml:space="preserve"> 挖間隔土(機械作業)</v>
          </cell>
          <cell r="C5" t="str">
            <v>適用路基工程</v>
          </cell>
          <cell r="D5" t="str">
            <v>m3</v>
          </cell>
          <cell r="E5">
            <v>13</v>
          </cell>
          <cell r="F5" t="str">
            <v>參考單價</v>
          </cell>
        </row>
        <row r="6">
          <cell r="A6">
            <v>3</v>
          </cell>
          <cell r="B6" t="str">
            <v xml:space="preserve"> 填土(機械作業)</v>
          </cell>
          <cell r="C6" t="str">
            <v>適用路基工程</v>
          </cell>
          <cell r="D6" t="str">
            <v>m3</v>
          </cell>
          <cell r="E6">
            <v>18</v>
          </cell>
          <cell r="F6" t="str">
            <v>參考單價</v>
          </cell>
        </row>
        <row r="7">
          <cell r="A7">
            <v>4</v>
          </cell>
          <cell r="B7" t="str">
            <v xml:space="preserve"> 挖填土(機械作業)</v>
          </cell>
          <cell r="C7" t="str">
            <v>適用路基工程</v>
          </cell>
          <cell r="D7" t="str">
            <v>m3</v>
          </cell>
          <cell r="E7">
            <v>15</v>
          </cell>
          <cell r="F7" t="str">
            <v>參考單價</v>
          </cell>
        </row>
        <row r="8">
          <cell r="A8">
            <v>5</v>
          </cell>
          <cell r="B8" t="str">
            <v xml:space="preserve"> 挖硬岩</v>
          </cell>
          <cell r="D8" t="str">
            <v>m3</v>
          </cell>
          <cell r="E8">
            <v>150</v>
          </cell>
          <cell r="F8" t="str">
            <v>參考單價</v>
          </cell>
        </row>
        <row r="9">
          <cell r="A9">
            <v>6</v>
          </cell>
          <cell r="B9" t="str">
            <v xml:space="preserve"> 挖軟岩</v>
          </cell>
          <cell r="D9" t="str">
            <v>m3</v>
          </cell>
          <cell r="E9">
            <v>100</v>
          </cell>
          <cell r="F9" t="str">
            <v>參考單價</v>
          </cell>
        </row>
        <row r="10">
          <cell r="A10">
            <v>7</v>
          </cell>
          <cell r="B10" t="str">
            <v xml:space="preserve"> 挖青灰岩</v>
          </cell>
          <cell r="D10" t="str">
            <v>m3</v>
          </cell>
          <cell r="E10">
            <v>100</v>
          </cell>
          <cell r="F10" t="str">
            <v>參考單價</v>
          </cell>
        </row>
        <row r="11">
          <cell r="A11">
            <v>8</v>
          </cell>
          <cell r="B11" t="str">
            <v xml:space="preserve"> 人工挖普通土</v>
          </cell>
          <cell r="D11" t="str">
            <v>m3</v>
          </cell>
          <cell r="E11">
            <v>159</v>
          </cell>
          <cell r="F11" t="str">
            <v>參考單價</v>
          </cell>
        </row>
        <row r="12">
          <cell r="A12">
            <v>9</v>
          </cell>
          <cell r="B12" t="str">
            <v xml:space="preserve"> 人工挖普通土－30%砂礫</v>
          </cell>
          <cell r="C12" t="str">
            <v xml:space="preserve"> </v>
          </cell>
          <cell r="D12" t="str">
            <v>m3</v>
          </cell>
          <cell r="E12">
            <v>180</v>
          </cell>
          <cell r="F12" t="str">
            <v>參考單價</v>
          </cell>
        </row>
        <row r="13">
          <cell r="A13">
            <v>10</v>
          </cell>
          <cell r="B13" t="str">
            <v xml:space="preserve"> 人工挖礫石土</v>
          </cell>
          <cell r="D13" t="str">
            <v>m3</v>
          </cell>
          <cell r="E13">
            <v>191</v>
          </cell>
          <cell r="F13" t="str">
            <v>參考單價</v>
          </cell>
        </row>
        <row r="14">
          <cell r="A14">
            <v>11</v>
          </cell>
          <cell r="B14" t="str">
            <v xml:space="preserve"> 人工挖卵、塊石</v>
          </cell>
          <cell r="D14" t="str">
            <v>m3</v>
          </cell>
          <cell r="E14">
            <v>214</v>
          </cell>
          <cell r="F14" t="str">
            <v>參考單價</v>
          </cell>
        </row>
        <row r="15">
          <cell r="A15">
            <v>12</v>
          </cell>
          <cell r="B15" t="str">
            <v xml:space="preserve"> 人工挖軟岩</v>
          </cell>
          <cell r="D15" t="str">
            <v>m3</v>
          </cell>
          <cell r="E15">
            <v>451</v>
          </cell>
          <cell r="F15" t="str">
            <v>參考單價</v>
          </cell>
        </row>
        <row r="16">
          <cell r="A16">
            <v>13</v>
          </cell>
          <cell r="B16" t="str">
            <v xml:space="preserve"> 人工挖硬岩</v>
          </cell>
          <cell r="D16" t="str">
            <v>m3</v>
          </cell>
          <cell r="E16">
            <v>937</v>
          </cell>
          <cell r="F16" t="str">
            <v>參考單價</v>
          </cell>
        </row>
        <row r="17">
          <cell r="A17">
            <v>14</v>
          </cell>
          <cell r="B17" t="str">
            <v xml:space="preserve"> 人工挖青灰岩</v>
          </cell>
          <cell r="D17" t="str">
            <v>m3</v>
          </cell>
          <cell r="E17">
            <v>455</v>
          </cell>
          <cell r="F17" t="str">
            <v>參考單價</v>
          </cell>
        </row>
        <row r="18">
          <cell r="A18">
            <v>15</v>
          </cell>
          <cell r="B18" t="str">
            <v xml:space="preserve"> 人工挖基礎(普通土)</v>
          </cell>
          <cell r="C18" t="str">
            <v>挖深 1m</v>
          </cell>
          <cell r="D18" t="str">
            <v>m3</v>
          </cell>
          <cell r="E18">
            <v>161</v>
          </cell>
          <cell r="F18" t="str">
            <v>參考單價</v>
          </cell>
        </row>
        <row r="19">
          <cell r="A19">
            <v>16</v>
          </cell>
          <cell r="B19" t="str">
            <v xml:space="preserve"> 人工挖基礎(普通土)</v>
          </cell>
          <cell r="C19" t="str">
            <v>挖深 2m</v>
          </cell>
          <cell r="D19" t="str">
            <v>m3</v>
          </cell>
          <cell r="E19">
            <v>182</v>
          </cell>
          <cell r="F19" t="str">
            <v>參考單價</v>
          </cell>
        </row>
        <row r="20">
          <cell r="A20">
            <v>17</v>
          </cell>
          <cell r="B20" t="str">
            <v xml:space="preserve"> 人工挖基礎(普通土)</v>
          </cell>
          <cell r="C20" t="str">
            <v>挖深 3m</v>
          </cell>
          <cell r="D20" t="str">
            <v>m3</v>
          </cell>
          <cell r="E20">
            <v>252</v>
          </cell>
          <cell r="F20" t="str">
            <v>參考單價</v>
          </cell>
        </row>
        <row r="21">
          <cell r="A21">
            <v>18</v>
          </cell>
          <cell r="B21" t="str">
            <v xml:space="preserve"> 人工挖基礎(普通土)</v>
          </cell>
          <cell r="C21" t="str">
            <v>挖深 4m</v>
          </cell>
          <cell r="D21" t="str">
            <v>m3</v>
          </cell>
          <cell r="E21">
            <v>364</v>
          </cell>
          <cell r="F21" t="str">
            <v>參考單價</v>
          </cell>
        </row>
        <row r="22">
          <cell r="A22">
            <v>19</v>
          </cell>
          <cell r="B22" t="str">
            <v xml:space="preserve"> 人工挖基礎(普通土)</v>
          </cell>
          <cell r="C22" t="str">
            <v>挖深 5m</v>
          </cell>
          <cell r="D22" t="str">
            <v>m3</v>
          </cell>
          <cell r="E22">
            <v>466</v>
          </cell>
          <cell r="F22" t="str">
            <v>參考單價</v>
          </cell>
        </row>
        <row r="23">
          <cell r="A23">
            <v>20</v>
          </cell>
          <cell r="B23" t="str">
            <v xml:space="preserve"> 人工挖基礎(含30%砂礫)</v>
          </cell>
          <cell r="C23" t="str">
            <v>挖深1m</v>
          </cell>
          <cell r="D23" t="str">
            <v>m3</v>
          </cell>
          <cell r="E23">
            <v>182</v>
          </cell>
          <cell r="F23" t="str">
            <v>參考單價</v>
          </cell>
        </row>
        <row r="24">
          <cell r="A24">
            <v>21</v>
          </cell>
          <cell r="B24" t="str">
            <v xml:space="preserve"> 人工挖基礎(含30%砂礫)</v>
          </cell>
          <cell r="C24" t="str">
            <v>挖深2m</v>
          </cell>
          <cell r="D24" t="str">
            <v>m3</v>
          </cell>
          <cell r="E24">
            <v>214</v>
          </cell>
          <cell r="F24" t="str">
            <v>參考單價</v>
          </cell>
        </row>
        <row r="25">
          <cell r="A25">
            <v>22</v>
          </cell>
          <cell r="B25" t="str">
            <v xml:space="preserve"> 人工挖基礎(含30%砂礫)</v>
          </cell>
          <cell r="C25" t="str">
            <v>挖深3m</v>
          </cell>
          <cell r="D25" t="str">
            <v>m3</v>
          </cell>
          <cell r="E25">
            <v>305</v>
          </cell>
          <cell r="F25" t="str">
            <v>參考單價</v>
          </cell>
        </row>
        <row r="26">
          <cell r="A26">
            <v>23</v>
          </cell>
          <cell r="B26" t="str">
            <v xml:space="preserve"> 人工挖基礎(含30%砂礫)</v>
          </cell>
          <cell r="C26" t="str">
            <v>挖深4m</v>
          </cell>
          <cell r="D26" t="str">
            <v>m3</v>
          </cell>
          <cell r="E26">
            <v>412</v>
          </cell>
          <cell r="F26" t="str">
            <v>參考單價</v>
          </cell>
        </row>
        <row r="27">
          <cell r="A27">
            <v>24</v>
          </cell>
          <cell r="B27" t="str">
            <v xml:space="preserve"> 人工挖基礎(含30%砂礫)</v>
          </cell>
          <cell r="C27" t="str">
            <v>挖深5m</v>
          </cell>
          <cell r="D27" t="str">
            <v>m3</v>
          </cell>
          <cell r="E27">
            <v>546</v>
          </cell>
          <cell r="F27" t="str">
            <v>參考單價</v>
          </cell>
        </row>
        <row r="28">
          <cell r="A28">
            <v>25</v>
          </cell>
          <cell r="B28" t="str">
            <v xml:space="preserve"> 人工挖基礎(礫石土)</v>
          </cell>
          <cell r="C28" t="str">
            <v>挖深 1m</v>
          </cell>
          <cell r="D28" t="str">
            <v>m3</v>
          </cell>
          <cell r="E28">
            <v>193</v>
          </cell>
          <cell r="F28" t="str">
            <v>參考單價</v>
          </cell>
        </row>
        <row r="29">
          <cell r="A29">
            <v>26</v>
          </cell>
          <cell r="B29" t="str">
            <v xml:space="preserve"> 人工挖基礎(礫石土)</v>
          </cell>
          <cell r="C29" t="str">
            <v>挖深 2m</v>
          </cell>
          <cell r="D29" t="str">
            <v>m3</v>
          </cell>
          <cell r="E29">
            <v>252</v>
          </cell>
          <cell r="F29" t="str">
            <v>參考單價</v>
          </cell>
        </row>
        <row r="30">
          <cell r="A30">
            <v>27</v>
          </cell>
          <cell r="B30" t="str">
            <v xml:space="preserve"> 人工挖基礎(礫石土)</v>
          </cell>
          <cell r="C30" t="str">
            <v>挖深 3m</v>
          </cell>
          <cell r="D30" t="str">
            <v>m3</v>
          </cell>
          <cell r="E30">
            <v>359</v>
          </cell>
          <cell r="F30" t="str">
            <v>參考單價</v>
          </cell>
        </row>
        <row r="31">
          <cell r="A31">
            <v>28</v>
          </cell>
          <cell r="B31" t="str">
            <v xml:space="preserve"> 人工挖基礎(礫石土)</v>
          </cell>
          <cell r="C31" t="str">
            <v>挖深 4m</v>
          </cell>
          <cell r="D31" t="str">
            <v>m3</v>
          </cell>
          <cell r="E31">
            <v>487</v>
          </cell>
          <cell r="F31" t="str">
            <v>參考單價</v>
          </cell>
        </row>
        <row r="32">
          <cell r="A32">
            <v>29</v>
          </cell>
          <cell r="B32" t="str">
            <v xml:space="preserve"> 人工挖基礎(礫石土)</v>
          </cell>
          <cell r="C32" t="str">
            <v>挖深 5m</v>
          </cell>
          <cell r="D32" t="str">
            <v>m3</v>
          </cell>
          <cell r="E32">
            <v>637</v>
          </cell>
          <cell r="F32" t="str">
            <v>參考單價</v>
          </cell>
        </row>
        <row r="33">
          <cell r="A33">
            <v>30</v>
          </cell>
          <cell r="B33" t="str">
            <v xml:space="preserve"> 人工挖基礎(卵塊石)</v>
          </cell>
          <cell r="C33" t="str">
            <v>挖深 1m</v>
          </cell>
          <cell r="D33" t="str">
            <v>m3</v>
          </cell>
          <cell r="E33">
            <v>214</v>
          </cell>
          <cell r="F33" t="str">
            <v>參考單價</v>
          </cell>
        </row>
        <row r="34">
          <cell r="A34">
            <v>31</v>
          </cell>
          <cell r="B34" t="str">
            <v xml:space="preserve"> 人工挖基礎(卵塊石)</v>
          </cell>
          <cell r="C34" t="str">
            <v>挖深 2m</v>
          </cell>
          <cell r="D34" t="str">
            <v>m3</v>
          </cell>
          <cell r="E34">
            <v>311</v>
          </cell>
          <cell r="F34" t="str">
            <v>參考單價</v>
          </cell>
        </row>
        <row r="35">
          <cell r="A35">
            <v>32</v>
          </cell>
          <cell r="B35" t="str">
            <v xml:space="preserve"> 人工挖基礎(卵塊石)</v>
          </cell>
          <cell r="C35" t="str">
            <v>挖深 3m</v>
          </cell>
          <cell r="D35" t="str">
            <v>m3</v>
          </cell>
          <cell r="E35">
            <v>439</v>
          </cell>
          <cell r="F35" t="str">
            <v>參考單價</v>
          </cell>
        </row>
        <row r="36">
          <cell r="A36">
            <v>33</v>
          </cell>
          <cell r="B36" t="str">
            <v xml:space="preserve"> 人工挖基礎(卵塊石)</v>
          </cell>
          <cell r="C36" t="str">
            <v>挖深 4m</v>
          </cell>
          <cell r="D36" t="str">
            <v>m3</v>
          </cell>
          <cell r="E36">
            <v>578</v>
          </cell>
          <cell r="F36" t="str">
            <v>參考單價</v>
          </cell>
        </row>
        <row r="37">
          <cell r="A37">
            <v>34</v>
          </cell>
          <cell r="B37" t="str">
            <v xml:space="preserve"> 人工挖基礎(卵塊石)</v>
          </cell>
          <cell r="C37" t="str">
            <v>挖深 5m</v>
          </cell>
          <cell r="D37" t="str">
            <v>m3</v>
          </cell>
          <cell r="E37">
            <v>728</v>
          </cell>
          <cell r="F37" t="str">
            <v>參考單價</v>
          </cell>
        </row>
        <row r="38">
          <cell r="A38">
            <v>35</v>
          </cell>
          <cell r="B38" t="str">
            <v>巨石搬運費</v>
          </cell>
          <cell r="C38" t="str">
            <v>甲方指定</v>
          </cell>
          <cell r="D38" t="str">
            <v>噸</v>
          </cell>
          <cell r="E38">
            <v>2000</v>
          </cell>
          <cell r="F38" t="str">
            <v>約5~18顆</v>
          </cell>
        </row>
        <row r="39">
          <cell r="A39">
            <v>36</v>
          </cell>
          <cell r="B39" t="str">
            <v>土石流土方清運</v>
          </cell>
          <cell r="C39" t="str">
            <v>甲方指定</v>
          </cell>
          <cell r="D39" t="str">
            <v>m3</v>
          </cell>
          <cell r="E39">
            <v>100</v>
          </cell>
          <cell r="F39" t="str">
            <v>實作實算</v>
          </cell>
        </row>
        <row r="40">
          <cell r="A40">
            <v>37</v>
          </cell>
          <cell r="B40" t="str">
            <v>道路修復費</v>
          </cell>
          <cell r="C40" t="str">
            <v>甲方指定</v>
          </cell>
          <cell r="D40" t="str">
            <v>100㎡</v>
          </cell>
          <cell r="E40">
            <v>1712.2</v>
          </cell>
          <cell r="F40" t="str">
            <v>參考單價</v>
          </cell>
        </row>
        <row r="41">
          <cell r="A41">
            <v>38</v>
          </cell>
          <cell r="B41" t="str">
            <v xml:space="preserve"> 挖硬岩基礎(人工炸藥)</v>
          </cell>
          <cell r="C41" t="str">
            <v>挖深 1m</v>
          </cell>
          <cell r="D41" t="str">
            <v>m3</v>
          </cell>
          <cell r="E41">
            <v>490</v>
          </cell>
          <cell r="F41" t="str">
            <v>參考單價</v>
          </cell>
        </row>
        <row r="42">
          <cell r="A42">
            <v>39</v>
          </cell>
          <cell r="B42" t="str">
            <v xml:space="preserve"> 挖硬岩基礎(人工炸藥)</v>
          </cell>
          <cell r="C42" t="str">
            <v>挖深 2m</v>
          </cell>
          <cell r="D42" t="str">
            <v>m3</v>
          </cell>
          <cell r="E42">
            <v>927</v>
          </cell>
          <cell r="F42" t="str">
            <v>參考單價</v>
          </cell>
        </row>
        <row r="43">
          <cell r="A43">
            <v>40</v>
          </cell>
          <cell r="B43" t="str">
            <v xml:space="preserve"> 人工水中挖基礎</v>
          </cell>
          <cell r="C43" t="str">
            <v>普通土  挖深 1m</v>
          </cell>
          <cell r="D43" t="str">
            <v>m3</v>
          </cell>
          <cell r="E43">
            <v>225</v>
          </cell>
          <cell r="F43" t="str">
            <v>參考單價</v>
          </cell>
        </row>
        <row r="44">
          <cell r="A44">
            <v>41</v>
          </cell>
          <cell r="B44" t="str">
            <v xml:space="preserve"> 人工水中挖基礎</v>
          </cell>
          <cell r="C44" t="str">
            <v>普通土  挖深 2m</v>
          </cell>
          <cell r="D44" t="str">
            <v>m3</v>
          </cell>
          <cell r="E44">
            <v>295</v>
          </cell>
          <cell r="F44" t="str">
            <v>參考單價</v>
          </cell>
        </row>
        <row r="45">
          <cell r="A45">
            <v>42</v>
          </cell>
          <cell r="B45" t="str">
            <v xml:space="preserve"> 人工水中挖基礎</v>
          </cell>
          <cell r="C45" t="str">
            <v>普通土  挖深 3m</v>
          </cell>
          <cell r="D45" t="str">
            <v>m3</v>
          </cell>
          <cell r="E45">
            <v>434</v>
          </cell>
          <cell r="F45" t="str">
            <v>參考單價</v>
          </cell>
        </row>
        <row r="46">
          <cell r="A46">
            <v>43</v>
          </cell>
          <cell r="B46" t="str">
            <v xml:space="preserve"> 人工水中挖基礎</v>
          </cell>
          <cell r="C46" t="str">
            <v>普通土  挖深 4m</v>
          </cell>
          <cell r="D46" t="str">
            <v>m3</v>
          </cell>
          <cell r="E46">
            <v>568</v>
          </cell>
          <cell r="F46" t="str">
            <v>參考單價</v>
          </cell>
        </row>
        <row r="47">
          <cell r="A47">
            <v>44</v>
          </cell>
          <cell r="B47" t="str">
            <v xml:space="preserve"> 人工水中挖基礎</v>
          </cell>
          <cell r="C47" t="str">
            <v>普通土  挖深 5m</v>
          </cell>
          <cell r="D47" t="str">
            <v>m3</v>
          </cell>
          <cell r="E47">
            <v>707</v>
          </cell>
          <cell r="F47" t="str">
            <v>參考單價</v>
          </cell>
        </row>
        <row r="48">
          <cell r="A48">
            <v>45</v>
          </cell>
          <cell r="B48" t="str">
            <v xml:space="preserve"> 人工水中挖基礎</v>
          </cell>
          <cell r="C48" t="str">
            <v>30%砂礫  挖深1m</v>
          </cell>
          <cell r="D48" t="str">
            <v>m3</v>
          </cell>
          <cell r="E48">
            <v>257</v>
          </cell>
          <cell r="F48" t="str">
            <v>參考單價</v>
          </cell>
        </row>
        <row r="49">
          <cell r="A49">
            <v>46</v>
          </cell>
          <cell r="B49" t="str">
            <v xml:space="preserve"> 人工水中挖基礎</v>
          </cell>
          <cell r="C49" t="str">
            <v>30%砂礫  挖深2m</v>
          </cell>
          <cell r="D49" t="str">
            <v>m3</v>
          </cell>
          <cell r="E49">
            <v>348</v>
          </cell>
          <cell r="F49" t="str">
            <v>參考單價</v>
          </cell>
        </row>
        <row r="50">
          <cell r="A50">
            <v>47</v>
          </cell>
          <cell r="B50" t="str">
            <v xml:space="preserve"> 人工水中挖基礎</v>
          </cell>
          <cell r="C50" t="str">
            <v>30%砂礫  挖深3m</v>
          </cell>
          <cell r="D50" t="str">
            <v>m3</v>
          </cell>
          <cell r="E50">
            <v>482</v>
          </cell>
          <cell r="F50" t="str">
            <v>參考單價</v>
          </cell>
        </row>
        <row r="51">
          <cell r="A51">
            <v>48</v>
          </cell>
          <cell r="B51" t="str">
            <v xml:space="preserve"> 人工水中挖基礎</v>
          </cell>
          <cell r="C51" t="str">
            <v>30%砂礫  挖深4m</v>
          </cell>
          <cell r="D51" t="str">
            <v>m3</v>
          </cell>
          <cell r="E51">
            <v>621</v>
          </cell>
          <cell r="F51" t="str">
            <v>參考單價</v>
          </cell>
        </row>
        <row r="52">
          <cell r="A52">
            <v>49</v>
          </cell>
          <cell r="B52" t="str">
            <v xml:space="preserve"> 人工水中挖基礎</v>
          </cell>
          <cell r="C52" t="str">
            <v>30%砂礫  挖深5m</v>
          </cell>
          <cell r="D52" t="str">
            <v>m3</v>
          </cell>
          <cell r="E52">
            <v>803</v>
          </cell>
          <cell r="F52" t="str">
            <v>參考單價</v>
          </cell>
        </row>
        <row r="53">
          <cell r="A53">
            <v>50</v>
          </cell>
          <cell r="B53" t="str">
            <v xml:space="preserve"> 人工水中挖基礎</v>
          </cell>
          <cell r="C53" t="str">
            <v>礫石土  挖深 1m</v>
          </cell>
          <cell r="D53" t="str">
            <v>m3</v>
          </cell>
          <cell r="E53">
            <v>295</v>
          </cell>
          <cell r="F53" t="str">
            <v>參考單價</v>
          </cell>
        </row>
        <row r="54">
          <cell r="A54">
            <v>51</v>
          </cell>
          <cell r="B54" t="str">
            <v xml:space="preserve"> 人工水中挖基礎</v>
          </cell>
          <cell r="C54" t="str">
            <v>礫石土  挖深 2m</v>
          </cell>
          <cell r="D54" t="str">
            <v>m3</v>
          </cell>
          <cell r="E54">
            <v>434</v>
          </cell>
          <cell r="F54" t="str">
            <v>參考單價</v>
          </cell>
        </row>
        <row r="55">
          <cell r="A55">
            <v>52</v>
          </cell>
          <cell r="B55" t="str">
            <v xml:space="preserve"> 人工水中挖基礎</v>
          </cell>
          <cell r="C55" t="str">
            <v>礫石土  挖深 3m</v>
          </cell>
          <cell r="D55" t="str">
            <v>m3</v>
          </cell>
          <cell r="E55">
            <v>616</v>
          </cell>
          <cell r="F55" t="str">
            <v>參考單價</v>
          </cell>
        </row>
        <row r="56">
          <cell r="A56">
            <v>53</v>
          </cell>
          <cell r="B56" t="str">
            <v xml:space="preserve"> 人工水中挖基礎</v>
          </cell>
          <cell r="C56" t="str">
            <v>礫石土  挖深 4m</v>
          </cell>
          <cell r="D56" t="str">
            <v>m3</v>
          </cell>
          <cell r="E56">
            <v>798</v>
          </cell>
          <cell r="F56" t="str">
            <v>參考單價</v>
          </cell>
        </row>
        <row r="57">
          <cell r="A57">
            <v>54</v>
          </cell>
          <cell r="B57" t="str">
            <v xml:space="preserve"> 人工水中挖基礎</v>
          </cell>
          <cell r="C57" t="str">
            <v>礫石土  挖深 5m</v>
          </cell>
          <cell r="D57" t="str">
            <v>m3</v>
          </cell>
          <cell r="E57">
            <v>1023</v>
          </cell>
          <cell r="F57" t="str">
            <v>參考單價</v>
          </cell>
        </row>
        <row r="58">
          <cell r="A58">
            <v>55</v>
          </cell>
          <cell r="B58" t="str">
            <v xml:space="preserve"> 人工水中挖基礎</v>
          </cell>
          <cell r="C58" t="str">
            <v>軟岩  挖深 1m</v>
          </cell>
          <cell r="D58" t="str">
            <v>m3</v>
          </cell>
          <cell r="E58">
            <v>696</v>
          </cell>
          <cell r="F58" t="str">
            <v>參考單價</v>
          </cell>
        </row>
        <row r="59">
          <cell r="A59">
            <v>56</v>
          </cell>
          <cell r="B59" t="str">
            <v xml:space="preserve"> 人工水中挖基礎</v>
          </cell>
          <cell r="C59" t="str">
            <v>軟岩  挖深 2m</v>
          </cell>
          <cell r="D59" t="str">
            <v>m3</v>
          </cell>
          <cell r="E59">
            <v>964</v>
          </cell>
          <cell r="F59" t="str">
            <v>參考單價</v>
          </cell>
        </row>
        <row r="60">
          <cell r="A60">
            <v>57</v>
          </cell>
          <cell r="B60" t="str">
            <v xml:space="preserve"> 人工水中挖基礎</v>
          </cell>
          <cell r="C60" t="str">
            <v>軟岩  挖深 3m</v>
          </cell>
          <cell r="D60" t="str">
            <v>m3</v>
          </cell>
          <cell r="E60">
            <v>1607</v>
          </cell>
          <cell r="F60" t="str">
            <v>參考單價</v>
          </cell>
        </row>
        <row r="61">
          <cell r="A61">
            <v>58</v>
          </cell>
          <cell r="B61" t="str">
            <v xml:space="preserve"> 瀝青混凝土路面切割(15cm)</v>
          </cell>
          <cell r="D61" t="str">
            <v>m</v>
          </cell>
          <cell r="E61">
            <v>100</v>
          </cell>
          <cell r="F61" t="str">
            <v>參考單價</v>
          </cell>
        </row>
        <row r="62">
          <cell r="A62">
            <v>59</v>
          </cell>
          <cell r="B62" t="str">
            <v xml:space="preserve"> 機械挖普通土</v>
          </cell>
          <cell r="D62" t="str">
            <v>m3</v>
          </cell>
          <cell r="E62">
            <v>44</v>
          </cell>
          <cell r="F62" t="str">
            <v>參考單價</v>
          </cell>
        </row>
        <row r="63">
          <cell r="A63">
            <v>60</v>
          </cell>
          <cell r="B63" t="str">
            <v xml:space="preserve"> 挖普通土－30%以上砂礫</v>
          </cell>
          <cell r="D63" t="str">
            <v>m3</v>
          </cell>
          <cell r="E63">
            <v>58</v>
          </cell>
          <cell r="F63" t="str">
            <v>參考單價</v>
          </cell>
        </row>
        <row r="64">
          <cell r="A64">
            <v>61</v>
          </cell>
          <cell r="B64" t="str">
            <v xml:space="preserve"> 挖卵、塊石土、硬黏土</v>
          </cell>
          <cell r="D64" t="str">
            <v>m3</v>
          </cell>
          <cell r="E64">
            <v>80</v>
          </cell>
          <cell r="F64" t="str">
            <v>參考單價</v>
          </cell>
        </row>
        <row r="65">
          <cell r="A65">
            <v>62</v>
          </cell>
          <cell r="B65" t="str">
            <v xml:space="preserve"> 機械挖硬岩</v>
          </cell>
          <cell r="D65" t="str">
            <v>m3</v>
          </cell>
          <cell r="E65">
            <v>289</v>
          </cell>
          <cell r="F65" t="str">
            <v>參考單價</v>
          </cell>
        </row>
        <row r="66">
          <cell r="A66">
            <v>63</v>
          </cell>
          <cell r="B66" t="str">
            <v xml:space="preserve"> 機械挖軟岩</v>
          </cell>
          <cell r="D66" t="str">
            <v>m3</v>
          </cell>
          <cell r="E66">
            <v>166</v>
          </cell>
          <cell r="F66" t="str">
            <v>參考單價</v>
          </cell>
        </row>
        <row r="67">
          <cell r="A67">
            <v>64</v>
          </cell>
          <cell r="B67" t="str">
            <v xml:space="preserve"> 回填土 (人工)</v>
          </cell>
          <cell r="D67" t="str">
            <v>m3</v>
          </cell>
          <cell r="E67">
            <v>31</v>
          </cell>
          <cell r="F67" t="str">
            <v>參考單價</v>
          </cell>
        </row>
        <row r="68">
          <cell r="A68">
            <v>65</v>
          </cell>
          <cell r="B68" t="str">
            <v xml:space="preserve"> 回填土 (機械)</v>
          </cell>
          <cell r="D68" t="str">
            <v>m3</v>
          </cell>
          <cell r="E68">
            <v>13</v>
          </cell>
          <cell r="F68" t="str">
            <v>參考單價</v>
          </cell>
        </row>
        <row r="69">
          <cell r="A69">
            <v>66</v>
          </cell>
          <cell r="B69" t="str">
            <v xml:space="preserve"> 機械打除鋼筋混凝土</v>
          </cell>
          <cell r="D69" t="str">
            <v>m3</v>
          </cell>
          <cell r="E69">
            <v>196</v>
          </cell>
          <cell r="F69" t="str">
            <v>參考單價</v>
          </cell>
        </row>
        <row r="70">
          <cell r="A70">
            <v>67</v>
          </cell>
          <cell r="B70" t="str">
            <v>打除舊石版步道</v>
          </cell>
          <cell r="D70" t="str">
            <v>m3</v>
          </cell>
          <cell r="E70">
            <v>60</v>
          </cell>
          <cell r="F70" t="str">
            <v>參考單價</v>
          </cell>
        </row>
        <row r="71">
          <cell r="A71">
            <v>68</v>
          </cell>
          <cell r="B71" t="str">
            <v xml:space="preserve"> 機械打除 1:3:6 混凝土</v>
          </cell>
          <cell r="D71" t="str">
            <v>m3</v>
          </cell>
          <cell r="E71">
            <v>86</v>
          </cell>
          <cell r="F71" t="str">
            <v>參考單價</v>
          </cell>
        </row>
        <row r="72">
          <cell r="A72">
            <v>69</v>
          </cell>
          <cell r="B72" t="str">
            <v xml:space="preserve"> 鋼筋加工及組立</v>
          </cell>
          <cell r="D72" t="str">
            <v>噸</v>
          </cell>
          <cell r="E72">
            <v>4895</v>
          </cell>
          <cell r="F72" t="str">
            <v>參考單價</v>
          </cell>
        </row>
        <row r="73">
          <cell r="A73">
            <v>70</v>
          </cell>
          <cell r="B73" t="str">
            <v xml:space="preserve"> 175kg/c㎡及以下PC</v>
          </cell>
          <cell r="C73" t="str">
            <v>澆注費</v>
          </cell>
          <cell r="D73" t="str">
            <v>m3</v>
          </cell>
          <cell r="E73">
            <v>180</v>
          </cell>
          <cell r="F73" t="str">
            <v>參考單價</v>
          </cell>
        </row>
        <row r="74">
          <cell r="A74">
            <v>71</v>
          </cell>
          <cell r="B74" t="str">
            <v xml:space="preserve"> 210kg/c㎡及以上PC</v>
          </cell>
          <cell r="C74" t="str">
            <v>澆注費</v>
          </cell>
          <cell r="D74" t="str">
            <v>m3</v>
          </cell>
          <cell r="E74">
            <v>200</v>
          </cell>
          <cell r="F74" t="str">
            <v>參考單價</v>
          </cell>
        </row>
        <row r="75">
          <cell r="A75">
            <v>73</v>
          </cell>
          <cell r="B75" t="str">
            <v xml:space="preserve"> 軀體模板製作及裝拆</v>
          </cell>
          <cell r="C75" t="str">
            <v>裸露</v>
          </cell>
          <cell r="D75" t="str">
            <v>㎡</v>
          </cell>
          <cell r="E75">
            <v>184</v>
          </cell>
          <cell r="F75" t="str">
            <v>參考單價</v>
          </cell>
        </row>
        <row r="76">
          <cell r="A76">
            <v>72</v>
          </cell>
          <cell r="B76" t="str">
            <v xml:space="preserve"> 基礎模板製作及裝拆</v>
          </cell>
          <cell r="C76" t="str">
            <v>隱蔽</v>
          </cell>
          <cell r="D76" t="str">
            <v>㎡</v>
          </cell>
          <cell r="E76">
            <v>171</v>
          </cell>
          <cell r="F76" t="str">
            <v>參考單價</v>
          </cell>
        </row>
        <row r="77">
          <cell r="A77">
            <v>74</v>
          </cell>
          <cell r="B77" t="str">
            <v xml:space="preserve"> 結構模板製作及裝拆</v>
          </cell>
          <cell r="D77" t="str">
            <v>㎡</v>
          </cell>
          <cell r="E77">
            <v>331</v>
          </cell>
          <cell r="F77" t="str">
            <v>參考單價</v>
          </cell>
        </row>
        <row r="78">
          <cell r="A78">
            <v>75</v>
          </cell>
          <cell r="B78" t="str">
            <v xml:space="preserve"> 預鑄樑模板製作及裝拆</v>
          </cell>
          <cell r="D78" t="str">
            <v>㎡</v>
          </cell>
          <cell r="E78">
            <v>230</v>
          </cell>
          <cell r="F78" t="str">
            <v>參考單價</v>
          </cell>
        </row>
        <row r="79">
          <cell r="A79">
            <v>76</v>
          </cell>
          <cell r="B79" t="str">
            <v>鋼模製作及裝拆</v>
          </cell>
          <cell r="D79" t="str">
            <v>㎡</v>
          </cell>
          <cell r="E79">
            <v>217</v>
          </cell>
          <cell r="F79" t="str">
            <v>參考單價</v>
          </cell>
        </row>
        <row r="80">
          <cell r="A80">
            <v>77</v>
          </cell>
          <cell r="B80" t="str">
            <v xml:space="preserve"> 滾壓 (二次以上)</v>
          </cell>
          <cell r="C80" t="str">
            <v>滾壓機 8T以上</v>
          </cell>
          <cell r="D80" t="str">
            <v>㎡</v>
          </cell>
          <cell r="E80">
            <v>11</v>
          </cell>
          <cell r="F80" t="str">
            <v>參考單價</v>
          </cell>
        </row>
        <row r="81">
          <cell r="A81">
            <v>78</v>
          </cell>
          <cell r="B81" t="str">
            <v xml:space="preserve"> φ30cm 涵管埋設</v>
          </cell>
          <cell r="C81" t="str">
            <v>涵管長 2.54 m</v>
          </cell>
          <cell r="D81" t="str">
            <v>支</v>
          </cell>
          <cell r="E81">
            <v>145</v>
          </cell>
          <cell r="F81" t="str">
            <v>參考單價</v>
          </cell>
        </row>
        <row r="82">
          <cell r="A82">
            <v>79</v>
          </cell>
          <cell r="B82" t="str">
            <v xml:space="preserve"> φ45cm 涵管埋設</v>
          </cell>
          <cell r="C82" t="str">
            <v>涵管長 2.54 m</v>
          </cell>
          <cell r="D82" t="str">
            <v>支</v>
          </cell>
          <cell r="E82">
            <v>338</v>
          </cell>
          <cell r="F82" t="str">
            <v>參考單價</v>
          </cell>
        </row>
        <row r="83">
          <cell r="A83">
            <v>80</v>
          </cell>
          <cell r="B83" t="str">
            <v xml:space="preserve"> φ60cm 涵管埋設</v>
          </cell>
          <cell r="C83" t="str">
            <v>涵管長 2.54 m</v>
          </cell>
          <cell r="D83" t="str">
            <v>支</v>
          </cell>
          <cell r="E83">
            <v>458</v>
          </cell>
          <cell r="F83" t="str">
            <v>參考單價</v>
          </cell>
        </row>
        <row r="84">
          <cell r="A84">
            <v>81</v>
          </cell>
          <cell r="B84" t="str">
            <v xml:space="preserve"> φ75cm 涵管埋設</v>
          </cell>
          <cell r="C84" t="str">
            <v>涵管長 2.54 m</v>
          </cell>
          <cell r="D84" t="str">
            <v>支</v>
          </cell>
          <cell r="E84">
            <v>516</v>
          </cell>
          <cell r="F84" t="str">
            <v>參考單價</v>
          </cell>
        </row>
        <row r="85">
          <cell r="A85">
            <v>82</v>
          </cell>
          <cell r="B85" t="str">
            <v xml:space="preserve"> φ90cm 涵管埋設</v>
          </cell>
          <cell r="C85" t="str">
            <v>涵管長 2.54 m</v>
          </cell>
          <cell r="D85" t="str">
            <v>支</v>
          </cell>
          <cell r="E85">
            <v>731</v>
          </cell>
          <cell r="F85" t="str">
            <v>參考單價</v>
          </cell>
        </row>
        <row r="86">
          <cell r="A86">
            <v>83</v>
          </cell>
          <cell r="B86" t="str">
            <v xml:space="preserve"> φ100cm 涵管埋設</v>
          </cell>
          <cell r="C86" t="str">
            <v>涵管長 2.54 m</v>
          </cell>
          <cell r="D86" t="str">
            <v>支</v>
          </cell>
          <cell r="E86">
            <v>892</v>
          </cell>
          <cell r="F86" t="str">
            <v>參考單價</v>
          </cell>
        </row>
        <row r="87">
          <cell r="A87">
            <v>84</v>
          </cell>
          <cell r="B87" t="str">
            <v xml:space="preserve"> φ120cm 涵管埋設</v>
          </cell>
          <cell r="C87" t="str">
            <v>涵管長 2.54 m</v>
          </cell>
          <cell r="D87" t="str">
            <v>支</v>
          </cell>
          <cell r="E87">
            <v>1145</v>
          </cell>
          <cell r="F87" t="str">
            <v>參考單價</v>
          </cell>
        </row>
        <row r="88">
          <cell r="A88">
            <v>85</v>
          </cell>
          <cell r="B88" t="str">
            <v xml:space="preserve"> φ150cm 涵管埋設</v>
          </cell>
          <cell r="C88" t="str">
            <v>涵管長 2.54 m</v>
          </cell>
          <cell r="D88" t="str">
            <v>支</v>
          </cell>
          <cell r="E88">
            <v>1260</v>
          </cell>
          <cell r="F88" t="str">
            <v>參考單價</v>
          </cell>
        </row>
        <row r="89">
          <cell r="A89">
            <v>86</v>
          </cell>
          <cell r="B89" t="str">
            <v xml:space="preserve"> φ180cm 涵管埋設</v>
          </cell>
          <cell r="C89" t="str">
            <v>涵管長 2.54 m</v>
          </cell>
          <cell r="D89" t="str">
            <v>支</v>
          </cell>
          <cell r="E89">
            <v>1730</v>
          </cell>
          <cell r="F89" t="str">
            <v>參考單價</v>
          </cell>
        </row>
        <row r="90">
          <cell r="A90">
            <v>87</v>
          </cell>
          <cell r="B90" t="str">
            <v xml:space="preserve"> φ200cm 涵管埋設</v>
          </cell>
          <cell r="C90" t="str">
            <v>涵管長 2.54 m</v>
          </cell>
          <cell r="D90" t="str">
            <v>支</v>
          </cell>
          <cell r="E90">
            <v>2150</v>
          </cell>
          <cell r="F90" t="str">
            <v>參考單價</v>
          </cell>
        </row>
        <row r="91">
          <cell r="A91" t="str">
            <v>a0</v>
          </cell>
          <cell r="B91" t="str">
            <v>局 設 分 析 表</v>
          </cell>
        </row>
        <row r="92">
          <cell r="A92" t="str">
            <v>a39</v>
          </cell>
          <cell r="B92" t="str">
            <v xml:space="preserve"> 採 淨 砂</v>
          </cell>
          <cell r="C92" t="str">
            <v/>
          </cell>
          <cell r="D92" t="str">
            <v>m3</v>
          </cell>
          <cell r="E92">
            <v>402.8</v>
          </cell>
          <cell r="F92" t="str">
            <v>單價分析</v>
          </cell>
        </row>
        <row r="93">
          <cell r="A93" t="str">
            <v>a40</v>
          </cell>
          <cell r="B93" t="str">
            <v xml:space="preserve"> 採淨石子</v>
          </cell>
          <cell r="C93" t="str">
            <v/>
          </cell>
          <cell r="D93" t="str">
            <v>m3</v>
          </cell>
          <cell r="E93">
            <v>508.8</v>
          </cell>
          <cell r="F93" t="str">
            <v>單價分析</v>
          </cell>
        </row>
        <row r="94">
          <cell r="A94" t="str">
            <v>a41</v>
          </cell>
          <cell r="B94" t="str">
            <v xml:space="preserve"> 採淨塊石( φ20~30cm )</v>
          </cell>
          <cell r="C94" t="str">
            <v/>
          </cell>
          <cell r="D94" t="str">
            <v>m3</v>
          </cell>
          <cell r="E94">
            <v>270.3</v>
          </cell>
          <cell r="F94" t="str">
            <v>單價分析</v>
          </cell>
        </row>
        <row r="95">
          <cell r="A95" t="str">
            <v>a43</v>
          </cell>
          <cell r="B95" t="str">
            <v xml:space="preserve"> 採天然級配</v>
          </cell>
          <cell r="C95" t="str">
            <v/>
          </cell>
          <cell r="D95" t="str">
            <v>m3</v>
          </cell>
          <cell r="E95">
            <v>180.2</v>
          </cell>
          <cell r="F95" t="str">
            <v>單價分析</v>
          </cell>
        </row>
        <row r="96">
          <cell r="A96" t="str">
            <v>a44</v>
          </cell>
          <cell r="B96" t="str">
            <v xml:space="preserve"> 採背填卵石</v>
          </cell>
          <cell r="C96" t="str">
            <v/>
          </cell>
          <cell r="D96" t="str">
            <v>m3</v>
          </cell>
          <cell r="E96">
            <v>190.8</v>
          </cell>
          <cell r="F96" t="str">
            <v>單價分析</v>
          </cell>
        </row>
        <row r="97">
          <cell r="A97" t="str">
            <v>a45</v>
          </cell>
          <cell r="B97" t="str">
            <v xml:space="preserve"> 採角石( 石長 25x25x30cm )</v>
          </cell>
          <cell r="C97" t="str">
            <v/>
          </cell>
          <cell r="D97" t="str">
            <v>塊</v>
          </cell>
          <cell r="E97">
            <v>53.099999999999994</v>
          </cell>
          <cell r="F97" t="str">
            <v>單價分析</v>
          </cell>
        </row>
        <row r="98">
          <cell r="A98" t="str">
            <v>a46</v>
          </cell>
          <cell r="B98" t="str">
            <v>3/4"自動釋氣閥及自來水表箱施設</v>
          </cell>
          <cell r="C98" t="str">
            <v/>
          </cell>
          <cell r="D98" t="str">
            <v>個</v>
          </cell>
          <cell r="E98">
            <v>2500</v>
          </cell>
          <cell r="F98" t="str">
            <v>單價分析</v>
          </cell>
        </row>
        <row r="99">
          <cell r="A99" t="str">
            <v>a47</v>
          </cell>
          <cell r="B99" t="str">
            <v xml:space="preserve"> 人工拌合1:2水泥砂漿</v>
          </cell>
          <cell r="C99" t="str">
            <v/>
          </cell>
          <cell r="D99" t="str">
            <v>m3</v>
          </cell>
          <cell r="E99">
            <v>344.5</v>
          </cell>
          <cell r="F99" t="str">
            <v>單價分析</v>
          </cell>
        </row>
        <row r="100">
          <cell r="A100" t="str">
            <v>a48</v>
          </cell>
          <cell r="B100" t="str">
            <v xml:space="preserve"> 人工拌合1:3水泥砂漿</v>
          </cell>
          <cell r="C100" t="str">
            <v/>
          </cell>
          <cell r="D100" t="str">
            <v>m3</v>
          </cell>
          <cell r="E100">
            <v>968.2</v>
          </cell>
          <cell r="F100" t="str">
            <v>單價分析</v>
          </cell>
        </row>
        <row r="101">
          <cell r="A101" t="str">
            <v>a49</v>
          </cell>
          <cell r="B101" t="str">
            <v xml:space="preserve"> 機械打除混凝土</v>
          </cell>
          <cell r="C101" t="str">
            <v/>
          </cell>
          <cell r="D101" t="str">
            <v>100m3</v>
          </cell>
          <cell r="E101">
            <v>8634</v>
          </cell>
          <cell r="F101" t="str">
            <v>單價分析</v>
          </cell>
        </row>
        <row r="102">
          <cell r="A102" t="str">
            <v>a50</v>
          </cell>
          <cell r="B102" t="str">
            <v xml:space="preserve"> 舖設安山岩</v>
          </cell>
          <cell r="C102" t="str">
            <v/>
          </cell>
          <cell r="D102" t="str">
            <v>㎡</v>
          </cell>
          <cell r="E102">
            <v>97</v>
          </cell>
          <cell r="F102" t="str">
            <v>單價分析</v>
          </cell>
        </row>
        <row r="103">
          <cell r="A103" t="str">
            <v>a51</v>
          </cell>
          <cell r="B103" t="str">
            <v xml:space="preserve"> 舖設板岩片</v>
          </cell>
          <cell r="C103" t="str">
            <v/>
          </cell>
          <cell r="D103" t="str">
            <v>㎡</v>
          </cell>
          <cell r="E103">
            <v>97</v>
          </cell>
          <cell r="F103" t="str">
            <v>單價分析</v>
          </cell>
        </row>
        <row r="104">
          <cell r="A104" t="str">
            <v>a52</v>
          </cell>
          <cell r="B104" t="str">
            <v xml:space="preserve"> 南方松木平台組立(5m*10m)</v>
          </cell>
          <cell r="C104" t="str">
            <v/>
          </cell>
          <cell r="D104" t="str">
            <v>座</v>
          </cell>
          <cell r="E104">
            <v>476190</v>
          </cell>
          <cell r="F104" t="str">
            <v>單價分析</v>
          </cell>
        </row>
        <row r="105">
          <cell r="A105" t="str">
            <v>a53</v>
          </cell>
          <cell r="B105" t="str">
            <v>太平洋鐵木欄杆組立</v>
          </cell>
          <cell r="C105" t="str">
            <v/>
          </cell>
          <cell r="D105" t="str">
            <v>1.5m</v>
          </cell>
          <cell r="E105">
            <v>2144</v>
          </cell>
          <cell r="F105" t="str">
            <v>單價分析</v>
          </cell>
        </row>
        <row r="106">
          <cell r="A106" t="str">
            <v>a55</v>
          </cell>
          <cell r="B106" t="str">
            <v xml:space="preserve"> 機拌 350kg/c㎡混凝土</v>
          </cell>
          <cell r="C106" t="str">
            <v/>
          </cell>
          <cell r="D106" t="str">
            <v>m3</v>
          </cell>
          <cell r="E106">
            <v>515.47</v>
          </cell>
          <cell r="F106" t="str">
            <v>單價分析</v>
          </cell>
        </row>
        <row r="107">
          <cell r="A107" t="str">
            <v>a56</v>
          </cell>
          <cell r="B107" t="str">
            <v xml:space="preserve"> 機拌 210kg/c㎡混凝土</v>
          </cell>
          <cell r="C107" t="str">
            <v/>
          </cell>
          <cell r="D107" t="str">
            <v>m3</v>
          </cell>
          <cell r="E107">
            <v>451.28</v>
          </cell>
          <cell r="F107" t="str">
            <v>單價分析</v>
          </cell>
        </row>
        <row r="108">
          <cell r="A108" t="str">
            <v>a57</v>
          </cell>
          <cell r="B108" t="str">
            <v xml:space="preserve"> 機拌 175kg/c㎡混凝土</v>
          </cell>
          <cell r="C108" t="str">
            <v/>
          </cell>
          <cell r="D108" t="str">
            <v>m3</v>
          </cell>
          <cell r="E108">
            <v>429.39</v>
          </cell>
          <cell r="F108" t="str">
            <v>單價分析</v>
          </cell>
        </row>
        <row r="109">
          <cell r="A109" t="str">
            <v>a58</v>
          </cell>
          <cell r="B109" t="str">
            <v xml:space="preserve"> 機拌 140kg/c㎡混凝土</v>
          </cell>
          <cell r="C109" t="str">
            <v/>
          </cell>
          <cell r="D109" t="str">
            <v>m3</v>
          </cell>
          <cell r="E109">
            <v>423.4</v>
          </cell>
          <cell r="F109" t="str">
            <v>單價分析</v>
          </cell>
        </row>
        <row r="110">
          <cell r="A110" t="str">
            <v>a59</v>
          </cell>
          <cell r="B110" t="str">
            <v xml:space="preserve"> 機拌 125kg/c㎡混凝土</v>
          </cell>
          <cell r="C110" t="str">
            <v/>
          </cell>
          <cell r="D110" t="str">
            <v>m3</v>
          </cell>
          <cell r="E110">
            <v>422.71000000000004</v>
          </cell>
          <cell r="F110" t="str">
            <v>單價分析</v>
          </cell>
        </row>
        <row r="111">
          <cell r="A111" t="str">
            <v>a62</v>
          </cell>
          <cell r="B111" t="str">
            <v>∮3/8-2.5"PVC管裝設</v>
          </cell>
          <cell r="C111" t="str">
            <v/>
          </cell>
          <cell r="D111" t="str">
            <v>m</v>
          </cell>
          <cell r="E111">
            <v>49.999999999999993</v>
          </cell>
          <cell r="F111" t="str">
            <v>單價分析</v>
          </cell>
        </row>
        <row r="112">
          <cell r="A112" t="str">
            <v>a69</v>
          </cell>
          <cell r="B112" t="str">
            <v>∮3/8-2.6"GIP管裝設</v>
          </cell>
          <cell r="C112" t="str">
            <v/>
          </cell>
          <cell r="D112" t="str">
            <v>m</v>
          </cell>
          <cell r="E112">
            <v>59.999999999999993</v>
          </cell>
          <cell r="F112" t="str">
            <v>單價分析</v>
          </cell>
        </row>
        <row r="113">
          <cell r="A113" t="str">
            <v>a70</v>
          </cell>
          <cell r="B113" t="str">
            <v xml:space="preserve"> 混凝土砌塊石 φ20cm</v>
          </cell>
          <cell r="C113" t="str">
            <v/>
          </cell>
          <cell r="D113" t="str">
            <v>㎡</v>
          </cell>
          <cell r="E113">
            <v>180.89999999999998</v>
          </cell>
          <cell r="F113" t="str">
            <v>單價分析</v>
          </cell>
        </row>
        <row r="114">
          <cell r="A114" t="str">
            <v>a71</v>
          </cell>
          <cell r="B114" t="str">
            <v xml:space="preserve"> 混凝土砌塊石 φ25cm</v>
          </cell>
          <cell r="C114" t="str">
            <v/>
          </cell>
          <cell r="D114" t="str">
            <v>㎡</v>
          </cell>
          <cell r="E114">
            <v>186.2</v>
          </cell>
          <cell r="F114" t="str">
            <v>單價分析</v>
          </cell>
        </row>
        <row r="115">
          <cell r="A115" t="str">
            <v>a72</v>
          </cell>
          <cell r="B115" t="str">
            <v xml:space="preserve"> 混凝土砌塊石 φ30cm</v>
          </cell>
          <cell r="C115" t="str">
            <v/>
          </cell>
          <cell r="D115" t="str">
            <v>㎡</v>
          </cell>
          <cell r="E115">
            <v>191.5</v>
          </cell>
          <cell r="F115" t="str">
            <v>單價分析</v>
          </cell>
        </row>
        <row r="116">
          <cell r="A116" t="str">
            <v>a73</v>
          </cell>
          <cell r="B116" t="str">
            <v xml:space="preserve"> 混凝土砌角石 25x25x30cm</v>
          </cell>
          <cell r="C116" t="str">
            <v/>
          </cell>
          <cell r="D116" t="str">
            <v>㎡</v>
          </cell>
          <cell r="E116">
            <v>236.19</v>
          </cell>
          <cell r="F116" t="str">
            <v>單價分析</v>
          </cell>
        </row>
        <row r="117">
          <cell r="A117" t="str">
            <v>a74</v>
          </cell>
          <cell r="B117" t="str">
            <v xml:space="preserve"> 背填卵石</v>
          </cell>
          <cell r="C117" t="str">
            <v/>
          </cell>
          <cell r="D117" t="str">
            <v>m3</v>
          </cell>
          <cell r="E117">
            <v>444</v>
          </cell>
          <cell r="F117" t="str">
            <v>單價分析</v>
          </cell>
        </row>
        <row r="118">
          <cell r="A118" t="str">
            <v>a75</v>
          </cell>
          <cell r="B118" t="str">
            <v xml:space="preserve"> 混凝土砌觀音石</v>
          </cell>
          <cell r="C118" t="str">
            <v/>
          </cell>
          <cell r="D118" t="str">
            <v>㎡</v>
          </cell>
          <cell r="E118">
            <v>1659</v>
          </cell>
          <cell r="F118" t="str">
            <v>單價分析</v>
          </cell>
        </row>
        <row r="119">
          <cell r="A119" t="str">
            <v>a78</v>
          </cell>
          <cell r="B119" t="str">
            <v xml:space="preserve"> 乾砌塊石(φ50～100cm)</v>
          </cell>
          <cell r="C119" t="str">
            <v/>
          </cell>
          <cell r="D119" t="str">
            <v>㎡</v>
          </cell>
          <cell r="E119">
            <v>422.00000000000006</v>
          </cell>
          <cell r="F119" t="str">
            <v>單價分析</v>
          </cell>
        </row>
        <row r="120">
          <cell r="A120" t="str">
            <v>a79</v>
          </cell>
          <cell r="B120" t="str">
            <v xml:space="preserve"> 排 塊 石(φ50～100cm)</v>
          </cell>
          <cell r="C120" t="str">
            <v/>
          </cell>
          <cell r="D120" t="str">
            <v>㎡</v>
          </cell>
          <cell r="E120">
            <v>391</v>
          </cell>
          <cell r="F120" t="str">
            <v>單價分析</v>
          </cell>
        </row>
        <row r="121">
          <cell r="A121" t="str">
            <v>a81</v>
          </cell>
          <cell r="B121" t="str">
            <v xml:space="preserve"> 乾砌大塊石擋土牆</v>
          </cell>
          <cell r="C121" t="str">
            <v/>
          </cell>
          <cell r="D121" t="str">
            <v>㎡</v>
          </cell>
          <cell r="E121">
            <v>287.96799999999996</v>
          </cell>
          <cell r="F121" t="str">
            <v>單價分析</v>
          </cell>
        </row>
        <row r="122">
          <cell r="A122" t="str">
            <v>a82</v>
          </cell>
          <cell r="B122" t="str">
            <v xml:space="preserve"> 基礎模板製作及裝拆</v>
          </cell>
          <cell r="C122" t="str">
            <v>隱蔽</v>
          </cell>
          <cell r="D122" t="str">
            <v>㎡</v>
          </cell>
          <cell r="E122">
            <v>211.99999999999997</v>
          </cell>
          <cell r="F122" t="str">
            <v>單價分析</v>
          </cell>
        </row>
        <row r="123">
          <cell r="A123" t="str">
            <v>a83</v>
          </cell>
          <cell r="B123" t="str">
            <v xml:space="preserve"> 軀體模板製作及裝拆</v>
          </cell>
          <cell r="C123" t="str">
            <v>裸露</v>
          </cell>
          <cell r="D123" t="str">
            <v>㎡</v>
          </cell>
          <cell r="E123">
            <v>294.15000000000003</v>
          </cell>
          <cell r="F123" t="str">
            <v>單價分析</v>
          </cell>
        </row>
        <row r="124">
          <cell r="A124" t="str">
            <v>a84</v>
          </cell>
          <cell r="B124" t="str">
            <v xml:space="preserve"> 結構模板製作及裝拆</v>
          </cell>
          <cell r="C124" t="str">
            <v/>
          </cell>
          <cell r="D124" t="str">
            <v>㎡</v>
          </cell>
          <cell r="E124">
            <v>360.60000000000008</v>
          </cell>
          <cell r="F124" t="str">
            <v>單價分析</v>
          </cell>
        </row>
        <row r="125">
          <cell r="A125" t="str">
            <v>a86</v>
          </cell>
          <cell r="B125" t="str">
            <v xml:space="preserve"> 景觀模板</v>
          </cell>
          <cell r="C125" t="str">
            <v/>
          </cell>
          <cell r="D125" t="str">
            <v>㎡</v>
          </cell>
          <cell r="E125">
            <v>666.96</v>
          </cell>
          <cell r="F125" t="str">
            <v>單價分析</v>
          </cell>
        </row>
        <row r="126">
          <cell r="A126" t="str">
            <v>a89</v>
          </cell>
          <cell r="B126" t="str">
            <v xml:space="preserve"> 鋪設級配路面(壓實厚t=15cm)</v>
          </cell>
          <cell r="C126" t="str">
            <v/>
          </cell>
          <cell r="D126" t="str">
            <v>100㎡</v>
          </cell>
          <cell r="E126">
            <v>84.8</v>
          </cell>
          <cell r="F126" t="str">
            <v>單價分析</v>
          </cell>
        </row>
        <row r="127">
          <cell r="A127" t="str">
            <v>a92</v>
          </cell>
          <cell r="B127" t="str">
            <v xml:space="preserve"> 10cm厚碎石級配料底層舖壓</v>
          </cell>
          <cell r="C127" t="str">
            <v/>
          </cell>
          <cell r="D127" t="str">
            <v>100㎡</v>
          </cell>
          <cell r="E127">
            <v>965</v>
          </cell>
          <cell r="F127" t="str">
            <v>單價分析</v>
          </cell>
        </row>
        <row r="128">
          <cell r="A128" t="str">
            <v>a93</v>
          </cell>
          <cell r="B128" t="str">
            <v xml:space="preserve"> 滾  壓</v>
          </cell>
          <cell r="C128" t="str">
            <v/>
          </cell>
          <cell r="D128" t="str">
            <v>100㎡</v>
          </cell>
          <cell r="E128">
            <v>2760</v>
          </cell>
          <cell r="F128" t="str">
            <v>單價分析</v>
          </cell>
        </row>
        <row r="129">
          <cell r="A129" t="str">
            <v>a94</v>
          </cell>
          <cell r="B129" t="str">
            <v xml:space="preserve"> 25cm厚碎石級配料底層舖壓</v>
          </cell>
          <cell r="C129" t="str">
            <v/>
          </cell>
          <cell r="D129" t="str">
            <v>100㎡</v>
          </cell>
          <cell r="E129">
            <v>14678</v>
          </cell>
          <cell r="F129" t="str">
            <v>單價分析</v>
          </cell>
        </row>
        <row r="130">
          <cell r="A130" t="str">
            <v>a95</v>
          </cell>
          <cell r="B130" t="str">
            <v xml:space="preserve"> 5公分瀝青混凝土面層</v>
          </cell>
          <cell r="C130" t="str">
            <v/>
          </cell>
          <cell r="D130" t="str">
            <v>100㎡</v>
          </cell>
          <cell r="E130">
            <v>16997.8</v>
          </cell>
          <cell r="F130" t="str">
            <v>單價分析</v>
          </cell>
        </row>
        <row r="131">
          <cell r="A131" t="str">
            <v>a96</v>
          </cell>
          <cell r="B131" t="str">
            <v xml:space="preserve"> 透  層(人工)</v>
          </cell>
          <cell r="C131" t="str">
            <v/>
          </cell>
          <cell r="D131" t="str">
            <v>100㎡</v>
          </cell>
          <cell r="E131">
            <v>480532</v>
          </cell>
          <cell r="F131" t="str">
            <v>單價分析</v>
          </cell>
        </row>
        <row r="132">
          <cell r="A132" t="str">
            <v>a97</v>
          </cell>
          <cell r="B132" t="str">
            <v xml:space="preserve"> 粘  層</v>
          </cell>
          <cell r="C132" t="str">
            <v/>
          </cell>
          <cell r="D132" t="str">
            <v>100㎡</v>
          </cell>
          <cell r="E132">
            <v>359</v>
          </cell>
          <cell r="F132" t="str">
            <v>單價分析</v>
          </cell>
        </row>
        <row r="133">
          <cell r="A133" t="str">
            <v>a98</v>
          </cell>
          <cell r="B133" t="str">
            <v>組合式鐵網圍籬</v>
          </cell>
          <cell r="C133" t="str">
            <v/>
          </cell>
          <cell r="D133" t="str">
            <v>㎡</v>
          </cell>
          <cell r="E133">
            <v>393</v>
          </cell>
          <cell r="F133" t="str">
            <v>單價分析</v>
          </cell>
        </row>
        <row r="134">
          <cell r="A134" t="str">
            <v>a113</v>
          </cell>
          <cell r="B134" t="str">
            <v xml:space="preserve"> φ5''排水盲管埋設</v>
          </cell>
          <cell r="C134" t="str">
            <v/>
          </cell>
          <cell r="D134" t="str">
            <v>10m</v>
          </cell>
          <cell r="E134">
            <v>178.2</v>
          </cell>
          <cell r="F134" t="str">
            <v>單價分析</v>
          </cell>
        </row>
        <row r="135">
          <cell r="A135" t="str">
            <v>a122</v>
          </cell>
          <cell r="B135" t="str">
            <v xml:space="preserve"> HDPE管埋設</v>
          </cell>
          <cell r="C135" t="str">
            <v/>
          </cell>
          <cell r="D135" t="str">
            <v>M</v>
          </cell>
          <cell r="E135">
            <v>180</v>
          </cell>
          <cell r="F135" t="str">
            <v>單價分析</v>
          </cell>
        </row>
        <row r="136">
          <cell r="A136" t="str">
            <v>a123</v>
          </cell>
          <cell r="B136" t="str">
            <v>HDPE管懸掛</v>
          </cell>
          <cell r="C136" t="str">
            <v/>
          </cell>
          <cell r="D136" t="str">
            <v>M</v>
          </cell>
          <cell r="E136">
            <v>427</v>
          </cell>
          <cell r="F136" t="str">
            <v>單價分析</v>
          </cell>
        </row>
        <row r="137">
          <cell r="A137" t="str">
            <v>a127</v>
          </cell>
          <cell r="B137" t="str">
            <v xml:space="preserve"> 打40cm口鋼筋混凝土基樁</v>
          </cell>
          <cell r="C137" t="str">
            <v/>
          </cell>
          <cell r="D137" t="str">
            <v>支</v>
          </cell>
          <cell r="E137">
            <v>411</v>
          </cell>
          <cell r="F137" t="str">
            <v>單價分析</v>
          </cell>
        </row>
        <row r="138">
          <cell r="A138" t="str">
            <v>a137</v>
          </cell>
          <cell r="B138" t="str">
            <v xml:space="preserve"> 0.6mφ反循環鑽掘樁</v>
          </cell>
          <cell r="C138" t="str">
            <v/>
          </cell>
          <cell r="D138" t="str">
            <v>30m</v>
          </cell>
          <cell r="E138">
            <v>18180</v>
          </cell>
          <cell r="F138" t="str">
            <v>單價分析</v>
          </cell>
        </row>
        <row r="139">
          <cell r="A139" t="str">
            <v>a145</v>
          </cell>
          <cell r="B139" t="str">
            <v xml:space="preserve"> 觀音石牆施工費</v>
          </cell>
          <cell r="C139" t="str">
            <v/>
          </cell>
          <cell r="D139" t="str">
            <v>m</v>
          </cell>
          <cell r="E139">
            <v>985.2</v>
          </cell>
          <cell r="F139" t="str">
            <v>單價分析</v>
          </cell>
        </row>
        <row r="140">
          <cell r="A140" t="str">
            <v>a148</v>
          </cell>
          <cell r="B140" t="str">
            <v xml:space="preserve"> 打拔鋼鈑樁</v>
          </cell>
          <cell r="C140" t="str">
            <v/>
          </cell>
          <cell r="D140" t="str">
            <v>片</v>
          </cell>
          <cell r="E140">
            <v>2195</v>
          </cell>
          <cell r="F140" t="str">
            <v>單價分析</v>
          </cell>
        </row>
        <row r="141">
          <cell r="A141" t="str">
            <v>a153</v>
          </cell>
          <cell r="B141" t="str">
            <v xml:space="preserve"> 打拔鋼軌樁(37kg/m,長10m@0.6m)</v>
          </cell>
          <cell r="C141" t="str">
            <v/>
          </cell>
          <cell r="D141" t="str">
            <v>30m</v>
          </cell>
          <cell r="E141">
            <v>52436</v>
          </cell>
          <cell r="F141" t="str">
            <v>單價分析</v>
          </cell>
        </row>
        <row r="142">
          <cell r="A142" t="str">
            <v>a154</v>
          </cell>
          <cell r="B142" t="str">
            <v xml:space="preserve"> 打鋼軌樁</v>
          </cell>
          <cell r="C142" t="str">
            <v/>
          </cell>
          <cell r="D142" t="str">
            <v>支</v>
          </cell>
          <cell r="E142">
            <v>82.6</v>
          </cell>
          <cell r="F142" t="str">
            <v>單價分析</v>
          </cell>
        </row>
        <row r="143">
          <cell r="A143" t="str">
            <v>a172</v>
          </cell>
          <cell r="B143" t="str">
            <v xml:space="preserve"> 砌  磚 (B)</v>
          </cell>
          <cell r="C143" t="str">
            <v/>
          </cell>
          <cell r="D143" t="str">
            <v>㎡</v>
          </cell>
          <cell r="E143">
            <v>224.25000000000003</v>
          </cell>
          <cell r="F143" t="str">
            <v>單價分析</v>
          </cell>
        </row>
        <row r="144">
          <cell r="A144" t="str">
            <v>a173</v>
          </cell>
          <cell r="B144" t="str">
            <v xml:space="preserve"> 砌 清 水 磚 (1/2B)</v>
          </cell>
          <cell r="C144" t="str">
            <v/>
          </cell>
          <cell r="D144" t="str">
            <v>㎡</v>
          </cell>
          <cell r="E144">
            <v>228.00000000000003</v>
          </cell>
          <cell r="F144" t="str">
            <v>單價分析</v>
          </cell>
        </row>
        <row r="145">
          <cell r="A145" t="str">
            <v>a175</v>
          </cell>
          <cell r="B145" t="str">
            <v xml:space="preserve"> 斬 石 子</v>
          </cell>
          <cell r="C145" t="str">
            <v/>
          </cell>
          <cell r="D145" t="str">
            <v>㎡</v>
          </cell>
          <cell r="E145">
            <v>658.15</v>
          </cell>
          <cell r="F145" t="str">
            <v>單價分析</v>
          </cell>
        </row>
        <row r="146">
          <cell r="A146" t="str">
            <v>a176</v>
          </cell>
          <cell r="B146" t="str">
            <v xml:space="preserve"> 洗 石 子</v>
          </cell>
          <cell r="C146" t="str">
            <v/>
          </cell>
          <cell r="D146" t="str">
            <v>㎡</v>
          </cell>
          <cell r="E146">
            <v>337.66</v>
          </cell>
          <cell r="F146" t="str">
            <v>單價分析</v>
          </cell>
        </row>
        <row r="147">
          <cell r="A147" t="str">
            <v>a177</v>
          </cell>
          <cell r="B147" t="str">
            <v xml:space="preserve"> 磨 石 子</v>
          </cell>
          <cell r="C147" t="str">
            <v/>
          </cell>
          <cell r="D147" t="str">
            <v>㎡</v>
          </cell>
          <cell r="E147">
            <v>540.05999999999995</v>
          </cell>
          <cell r="F147" t="str">
            <v>單價分析</v>
          </cell>
        </row>
        <row r="148">
          <cell r="A148" t="str">
            <v>a178</v>
          </cell>
          <cell r="B148" t="str">
            <v xml:space="preserve"> 貼馬賽克</v>
          </cell>
          <cell r="C148" t="str">
            <v/>
          </cell>
          <cell r="D148" t="str">
            <v>㎡</v>
          </cell>
          <cell r="E148">
            <v>394.75</v>
          </cell>
          <cell r="F148" t="str">
            <v>單價分析</v>
          </cell>
        </row>
        <row r="149">
          <cell r="A149" t="str">
            <v>a179</v>
          </cell>
          <cell r="B149" t="str">
            <v xml:space="preserve"> 貼 磁 磚</v>
          </cell>
          <cell r="C149" t="str">
            <v/>
          </cell>
          <cell r="D149" t="str">
            <v>㎡</v>
          </cell>
          <cell r="E149">
            <v>355.34999999999997</v>
          </cell>
          <cell r="F149" t="str">
            <v>單價分析</v>
          </cell>
        </row>
        <row r="150">
          <cell r="A150" t="str">
            <v>a180</v>
          </cell>
          <cell r="B150" t="str">
            <v xml:space="preserve"> 石版舖設(40cm*20cm*6cm)</v>
          </cell>
          <cell r="C150" t="str">
            <v/>
          </cell>
          <cell r="D150" t="str">
            <v>㎡</v>
          </cell>
          <cell r="E150">
            <v>1604.75</v>
          </cell>
          <cell r="F150" t="str">
            <v>單價分析</v>
          </cell>
        </row>
        <row r="151">
          <cell r="A151" t="str">
            <v>a181</v>
          </cell>
          <cell r="B151" t="str">
            <v>青斗石版階梯舖設</v>
          </cell>
          <cell r="C151" t="str">
            <v/>
          </cell>
          <cell r="D151" t="str">
            <v>㎡</v>
          </cell>
          <cell r="E151">
            <v>367.72500000000002</v>
          </cell>
          <cell r="F151" t="str">
            <v>單價分析</v>
          </cell>
        </row>
        <row r="152">
          <cell r="A152" t="str">
            <v>a183</v>
          </cell>
          <cell r="B152" t="str">
            <v xml:space="preserve"> 防落石柵組立</v>
          </cell>
          <cell r="C152" t="str">
            <v/>
          </cell>
          <cell r="D152" t="str">
            <v>m</v>
          </cell>
          <cell r="E152">
            <v>1686.3</v>
          </cell>
          <cell r="F152" t="str">
            <v>單價分析</v>
          </cell>
        </row>
        <row r="153">
          <cell r="A153" t="str">
            <v>a184</v>
          </cell>
          <cell r="B153" t="str">
            <v xml:space="preserve"> 鋼料油漆(一底二度)</v>
          </cell>
          <cell r="C153" t="str">
            <v/>
          </cell>
          <cell r="D153" t="str">
            <v>㎡</v>
          </cell>
          <cell r="E153">
            <v>144</v>
          </cell>
          <cell r="F153" t="str">
            <v>單價分析</v>
          </cell>
        </row>
        <row r="154">
          <cell r="A154" t="str">
            <v>a185</v>
          </cell>
          <cell r="B154" t="str">
            <v xml:space="preserve"> 排觀音石</v>
          </cell>
          <cell r="C154" t="str">
            <v/>
          </cell>
          <cell r="D154" t="str">
            <v>m</v>
          </cell>
          <cell r="E154">
            <v>425.40999999999997</v>
          </cell>
          <cell r="F154" t="str">
            <v>單價分析</v>
          </cell>
        </row>
        <row r="155">
          <cell r="A155" t="str">
            <v>a188</v>
          </cell>
          <cell r="B155" t="str">
            <v xml:space="preserve"> 甲式齒型伸縮縫</v>
          </cell>
          <cell r="C155" t="str">
            <v/>
          </cell>
          <cell r="D155" t="str">
            <v>m</v>
          </cell>
          <cell r="E155">
            <v>3125</v>
          </cell>
          <cell r="F155" t="str">
            <v>單價分析</v>
          </cell>
        </row>
        <row r="156">
          <cell r="A156" t="str">
            <v>a191</v>
          </cell>
          <cell r="B156" t="str">
            <v xml:space="preserve"> 瀝青混凝土路面切割(15cm)</v>
          </cell>
          <cell r="C156" t="str">
            <v/>
          </cell>
          <cell r="D156" t="str">
            <v>m</v>
          </cell>
          <cell r="E156">
            <v>100</v>
          </cell>
          <cell r="F156" t="str">
            <v>單價分析</v>
          </cell>
        </row>
        <row r="157">
          <cell r="A157" t="str">
            <v>a194</v>
          </cell>
          <cell r="B157" t="str">
            <v xml:space="preserve"> 乙種鐵絲蛇籠</v>
          </cell>
          <cell r="C157" t="str">
            <v/>
          </cell>
          <cell r="D157" t="str">
            <v>m</v>
          </cell>
          <cell r="E157">
            <v>125</v>
          </cell>
          <cell r="F157" t="str">
            <v>單價分析</v>
          </cell>
        </row>
        <row r="158">
          <cell r="A158" t="str">
            <v>a199</v>
          </cell>
          <cell r="B158" t="str">
            <v xml:space="preserve"> 箱型網籠內填塊石</v>
          </cell>
          <cell r="C158" t="str">
            <v/>
          </cell>
          <cell r="D158" t="str">
            <v>m3</v>
          </cell>
          <cell r="E158">
            <v>500</v>
          </cell>
          <cell r="F158" t="str">
            <v>單價分析</v>
          </cell>
        </row>
        <row r="159">
          <cell r="A159" t="str">
            <v>a200</v>
          </cell>
          <cell r="B159" t="str">
            <v xml:space="preserve"> 坡面整理</v>
          </cell>
          <cell r="C159" t="str">
            <v/>
          </cell>
          <cell r="D159" t="str">
            <v>100㎡</v>
          </cell>
          <cell r="E159">
            <v>795</v>
          </cell>
          <cell r="F159" t="str">
            <v>單價分析</v>
          </cell>
        </row>
        <row r="160">
          <cell r="A160" t="str">
            <v>a203</v>
          </cell>
          <cell r="B160" t="str">
            <v xml:space="preserve"> 邊坡噴植</v>
          </cell>
          <cell r="C160" t="str">
            <v/>
          </cell>
          <cell r="D160" t="str">
            <v>㎡</v>
          </cell>
          <cell r="E160">
            <v>11.129999999999999</v>
          </cell>
          <cell r="F160" t="str">
            <v>單價分析</v>
          </cell>
        </row>
        <row r="161">
          <cell r="A161" t="str">
            <v>a204</v>
          </cell>
          <cell r="B161" t="str">
            <v xml:space="preserve"> 客  土</v>
          </cell>
          <cell r="C161" t="str">
            <v/>
          </cell>
          <cell r="D161" t="str">
            <v>m3</v>
          </cell>
          <cell r="E161">
            <v>21.2</v>
          </cell>
          <cell r="F161" t="str">
            <v>單價分析</v>
          </cell>
        </row>
        <row r="162">
          <cell r="A162" t="str">
            <v>a206</v>
          </cell>
          <cell r="B162" t="str">
            <v xml:space="preserve"> 植生帶鋪植</v>
          </cell>
          <cell r="C162" t="str">
            <v/>
          </cell>
          <cell r="D162" t="str">
            <v>㎡</v>
          </cell>
          <cell r="E162">
            <v>14.01</v>
          </cell>
          <cell r="F162" t="str">
            <v>單價分析</v>
          </cell>
        </row>
        <row r="163">
          <cell r="A163" t="str">
            <v>a207</v>
          </cell>
          <cell r="B163" t="str">
            <v xml:space="preserve"> 打樁編柵</v>
          </cell>
          <cell r="C163" t="str">
            <v/>
          </cell>
          <cell r="D163" t="str">
            <v>m</v>
          </cell>
          <cell r="E163">
            <v>238</v>
          </cell>
          <cell r="F163" t="str">
            <v>單價分析</v>
          </cell>
        </row>
        <row r="164">
          <cell r="A164" t="str">
            <v>a208</v>
          </cell>
          <cell r="B164" t="str">
            <v>櫟木欄杆組立</v>
          </cell>
          <cell r="C164" t="str">
            <v/>
          </cell>
          <cell r="D164" t="str">
            <v>1.5M</v>
          </cell>
          <cell r="E164">
            <v>777</v>
          </cell>
          <cell r="F164" t="str">
            <v>單價分析</v>
          </cell>
        </row>
        <row r="165">
          <cell r="A165" t="str">
            <v>a209</v>
          </cell>
          <cell r="B165" t="str">
            <v>枕木步道組立</v>
          </cell>
          <cell r="C165" t="str">
            <v/>
          </cell>
          <cell r="D165" t="str">
            <v>m</v>
          </cell>
          <cell r="E165">
            <v>3127</v>
          </cell>
          <cell r="F165" t="str">
            <v>單價分析</v>
          </cell>
        </row>
        <row r="166">
          <cell r="A166" t="str">
            <v>a210</v>
          </cell>
          <cell r="B166" t="str">
            <v>枕木欄杆組立</v>
          </cell>
          <cell r="C166" t="str">
            <v/>
          </cell>
          <cell r="D166" t="str">
            <v>m</v>
          </cell>
          <cell r="E166">
            <v>3284</v>
          </cell>
          <cell r="F166" t="str">
            <v>單價分析</v>
          </cell>
        </row>
        <row r="167">
          <cell r="A167" t="str">
            <v>a211</v>
          </cell>
          <cell r="B167" t="str">
            <v xml:space="preserve"> 草花栽植</v>
          </cell>
          <cell r="C167" t="str">
            <v/>
          </cell>
          <cell r="D167" t="str">
            <v>株</v>
          </cell>
          <cell r="E167">
            <v>452.80599999999998</v>
          </cell>
          <cell r="F167" t="str">
            <v>單價分析</v>
          </cell>
        </row>
        <row r="168">
          <cell r="A168" t="str">
            <v>a212</v>
          </cell>
          <cell r="B168" t="str">
            <v xml:space="preserve"> 草花栽植養護費</v>
          </cell>
          <cell r="C168" t="str">
            <v/>
          </cell>
          <cell r="D168" t="str">
            <v>株</v>
          </cell>
          <cell r="E168">
            <v>1.123</v>
          </cell>
          <cell r="F168" t="str">
            <v>單價分析</v>
          </cell>
        </row>
        <row r="169">
          <cell r="A169" t="str">
            <v>a213</v>
          </cell>
          <cell r="B169" t="str">
            <v xml:space="preserve"> 灌木種植</v>
          </cell>
          <cell r="C169" t="str">
            <v/>
          </cell>
          <cell r="D169" t="str">
            <v>株</v>
          </cell>
          <cell r="E169">
            <v>4420.4500000000007</v>
          </cell>
          <cell r="F169" t="str">
            <v>單價分析</v>
          </cell>
        </row>
        <row r="170">
          <cell r="A170" t="str">
            <v>a214</v>
          </cell>
          <cell r="B170" t="str">
            <v xml:space="preserve"> 灌木養護費</v>
          </cell>
          <cell r="C170" t="str">
            <v/>
          </cell>
          <cell r="D170" t="str">
            <v>株</v>
          </cell>
          <cell r="E170">
            <v>11.020000000000001</v>
          </cell>
          <cell r="F170" t="str">
            <v>單價分析</v>
          </cell>
        </row>
        <row r="171">
          <cell r="A171" t="str">
            <v>a215</v>
          </cell>
          <cell r="B171" t="str">
            <v xml:space="preserve"> 喬木栽植</v>
          </cell>
          <cell r="C171" t="str">
            <v/>
          </cell>
          <cell r="D171" t="str">
            <v>株</v>
          </cell>
          <cell r="E171">
            <v>396</v>
          </cell>
          <cell r="F171" t="str">
            <v>單價分析</v>
          </cell>
        </row>
        <row r="172">
          <cell r="A172" t="str">
            <v>a214</v>
          </cell>
          <cell r="B172" t="str">
            <v xml:space="preserve"> 灌木養護費</v>
          </cell>
          <cell r="C172" t="str">
            <v/>
          </cell>
          <cell r="D172" t="str">
            <v>株</v>
          </cell>
          <cell r="E172">
            <v>11.020000000000001</v>
          </cell>
          <cell r="F172" t="str">
            <v>單價分析</v>
          </cell>
        </row>
        <row r="173">
          <cell r="A173" t="str">
            <v>a215</v>
          </cell>
          <cell r="B173" t="str">
            <v xml:space="preserve"> 喬木栽植</v>
          </cell>
          <cell r="C173" t="str">
            <v/>
          </cell>
          <cell r="D173" t="str">
            <v>株</v>
          </cell>
          <cell r="E173">
            <v>396</v>
          </cell>
          <cell r="F173" t="str">
            <v>單價分析</v>
          </cell>
        </row>
        <row r="174">
          <cell r="A174" t="str">
            <v>a216</v>
          </cell>
          <cell r="B174" t="str">
            <v xml:space="preserve"> 喬木養護費</v>
          </cell>
          <cell r="C174" t="str">
            <v/>
          </cell>
          <cell r="D174" t="str">
            <v>株</v>
          </cell>
          <cell r="E174">
            <v>27</v>
          </cell>
          <cell r="F174" t="str">
            <v>單價分析</v>
          </cell>
        </row>
        <row r="175">
          <cell r="A175" t="str">
            <v>b0</v>
          </cell>
          <cell r="B175" t="str">
            <v>自 設 分 析 表</v>
          </cell>
        </row>
        <row r="176">
          <cell r="A176" t="str">
            <v>b1</v>
          </cell>
          <cell r="B176" t="str">
            <v>混凝土鑽孔(∮7"╳30㎝)</v>
          </cell>
          <cell r="D176" t="str">
            <v xml:space="preserve">個 </v>
          </cell>
          <cell r="E176">
            <v>1222.4000000000001</v>
          </cell>
          <cell r="F176" t="str">
            <v>單價分析</v>
          </cell>
        </row>
        <row r="177">
          <cell r="A177" t="str">
            <v>b2</v>
          </cell>
          <cell r="B177" t="str">
            <v xml:space="preserve"> 營造綜合保險費</v>
          </cell>
          <cell r="C177" t="str">
            <v/>
          </cell>
          <cell r="D177" t="str">
            <v>式</v>
          </cell>
          <cell r="E177">
            <v>56697</v>
          </cell>
          <cell r="F177" t="str">
            <v>單價分析</v>
          </cell>
        </row>
        <row r="178">
          <cell r="A178" t="str">
            <v>b3</v>
          </cell>
          <cell r="B178" t="str">
            <v xml:space="preserve"> 三相沉水式抽水機</v>
          </cell>
          <cell r="C178" t="str">
            <v/>
          </cell>
          <cell r="D178" t="str">
            <v>式</v>
          </cell>
          <cell r="E178">
            <v>65000</v>
          </cell>
          <cell r="F178" t="str">
            <v>單價分析</v>
          </cell>
        </row>
        <row r="179">
          <cell r="A179" t="str">
            <v>b4</v>
          </cell>
          <cell r="B179" t="str">
            <v xml:space="preserve"> 原石舖設</v>
          </cell>
          <cell r="C179" t="str">
            <v/>
          </cell>
          <cell r="D179" t="str">
            <v xml:space="preserve"> m </v>
          </cell>
          <cell r="E179">
            <v>310</v>
          </cell>
          <cell r="F179" t="str">
            <v>單價分析</v>
          </cell>
        </row>
        <row r="180">
          <cell r="A180" t="str">
            <v>b5</v>
          </cell>
          <cell r="B180" t="str">
            <v xml:space="preserve"> 鋪植草磚</v>
          </cell>
          <cell r="C180" t="str">
            <v/>
          </cell>
          <cell r="D180" t="str">
            <v>㎡</v>
          </cell>
          <cell r="E180">
            <v>710.5</v>
          </cell>
          <cell r="F180" t="str">
            <v>單價分析</v>
          </cell>
        </row>
        <row r="181">
          <cell r="A181" t="str">
            <v>b6</v>
          </cell>
          <cell r="B181" t="str">
            <v xml:space="preserve"> 界石舖設</v>
          </cell>
          <cell r="C181" t="str">
            <v/>
          </cell>
          <cell r="D181" t="str">
            <v xml:space="preserve"> m </v>
          </cell>
          <cell r="E181">
            <v>491.6</v>
          </cell>
          <cell r="F181" t="str">
            <v>單價分析</v>
          </cell>
        </row>
        <row r="182">
          <cell r="A182" t="str">
            <v>b7</v>
          </cell>
          <cell r="B182" t="str">
            <v xml:space="preserve"> 餘土處理</v>
          </cell>
          <cell r="C182" t="str">
            <v/>
          </cell>
          <cell r="D182" t="str">
            <v>m3</v>
          </cell>
          <cell r="E182">
            <v>6</v>
          </cell>
          <cell r="F182" t="str">
            <v>單價分析</v>
          </cell>
        </row>
        <row r="183">
          <cell r="A183" t="str">
            <v>b8</v>
          </cell>
          <cell r="B183" t="str">
            <v>合成工樑油漆工程</v>
          </cell>
          <cell r="C183" t="str">
            <v/>
          </cell>
          <cell r="D183" t="str">
            <v>噸</v>
          </cell>
          <cell r="E183">
            <v>1700</v>
          </cell>
          <cell r="F183" t="str">
            <v>單價分析</v>
          </cell>
        </row>
        <row r="184">
          <cell r="A184" t="str">
            <v>b9</v>
          </cell>
          <cell r="B184" t="str">
            <v xml:space="preserve"> 遠運填土</v>
          </cell>
          <cell r="C184" t="str">
            <v/>
          </cell>
          <cell r="D184" t="str">
            <v>m3</v>
          </cell>
          <cell r="E184">
            <v>0</v>
          </cell>
          <cell r="F184" t="str">
            <v>單價分析</v>
          </cell>
        </row>
        <row r="185">
          <cell r="A185" t="str">
            <v>b10</v>
          </cell>
          <cell r="B185" t="str">
            <v xml:space="preserve"> 護  欄</v>
          </cell>
          <cell r="C185" t="str">
            <v/>
          </cell>
          <cell r="D185" t="str">
            <v>個</v>
          </cell>
          <cell r="E185">
            <v>0</v>
          </cell>
          <cell r="F185" t="str">
            <v>單價分析</v>
          </cell>
        </row>
        <row r="186">
          <cell r="A186" t="str">
            <v>b11</v>
          </cell>
          <cell r="B186" t="str">
            <v xml:space="preserve"> 鍍鋅格柵板施工費</v>
          </cell>
          <cell r="C186" t="str">
            <v/>
          </cell>
          <cell r="D186" t="str">
            <v>m2</v>
          </cell>
          <cell r="E186">
            <v>366</v>
          </cell>
          <cell r="F186" t="str">
            <v>單價分析</v>
          </cell>
        </row>
        <row r="187">
          <cell r="A187" t="str">
            <v>b12</v>
          </cell>
          <cell r="B187" t="str">
            <v xml:space="preserve"> 勞工安全衛生設備費</v>
          </cell>
          <cell r="C187" t="str">
            <v/>
          </cell>
          <cell r="D187" t="str">
            <v>式</v>
          </cell>
          <cell r="E187">
            <v>13900</v>
          </cell>
          <cell r="F187" t="str">
            <v>單價分析</v>
          </cell>
        </row>
        <row r="188">
          <cell r="A188" t="str">
            <v>b13</v>
          </cell>
          <cell r="B188" t="str">
            <v>鋼承鈑加工組立</v>
          </cell>
          <cell r="C188" t="str">
            <v/>
          </cell>
          <cell r="D188" t="str">
            <v>m2</v>
          </cell>
          <cell r="E188">
            <v>900</v>
          </cell>
          <cell r="F188" t="str">
            <v>單價分析</v>
          </cell>
        </row>
        <row r="189">
          <cell r="A189" t="str">
            <v>b14</v>
          </cell>
          <cell r="B189" t="str">
            <v>鋼托鈑加工組立</v>
          </cell>
          <cell r="C189" t="str">
            <v/>
          </cell>
          <cell r="D189" t="str">
            <v>kg</v>
          </cell>
          <cell r="E189">
            <v>266</v>
          </cell>
          <cell r="F189" t="str">
            <v>單價分析</v>
          </cell>
        </row>
        <row r="190">
          <cell r="A190" t="str">
            <v>b15</v>
          </cell>
          <cell r="B190" t="str">
            <v xml:space="preserve"> 排塊石（∮50-90㎝）</v>
          </cell>
          <cell r="C190" t="str">
            <v/>
          </cell>
          <cell r="D190" t="str">
            <v>m2</v>
          </cell>
          <cell r="E190">
            <v>854.5</v>
          </cell>
          <cell r="F190" t="str">
            <v>單價分析</v>
          </cell>
        </row>
        <row r="191">
          <cell r="A191" t="str">
            <v>b16</v>
          </cell>
          <cell r="B191" t="str">
            <v>熱浸鍍鋅管欄杆設置</v>
          </cell>
          <cell r="C191" t="str">
            <v/>
          </cell>
          <cell r="D191" t="str">
            <v>m</v>
          </cell>
          <cell r="E191">
            <v>1680</v>
          </cell>
          <cell r="F191" t="str">
            <v>單價分析</v>
          </cell>
        </row>
        <row r="192">
          <cell r="A192" t="str">
            <v>b17</v>
          </cell>
          <cell r="B192" t="str">
            <v xml:space="preserve"> 採大塊石(長徑 &gt;50cm)</v>
          </cell>
          <cell r="C192" t="str">
            <v/>
          </cell>
          <cell r="D192" t="str">
            <v>m3</v>
          </cell>
          <cell r="E192">
            <v>451</v>
          </cell>
          <cell r="F192" t="str">
            <v>單價分析</v>
          </cell>
        </row>
        <row r="193">
          <cell r="A193" t="str">
            <v>b18</v>
          </cell>
          <cell r="B193" t="str">
            <v xml:space="preserve"> 填 塊 石</v>
          </cell>
          <cell r="C193" t="str">
            <v/>
          </cell>
          <cell r="D193" t="str">
            <v>m3</v>
          </cell>
          <cell r="E193">
            <v>159</v>
          </cell>
          <cell r="F193" t="str">
            <v>單價分析</v>
          </cell>
        </row>
        <row r="194">
          <cell r="A194" t="str">
            <v>b19</v>
          </cell>
          <cell r="B194" t="str">
            <v xml:space="preserve"> 混凝土砌塊石（∮50-90㎝）</v>
          </cell>
          <cell r="C194" t="str">
            <v/>
          </cell>
          <cell r="D194" t="str">
            <v>㎡</v>
          </cell>
          <cell r="E194">
            <v>894.5</v>
          </cell>
          <cell r="F194" t="str">
            <v>單價分析</v>
          </cell>
        </row>
        <row r="195">
          <cell r="A195" t="str">
            <v>b20</v>
          </cell>
          <cell r="B195" t="str">
            <v xml:space="preserve"> 舖設砂床(5cm)</v>
          </cell>
          <cell r="C195" t="str">
            <v/>
          </cell>
          <cell r="D195" t="str">
            <v>㎡</v>
          </cell>
          <cell r="E195">
            <v>55.45</v>
          </cell>
          <cell r="F195" t="str">
            <v>單價分析</v>
          </cell>
        </row>
        <row r="196">
          <cell r="A196" t="str">
            <v>b21</v>
          </cell>
          <cell r="B196" t="str">
            <v xml:space="preserve"> 整地費</v>
          </cell>
          <cell r="C196" t="str">
            <v/>
          </cell>
          <cell r="D196" t="str">
            <v>m3</v>
          </cell>
          <cell r="E196">
            <v>30</v>
          </cell>
          <cell r="F196" t="str">
            <v>單價分析</v>
          </cell>
        </row>
        <row r="197">
          <cell r="A197" t="str">
            <v>b22</v>
          </cell>
          <cell r="B197" t="str">
            <v>2㎜不銹鋼內襯施作</v>
          </cell>
          <cell r="C197" t="str">
            <v/>
          </cell>
          <cell r="D197" t="str">
            <v>kg</v>
          </cell>
          <cell r="E197">
            <v>280</v>
          </cell>
          <cell r="F197" t="str">
            <v>單價分析</v>
          </cell>
        </row>
        <row r="198">
          <cell r="A198" t="str">
            <v>b23</v>
          </cell>
          <cell r="B198" t="str">
            <v xml:space="preserve"> 遠運棄土</v>
          </cell>
          <cell r="C198" t="str">
            <v>由甲方指定林場內棄土場</v>
          </cell>
          <cell r="D198" t="str">
            <v>m3</v>
          </cell>
          <cell r="E198">
            <v>63</v>
          </cell>
          <cell r="F198" t="str">
            <v>單價分析</v>
          </cell>
        </row>
        <row r="199">
          <cell r="A199" t="str">
            <v>b24</v>
          </cell>
          <cell r="B199" t="str">
            <v xml:space="preserve"> 紐澤西式護欄</v>
          </cell>
          <cell r="C199" t="str">
            <v/>
          </cell>
          <cell r="D199" t="str">
            <v>m</v>
          </cell>
          <cell r="E199">
            <v>737.2</v>
          </cell>
          <cell r="F199" t="str">
            <v>單價分析</v>
          </cell>
        </row>
        <row r="200">
          <cell r="A200" t="str">
            <v>b25</v>
          </cell>
          <cell r="B200" t="str">
            <v xml:space="preserve"> 臨時施工標示牌</v>
          </cell>
          <cell r="C200" t="str">
            <v/>
          </cell>
          <cell r="D200" t="str">
            <v>面</v>
          </cell>
          <cell r="E200">
            <v>2271</v>
          </cell>
          <cell r="F200" t="str">
            <v>單價分析</v>
          </cell>
        </row>
        <row r="201">
          <cell r="A201" t="str">
            <v>b26</v>
          </cell>
          <cell r="B201" t="str">
            <v xml:space="preserve"> 工程標示牌(厚3mm)</v>
          </cell>
          <cell r="C201" t="str">
            <v/>
          </cell>
          <cell r="D201" t="str">
            <v>面</v>
          </cell>
          <cell r="E201">
            <v>10005</v>
          </cell>
          <cell r="F201" t="str">
            <v>單價分析</v>
          </cell>
        </row>
        <row r="202">
          <cell r="A202" t="str">
            <v>b27</v>
          </cell>
          <cell r="B202" t="str">
            <v xml:space="preserve"> 排水溝施工費</v>
          </cell>
          <cell r="C202" t="str">
            <v/>
          </cell>
          <cell r="D202" t="str">
            <v>m</v>
          </cell>
          <cell r="E202">
            <v>265</v>
          </cell>
          <cell r="F202" t="str">
            <v>單價分析</v>
          </cell>
        </row>
        <row r="203">
          <cell r="A203" t="str">
            <v>b38</v>
          </cell>
          <cell r="B203" t="str">
            <v>不銹鋼橋拱施工</v>
          </cell>
          <cell r="C203" t="str">
            <v/>
          </cell>
          <cell r="D203" t="str">
            <v>m</v>
          </cell>
          <cell r="E203">
            <v>180</v>
          </cell>
          <cell r="F203" t="str">
            <v>單價分析</v>
          </cell>
        </row>
        <row r="204">
          <cell r="A204" t="str">
            <v>b29</v>
          </cell>
          <cell r="B204" t="str">
            <v xml:space="preserve"> 公共工程安全衛生設備費</v>
          </cell>
          <cell r="C204" t="str">
            <v/>
          </cell>
          <cell r="D204" t="str">
            <v>式</v>
          </cell>
          <cell r="E204">
            <v>110000</v>
          </cell>
          <cell r="F204" t="str">
            <v>單價分析</v>
          </cell>
        </row>
        <row r="205">
          <cell r="A205" t="str">
            <v>b30</v>
          </cell>
          <cell r="B205" t="str">
            <v xml:space="preserve"> 品質計畫</v>
          </cell>
          <cell r="D205" t="str">
            <v>式</v>
          </cell>
          <cell r="E205">
            <v>197000</v>
          </cell>
          <cell r="F205" t="str">
            <v>單價分析</v>
          </cell>
        </row>
        <row r="206">
          <cell r="A206" t="str">
            <v>b31</v>
          </cell>
          <cell r="B206" t="str">
            <v>健康步道舖設</v>
          </cell>
          <cell r="D206" t="str">
            <v>m2</v>
          </cell>
          <cell r="E206">
            <v>260</v>
          </cell>
          <cell r="F206" t="str">
            <v>單價分析</v>
          </cell>
        </row>
        <row r="207">
          <cell r="A207" t="str">
            <v>b32</v>
          </cell>
          <cell r="B207" t="str">
            <v xml:space="preserve"> 點焊鋼絲網舖設</v>
          </cell>
          <cell r="D207" t="str">
            <v>m2</v>
          </cell>
          <cell r="E207">
            <v>20</v>
          </cell>
          <cell r="F207" t="str">
            <v>單價分析</v>
          </cell>
        </row>
        <row r="208">
          <cell r="A208" t="str">
            <v>b33</v>
          </cell>
          <cell r="B208" t="str">
            <v>合成工樑製作加工</v>
          </cell>
          <cell r="D208" t="str">
            <v>噸</v>
          </cell>
          <cell r="E208">
            <v>14700</v>
          </cell>
          <cell r="F208" t="str">
            <v>單價分析</v>
          </cell>
        </row>
        <row r="209">
          <cell r="A209" t="str">
            <v>b8</v>
          </cell>
          <cell r="B209" t="str">
            <v>合成工樑油漆工程</v>
          </cell>
          <cell r="D209" t="str">
            <v>噸</v>
          </cell>
          <cell r="E209">
            <v>1700</v>
          </cell>
          <cell r="F209" t="str">
            <v>單價分析</v>
          </cell>
        </row>
        <row r="210">
          <cell r="A210" t="str">
            <v>b14</v>
          </cell>
          <cell r="B210" t="str">
            <v>鋼托鈑加工組立</v>
          </cell>
          <cell r="D210" t="str">
            <v>kg</v>
          </cell>
          <cell r="E210">
            <v>266</v>
          </cell>
          <cell r="F210" t="str">
            <v>單價分析</v>
          </cell>
        </row>
        <row r="211">
          <cell r="A211" t="str">
            <v>b13</v>
          </cell>
          <cell r="B211" t="str">
            <v>鋼承鈑加工組立</v>
          </cell>
          <cell r="D211" t="str">
            <v>m2</v>
          </cell>
          <cell r="E211">
            <v>900</v>
          </cell>
          <cell r="F211" t="str">
            <v>單價分析</v>
          </cell>
        </row>
        <row r="212">
          <cell r="A212" t="str">
            <v>b16</v>
          </cell>
          <cell r="B212" t="str">
            <v>熱浸鍍鋅管欄杆設置</v>
          </cell>
          <cell r="D212" t="str">
            <v>m</v>
          </cell>
          <cell r="E212">
            <v>1680</v>
          </cell>
          <cell r="F212" t="str">
            <v>單價分析</v>
          </cell>
        </row>
        <row r="213">
          <cell r="A213" t="str">
            <v>b38</v>
          </cell>
          <cell r="B213" t="str">
            <v>不銹鋼橋拱施工</v>
          </cell>
          <cell r="D213" t="str">
            <v>m</v>
          </cell>
          <cell r="E213">
            <v>180</v>
          </cell>
          <cell r="F213" t="str">
            <v>單價分析</v>
          </cell>
        </row>
        <row r="214">
          <cell r="A214">
            <v>0</v>
          </cell>
          <cell r="B214">
            <v>0</v>
          </cell>
          <cell r="C214" t="str">
            <v/>
          </cell>
          <cell r="D214">
            <v>0</v>
          </cell>
          <cell r="E214">
            <v>0</v>
          </cell>
          <cell r="F214" t="str">
            <v>單價分析</v>
          </cell>
        </row>
        <row r="215">
          <cell r="A215">
            <v>101</v>
          </cell>
          <cell r="B215" t="str">
            <v xml:space="preserve"> 天然紋石椅</v>
          </cell>
          <cell r="C215" t="str">
            <v>L60cm,H40cm</v>
          </cell>
          <cell r="D215" t="str">
            <v>只</v>
          </cell>
          <cell r="E215">
            <v>1200</v>
          </cell>
        </row>
        <row r="216">
          <cell r="A216">
            <v>102</v>
          </cell>
          <cell r="B216" t="str">
            <v xml:space="preserve"> 天然紋石桌椅</v>
          </cell>
          <cell r="C216" t="str">
            <v>一桌五椅</v>
          </cell>
          <cell r="D216" t="str">
            <v>組</v>
          </cell>
          <cell r="E216">
            <v>24000</v>
          </cell>
        </row>
        <row r="217">
          <cell r="A217">
            <v>103</v>
          </cell>
          <cell r="B217" t="str">
            <v>地被植物補植費</v>
          </cell>
          <cell r="D217" t="str">
            <v>式</v>
          </cell>
          <cell r="E217">
            <v>0</v>
          </cell>
        </row>
        <row r="218">
          <cell r="A218">
            <v>104</v>
          </cell>
          <cell r="B218" t="str">
            <v>喬木植物補植費</v>
          </cell>
          <cell r="D218" t="str">
            <v>式</v>
          </cell>
          <cell r="E218">
            <v>0</v>
          </cell>
        </row>
        <row r="219">
          <cell r="A219">
            <v>105</v>
          </cell>
          <cell r="B219" t="str">
            <v>灌木植物補植費</v>
          </cell>
          <cell r="D219" t="str">
            <v>式</v>
          </cell>
          <cell r="E219">
            <v>0</v>
          </cell>
        </row>
        <row r="220">
          <cell r="A220">
            <v>106</v>
          </cell>
          <cell r="B220" t="str">
            <v>草花植物補植費</v>
          </cell>
          <cell r="D220" t="str">
            <v>式</v>
          </cell>
          <cell r="E220">
            <v>0</v>
          </cell>
        </row>
        <row r="221">
          <cell r="A221">
            <v>107</v>
          </cell>
          <cell r="B221" t="str">
            <v xml:space="preserve"> 臨時施工標示牌</v>
          </cell>
          <cell r="D221" t="str">
            <v>式</v>
          </cell>
          <cell r="E221">
            <v>2300</v>
          </cell>
        </row>
        <row r="222">
          <cell r="A222">
            <v>108</v>
          </cell>
          <cell r="B222" t="str">
            <v xml:space="preserve"> 竣工標示牌(蛇紋石崁入)</v>
          </cell>
          <cell r="D222" t="str">
            <v>式</v>
          </cell>
          <cell r="E222">
            <v>12000</v>
          </cell>
        </row>
        <row r="223">
          <cell r="A223">
            <v>109</v>
          </cell>
          <cell r="B223" t="str">
            <v>吊車工資</v>
          </cell>
          <cell r="D223" t="str">
            <v>式</v>
          </cell>
          <cell r="E223">
            <v>9000</v>
          </cell>
        </row>
        <row r="224">
          <cell r="A224">
            <v>110</v>
          </cell>
          <cell r="B224" t="str">
            <v xml:space="preserve"> 模板小運搬</v>
          </cell>
          <cell r="D224" t="str">
            <v>㎡</v>
          </cell>
          <cell r="E224">
            <v>15</v>
          </cell>
        </row>
        <row r="225">
          <cell r="A225">
            <v>111</v>
          </cell>
          <cell r="B225" t="str">
            <v xml:space="preserve"> 放 樣 費</v>
          </cell>
          <cell r="D225" t="str">
            <v>式</v>
          </cell>
          <cell r="E225">
            <v>20000</v>
          </cell>
        </row>
        <row r="226">
          <cell r="A226">
            <v>112</v>
          </cell>
          <cell r="B226" t="str">
            <v xml:space="preserve"> 伸縮縫處理</v>
          </cell>
          <cell r="D226" t="str">
            <v>處</v>
          </cell>
          <cell r="E226">
            <v>100</v>
          </cell>
        </row>
        <row r="227">
          <cell r="A227">
            <v>113</v>
          </cell>
          <cell r="B227" t="str">
            <v xml:space="preserve"> 護欄白水泥漆粉飾</v>
          </cell>
          <cell r="C227" t="str">
            <v>一底二度</v>
          </cell>
          <cell r="D227" t="str">
            <v>式</v>
          </cell>
          <cell r="E227">
            <v>8000</v>
          </cell>
        </row>
        <row r="228">
          <cell r="A228">
            <v>114</v>
          </cell>
          <cell r="B228" t="str">
            <v>新舊管路、水塔連結系統</v>
          </cell>
          <cell r="D228" t="str">
            <v>式</v>
          </cell>
          <cell r="E228">
            <v>35000</v>
          </cell>
        </row>
        <row r="229">
          <cell r="A229">
            <v>115</v>
          </cell>
          <cell r="B229" t="str">
            <v xml:space="preserve"> 施工安全設施費</v>
          </cell>
          <cell r="D229" t="str">
            <v>式</v>
          </cell>
          <cell r="E229">
            <v>5000</v>
          </cell>
        </row>
        <row r="230">
          <cell r="A230">
            <v>116</v>
          </cell>
          <cell r="B230" t="str">
            <v xml:space="preserve"> 施工便道與復舊費</v>
          </cell>
          <cell r="D230" t="str">
            <v>式</v>
          </cell>
          <cell r="E230">
            <v>15000</v>
          </cell>
        </row>
        <row r="231">
          <cell r="A231">
            <v>117</v>
          </cell>
          <cell r="B231" t="str">
            <v xml:space="preserve"> 擋排水費</v>
          </cell>
          <cell r="D231" t="str">
            <v>式</v>
          </cell>
          <cell r="E231">
            <v>17000</v>
          </cell>
        </row>
        <row r="232">
          <cell r="A232">
            <v>118</v>
          </cell>
          <cell r="B232" t="str">
            <v xml:space="preserve"> 機械搬運費</v>
          </cell>
          <cell r="D232" t="str">
            <v>式</v>
          </cell>
          <cell r="E232">
            <v>19000</v>
          </cell>
        </row>
        <row r="233">
          <cell r="A233">
            <v>119</v>
          </cell>
          <cell r="B233" t="str">
            <v xml:space="preserve"> 鑽心穿透檢驗費</v>
          </cell>
          <cell r="D233" t="str">
            <v>孔</v>
          </cell>
          <cell r="E233">
            <v>3000</v>
          </cell>
        </row>
        <row r="234">
          <cell r="A234">
            <v>120</v>
          </cell>
          <cell r="B234" t="str">
            <v xml:space="preserve"> 雜木砍除清理費</v>
          </cell>
          <cell r="D234" t="str">
            <v>式</v>
          </cell>
          <cell r="E234">
            <v>8000</v>
          </cell>
        </row>
        <row r="235">
          <cell r="A235">
            <v>121</v>
          </cell>
          <cell r="B235" t="str">
            <v xml:space="preserve"> 舊有混凝土打除</v>
          </cell>
          <cell r="D235" t="str">
            <v>式</v>
          </cell>
          <cell r="E235">
            <v>10000</v>
          </cell>
        </row>
        <row r="236">
          <cell r="A236">
            <v>122</v>
          </cell>
          <cell r="B236" t="str">
            <v xml:space="preserve"> 整地費</v>
          </cell>
          <cell r="D236" t="str">
            <v>式</v>
          </cell>
          <cell r="E236">
            <v>10000</v>
          </cell>
        </row>
        <row r="237">
          <cell r="A237">
            <v>123</v>
          </cell>
          <cell r="B237" t="str">
            <v xml:space="preserve"> 級配壓密度試驗費</v>
          </cell>
          <cell r="D237" t="str">
            <v>件</v>
          </cell>
          <cell r="E237">
            <v>3000</v>
          </cell>
        </row>
        <row r="238">
          <cell r="A238">
            <v>124</v>
          </cell>
          <cell r="B238" t="str">
            <v xml:space="preserve"> 瀝青混凝土夯實試驗費</v>
          </cell>
          <cell r="D238" t="str">
            <v>件</v>
          </cell>
          <cell r="E238">
            <v>3000</v>
          </cell>
        </row>
        <row r="239">
          <cell r="A239">
            <v>125</v>
          </cell>
          <cell r="B239" t="str">
            <v xml:space="preserve"> 瀝青穩定值試驗費</v>
          </cell>
          <cell r="C239" t="str">
            <v>含流度</v>
          </cell>
          <cell r="D239" t="str">
            <v>件</v>
          </cell>
          <cell r="E239">
            <v>3000</v>
          </cell>
        </row>
        <row r="240">
          <cell r="A240">
            <v>126</v>
          </cell>
          <cell r="B240" t="str">
            <v xml:space="preserve"> 瀝青含量試驗費</v>
          </cell>
          <cell r="C240" t="str">
            <v>含篩分析</v>
          </cell>
          <cell r="D240" t="str">
            <v>件</v>
          </cell>
          <cell r="E240">
            <v>3000</v>
          </cell>
        </row>
        <row r="241">
          <cell r="A241">
            <v>127</v>
          </cell>
          <cell r="B241" t="str">
            <v xml:space="preserve"> 鑽心體取樣費</v>
          </cell>
          <cell r="C241" t="str">
            <v>一組三個</v>
          </cell>
          <cell r="D241" t="str">
            <v>組</v>
          </cell>
          <cell r="E241">
            <v>3000</v>
          </cell>
        </row>
        <row r="242">
          <cell r="A242">
            <v>128</v>
          </cell>
          <cell r="B242" t="str">
            <v xml:space="preserve"> 氯離子含量檢測費</v>
          </cell>
          <cell r="D242" t="str">
            <v>式</v>
          </cell>
          <cell r="E242">
            <v>20000</v>
          </cell>
        </row>
        <row r="243">
          <cell r="A243">
            <v>131</v>
          </cell>
          <cell r="B243" t="str">
            <v xml:space="preserve"> 零星工程</v>
          </cell>
          <cell r="D243" t="str">
            <v>式</v>
          </cell>
          <cell r="E243">
            <v>15000</v>
          </cell>
        </row>
        <row r="244">
          <cell r="A244">
            <v>129</v>
          </cell>
          <cell r="B244" t="str">
            <v xml:space="preserve"> 包商稅雜</v>
          </cell>
          <cell r="C244" t="str">
            <v>約12%</v>
          </cell>
          <cell r="D244" t="str">
            <v>式</v>
          </cell>
        </row>
        <row r="245">
          <cell r="A245">
            <v>130</v>
          </cell>
          <cell r="B245" t="str">
            <v xml:space="preserve"> 包商稅雜</v>
          </cell>
          <cell r="C245" t="str">
            <v xml:space="preserve"> </v>
          </cell>
          <cell r="D245" t="str">
            <v>式</v>
          </cell>
        </row>
        <row r="246">
          <cell r="A246">
            <v>132</v>
          </cell>
          <cell r="B246" t="str">
            <v xml:space="preserve"> 工地環境整理費</v>
          </cell>
          <cell r="D246" t="str">
            <v>式</v>
          </cell>
          <cell r="E246">
            <v>15000</v>
          </cell>
        </row>
        <row r="247">
          <cell r="A247" t="str">
            <v>m0</v>
          </cell>
          <cell r="B247" t="str">
            <v>材  料  費  選 項</v>
          </cell>
        </row>
        <row r="248">
          <cell r="A248" t="str">
            <v>m1</v>
          </cell>
          <cell r="B248" t="str">
            <v xml:space="preserve"> 水  泥</v>
          </cell>
          <cell r="C248" t="str">
            <v>50kg/包</v>
          </cell>
          <cell r="D248" t="str">
            <v>包</v>
          </cell>
          <cell r="E248">
            <v>150</v>
          </cell>
        </row>
        <row r="249">
          <cell r="A249" t="str">
            <v>m2</v>
          </cell>
          <cell r="B249" t="str">
            <v xml:space="preserve"> 預拌140kg/c㎡混凝土</v>
          </cell>
          <cell r="C249" t="str">
            <v>工地交貨</v>
          </cell>
          <cell r="D249" t="str">
            <v>m3</v>
          </cell>
          <cell r="E249">
            <v>1200</v>
          </cell>
          <cell r="F249" t="str">
            <v>含試體製作及試驗費</v>
          </cell>
        </row>
        <row r="250">
          <cell r="A250" t="str">
            <v>m3</v>
          </cell>
          <cell r="B250" t="str">
            <v xml:space="preserve"> 預拌175kg/c㎡混凝土</v>
          </cell>
          <cell r="C250" t="str">
            <v>工地交貨</v>
          </cell>
          <cell r="D250" t="str">
            <v>m3</v>
          </cell>
          <cell r="E250">
            <v>1300</v>
          </cell>
          <cell r="F250" t="str">
            <v>含試體製作及試驗費</v>
          </cell>
        </row>
        <row r="251">
          <cell r="A251" t="str">
            <v>m4</v>
          </cell>
          <cell r="B251" t="str">
            <v xml:space="preserve"> 預拌210kg/c㎡混凝土</v>
          </cell>
          <cell r="C251" t="str">
            <v>工地交貨</v>
          </cell>
          <cell r="D251" t="str">
            <v>m3</v>
          </cell>
          <cell r="E251">
            <v>1400</v>
          </cell>
          <cell r="F251" t="str">
            <v>含試體製作及試驗費</v>
          </cell>
        </row>
        <row r="252">
          <cell r="A252" t="str">
            <v>m5</v>
          </cell>
          <cell r="B252" t="str">
            <v xml:space="preserve"> 預拌350kg/c㎡混凝土</v>
          </cell>
          <cell r="C252" t="str">
            <v>工地交貨</v>
          </cell>
          <cell r="D252" t="str">
            <v>m3</v>
          </cell>
          <cell r="E252">
            <v>1900</v>
          </cell>
          <cell r="F252" t="str">
            <v>含試體製作及試驗費</v>
          </cell>
        </row>
        <row r="253">
          <cell r="A253" t="str">
            <v>m6</v>
          </cell>
          <cell r="B253" t="str">
            <v xml:space="preserve"> 鋼  筋(含無輻射證明)</v>
          </cell>
          <cell r="C253" t="str">
            <v>(含運費)</v>
          </cell>
          <cell r="D253" t="str">
            <v>噸</v>
          </cell>
          <cell r="E253">
            <v>9000</v>
          </cell>
        </row>
        <row r="254">
          <cell r="A254" t="str">
            <v>m7</v>
          </cell>
          <cell r="B254" t="str">
            <v xml:space="preserve"> H 型 鋼</v>
          </cell>
          <cell r="C254" t="str">
            <v>(含運費)</v>
          </cell>
          <cell r="D254" t="str">
            <v>kg</v>
          </cell>
          <cell r="E254">
            <v>11</v>
          </cell>
        </row>
        <row r="255">
          <cell r="A255" t="str">
            <v>m8</v>
          </cell>
          <cell r="B255" t="str">
            <v xml:space="preserve"> 板岩片(鐵鏽色厚1~2cm)</v>
          </cell>
          <cell r="C255" t="str">
            <v>(含運費)</v>
          </cell>
          <cell r="D255" t="str">
            <v>才</v>
          </cell>
          <cell r="E255">
            <v>22</v>
          </cell>
        </row>
        <row r="256">
          <cell r="A256" t="str">
            <v>m9</v>
          </cell>
          <cell r="B256" t="str">
            <v>碎石級配</v>
          </cell>
          <cell r="C256" t="str">
            <v>(含運費)</v>
          </cell>
          <cell r="D256" t="str">
            <v>m3</v>
          </cell>
          <cell r="E256">
            <v>200</v>
          </cell>
        </row>
        <row r="257">
          <cell r="A257" t="str">
            <v>m10</v>
          </cell>
          <cell r="B257" t="str">
            <v>青斗石</v>
          </cell>
          <cell r="C257" t="str">
            <v>(含運費)</v>
          </cell>
          <cell r="D257" t="str">
            <v>m3</v>
          </cell>
          <cell r="E257">
            <v>3000</v>
          </cell>
        </row>
        <row r="258">
          <cell r="A258" t="str">
            <v>m11</v>
          </cell>
          <cell r="B258" t="str">
            <v>φ2"PVC洩水管</v>
          </cell>
          <cell r="C258" t="str">
            <v>(含運費)</v>
          </cell>
          <cell r="D258" t="str">
            <v>支</v>
          </cell>
          <cell r="E258">
            <v>120</v>
          </cell>
        </row>
        <row r="259">
          <cell r="A259" t="str">
            <v>m12</v>
          </cell>
          <cell r="B259" t="str">
            <v xml:space="preserve"> 樹脂包覆鍍鋅鋼線箱型石籠網</v>
          </cell>
          <cell r="C259" t="str">
            <v>(含運費)</v>
          </cell>
          <cell r="D259" t="str">
            <v>㎡</v>
          </cell>
          <cell r="E259">
            <v>110</v>
          </cell>
        </row>
        <row r="260">
          <cell r="A260" t="str">
            <v>m13</v>
          </cell>
          <cell r="B260" t="str">
            <v>φ3"PVC洩水管</v>
          </cell>
          <cell r="C260" t="str">
            <v>(含運費)</v>
          </cell>
          <cell r="D260" t="str">
            <v>支</v>
          </cell>
          <cell r="E260">
            <v>160</v>
          </cell>
        </row>
        <row r="261">
          <cell r="A261" t="str">
            <v>m14</v>
          </cell>
          <cell r="B261" t="str">
            <v>φ3"PVC洩水管</v>
          </cell>
          <cell r="C261" t="str">
            <v>(含運費)</v>
          </cell>
          <cell r="D261" t="str">
            <v>支</v>
          </cell>
          <cell r="E261">
            <v>160</v>
          </cell>
        </row>
        <row r="262">
          <cell r="A262" t="str">
            <v>m15</v>
          </cell>
          <cell r="B262" t="str">
            <v>φ30cm HP(B型)管</v>
          </cell>
          <cell r="C262" t="str">
            <v>(含運費)</v>
          </cell>
          <cell r="D262" t="str">
            <v>支</v>
          </cell>
          <cell r="E262">
            <v>1540</v>
          </cell>
        </row>
        <row r="263">
          <cell r="A263" t="str">
            <v>m16</v>
          </cell>
          <cell r="B263" t="str">
            <v>φ45cm HP(B型)管</v>
          </cell>
          <cell r="C263" t="str">
            <v>(含運費)</v>
          </cell>
          <cell r="D263" t="str">
            <v>支</v>
          </cell>
          <cell r="E263">
            <v>2200</v>
          </cell>
        </row>
        <row r="264">
          <cell r="A264" t="str">
            <v>m17</v>
          </cell>
          <cell r="B264" t="str">
            <v>φ60cm HP(B型)管</v>
          </cell>
          <cell r="C264" t="str">
            <v>(含運費)</v>
          </cell>
          <cell r="D264" t="str">
            <v>支</v>
          </cell>
          <cell r="E264">
            <v>3360</v>
          </cell>
        </row>
        <row r="265">
          <cell r="A265" t="str">
            <v>m18</v>
          </cell>
          <cell r="B265" t="str">
            <v>φ80cm HP(B型)管</v>
          </cell>
          <cell r="C265" t="str">
            <v>(含運費)</v>
          </cell>
          <cell r="D265" t="str">
            <v>支</v>
          </cell>
          <cell r="E265">
            <v>5280</v>
          </cell>
        </row>
        <row r="266">
          <cell r="A266" t="str">
            <v>m19</v>
          </cell>
          <cell r="B266" t="str">
            <v>φ100cm HP(B型)管</v>
          </cell>
          <cell r="C266" t="str">
            <v>(含運費)</v>
          </cell>
          <cell r="D266" t="str">
            <v>支</v>
          </cell>
          <cell r="E266">
            <v>7440</v>
          </cell>
        </row>
        <row r="267">
          <cell r="A267" t="str">
            <v>m20</v>
          </cell>
          <cell r="B267" t="str">
            <v>φ120cm HP(B型)管</v>
          </cell>
          <cell r="C267" t="str">
            <v>(含運費)</v>
          </cell>
          <cell r="D267" t="str">
            <v>支</v>
          </cell>
          <cell r="E267">
            <v>10080</v>
          </cell>
        </row>
        <row r="268">
          <cell r="A268" t="str">
            <v>m21</v>
          </cell>
          <cell r="B268" t="str">
            <v>φ150cm HP(B型)管</v>
          </cell>
          <cell r="C268" t="str">
            <v>(含運費)</v>
          </cell>
          <cell r="D268" t="str">
            <v>支</v>
          </cell>
          <cell r="E268">
            <v>16080</v>
          </cell>
        </row>
        <row r="269">
          <cell r="A269" t="str">
            <v>m22</v>
          </cell>
          <cell r="B269" t="str">
            <v xml:space="preserve"> 瀝青混凝土</v>
          </cell>
          <cell r="C269" t="str">
            <v>工地交貨</v>
          </cell>
          <cell r="D269" t="str">
            <v>m3</v>
          </cell>
          <cell r="E269">
            <v>3055</v>
          </cell>
        </row>
        <row r="270">
          <cell r="A270" t="str">
            <v>m23</v>
          </cell>
          <cell r="B270" t="str">
            <v>φ30cm AP管</v>
          </cell>
          <cell r="C270" t="str">
            <v>(含運費)</v>
          </cell>
          <cell r="D270" t="str">
            <v>支</v>
          </cell>
          <cell r="E270">
            <v>800</v>
          </cell>
        </row>
        <row r="271">
          <cell r="A271" t="str">
            <v>m24</v>
          </cell>
          <cell r="B271" t="str">
            <v>φ45cm AP管</v>
          </cell>
          <cell r="C271" t="str">
            <v>(含運費)</v>
          </cell>
          <cell r="D271" t="str">
            <v>支</v>
          </cell>
          <cell r="E271">
            <v>1250</v>
          </cell>
        </row>
        <row r="272">
          <cell r="A272" t="str">
            <v>m25</v>
          </cell>
          <cell r="B272" t="str">
            <v>φ60cm AP管</v>
          </cell>
          <cell r="C272" t="str">
            <v>(含運費)</v>
          </cell>
          <cell r="D272" t="str">
            <v>支</v>
          </cell>
          <cell r="E272">
            <v>2070</v>
          </cell>
        </row>
        <row r="273">
          <cell r="A273" t="str">
            <v>m26</v>
          </cell>
          <cell r="B273" t="str">
            <v>φ1.5"HDPE高壓水管(PE100)</v>
          </cell>
          <cell r="C273" t="str">
            <v>(含運費)</v>
          </cell>
          <cell r="D273" t="str">
            <v>m</v>
          </cell>
          <cell r="E273">
            <v>113</v>
          </cell>
        </row>
        <row r="274">
          <cell r="A274" t="str">
            <v>m27</v>
          </cell>
          <cell r="B274" t="str">
            <v>φ2.0"HDPE高壓水管(PE100)</v>
          </cell>
          <cell r="C274" t="str">
            <v>(含運費)</v>
          </cell>
          <cell r="D274" t="str">
            <v>m</v>
          </cell>
          <cell r="E274">
            <v>178</v>
          </cell>
        </row>
        <row r="275">
          <cell r="A275" t="str">
            <v>m28</v>
          </cell>
          <cell r="B275" t="str">
            <v>φ2.5"HDPE高壓水管(PE100)</v>
          </cell>
          <cell r="C275" t="str">
            <v>(含運費)</v>
          </cell>
          <cell r="D275" t="str">
            <v>m</v>
          </cell>
          <cell r="E275">
            <v>253</v>
          </cell>
        </row>
        <row r="276">
          <cell r="A276" t="str">
            <v>m29</v>
          </cell>
          <cell r="B276" t="str">
            <v xml:space="preserve"> 片狀排水器</v>
          </cell>
          <cell r="C276" t="str">
            <v>(含運費)</v>
          </cell>
          <cell r="D276" t="str">
            <v>個</v>
          </cell>
          <cell r="E276">
            <v>125</v>
          </cell>
        </row>
        <row r="277">
          <cell r="A277" t="str">
            <v>m30</v>
          </cell>
          <cell r="B277" t="str">
            <v xml:space="preserve"> 軟式透水管</v>
          </cell>
          <cell r="C277" t="str">
            <v>(含運費)</v>
          </cell>
          <cell r="D277" t="str">
            <v>m</v>
          </cell>
          <cell r="E277">
            <v>150</v>
          </cell>
        </row>
        <row r="278">
          <cell r="A278" t="str">
            <v>m31</v>
          </cell>
          <cell r="B278" t="str">
            <v xml:space="preserve"> 角鋼</v>
          </cell>
          <cell r="C278" t="str">
            <v>(含運費)</v>
          </cell>
          <cell r="D278" t="str">
            <v>m</v>
          </cell>
          <cell r="E278">
            <v>85</v>
          </cell>
        </row>
        <row r="279">
          <cell r="A279" t="str">
            <v>m32</v>
          </cell>
          <cell r="B279" t="str">
            <v xml:space="preserve"> 鋼版租金</v>
          </cell>
          <cell r="C279" t="str">
            <v>(含運費)</v>
          </cell>
          <cell r="D279" t="str">
            <v>片</v>
          </cell>
          <cell r="E279">
            <v>200</v>
          </cell>
        </row>
        <row r="280">
          <cell r="A280" t="str">
            <v>m33</v>
          </cell>
          <cell r="B280" t="str">
            <v xml:space="preserve"> 熱浸鍍鋅格柵板</v>
          </cell>
          <cell r="C280" t="str">
            <v>(含運費)</v>
          </cell>
          <cell r="D280" t="str">
            <v>kg</v>
          </cell>
          <cell r="E280">
            <v>24</v>
          </cell>
        </row>
        <row r="281">
          <cell r="A281" t="str">
            <v>m34</v>
          </cell>
          <cell r="B281" t="str">
            <v xml:space="preserve"> 預鑄櫟木主柱</v>
          </cell>
          <cell r="C281" t="str">
            <v>∮12cm*120cm</v>
          </cell>
          <cell r="D281" t="str">
            <v>支</v>
          </cell>
          <cell r="E281">
            <v>2200</v>
          </cell>
        </row>
        <row r="282">
          <cell r="A282" t="str">
            <v>m35</v>
          </cell>
          <cell r="B282" t="str">
            <v xml:space="preserve"> 預鑄櫟木橫木</v>
          </cell>
          <cell r="C282" t="str">
            <v>∮10cm*150cm</v>
          </cell>
          <cell r="D282" t="str">
            <v>支</v>
          </cell>
          <cell r="E282">
            <v>1700</v>
          </cell>
        </row>
        <row r="283">
          <cell r="A283" t="str">
            <v>m36</v>
          </cell>
          <cell r="B283" t="str">
            <v>清 水 磚</v>
          </cell>
          <cell r="C283" t="str">
            <v>(含運費)</v>
          </cell>
          <cell r="D283" t="str">
            <v>塊</v>
          </cell>
          <cell r="E283">
            <v>3</v>
          </cell>
        </row>
        <row r="284">
          <cell r="A284" t="str">
            <v>m37</v>
          </cell>
          <cell r="B284" t="str">
            <v xml:space="preserve"> 植草磚 </v>
          </cell>
          <cell r="C284" t="str">
            <v>(含運費)</v>
          </cell>
          <cell r="D284" t="str">
            <v>塊</v>
          </cell>
          <cell r="E284">
            <v>210</v>
          </cell>
        </row>
        <row r="285">
          <cell r="A285" t="str">
            <v>m38</v>
          </cell>
          <cell r="B285" t="str">
            <v>太平洋鐵木</v>
          </cell>
          <cell r="C285" t="str">
            <v>(含運費)</v>
          </cell>
          <cell r="D285" t="str">
            <v>才</v>
          </cell>
          <cell r="E285">
            <v>80</v>
          </cell>
        </row>
        <row r="286">
          <cell r="A286" t="str">
            <v>m39</v>
          </cell>
          <cell r="B286" t="str">
            <v>台鐵廢枕木</v>
          </cell>
          <cell r="C286" t="str">
            <v>14㎝*20㎝*215㎝</v>
          </cell>
          <cell r="D286" t="str">
            <v>支</v>
          </cell>
          <cell r="E286">
            <v>250</v>
          </cell>
        </row>
        <row r="287">
          <cell r="A287" t="str">
            <v>m40</v>
          </cell>
          <cell r="B287" t="str">
            <v>GIP管</v>
          </cell>
          <cell r="C287" t="str">
            <v>φ60㎜╳厚3.6㎜</v>
          </cell>
          <cell r="D287" t="str">
            <v>m</v>
          </cell>
          <cell r="E287">
            <v>108</v>
          </cell>
        </row>
        <row r="288">
          <cell r="A288" t="str">
            <v>m41</v>
          </cell>
          <cell r="B288" t="str">
            <v xml:space="preserve"> #12鐵絲網</v>
          </cell>
          <cell r="C288" t="str">
            <v>(網目50×50cm)</v>
          </cell>
          <cell r="D288" t="str">
            <v>㎡</v>
          </cell>
          <cell r="E288">
            <v>30</v>
          </cell>
        </row>
        <row r="289">
          <cell r="A289" t="str">
            <v>m42</v>
          </cell>
          <cell r="B289" t="str">
            <v xml:space="preserve">φ6mm點焊鋼絲網 </v>
          </cell>
          <cell r="C289" t="str">
            <v>(網目10×10cm)</v>
          </cell>
          <cell r="D289" t="str">
            <v>㎡</v>
          </cell>
          <cell r="E289">
            <v>60</v>
          </cell>
        </row>
        <row r="290">
          <cell r="A290" t="str">
            <v>m43</v>
          </cell>
          <cell r="B290" t="str">
            <v xml:space="preserve">#8點焊鋼絲網 </v>
          </cell>
          <cell r="C290" t="str">
            <v>網目10×10cm</v>
          </cell>
          <cell r="D290" t="str">
            <v>㎡</v>
          </cell>
          <cell r="E290">
            <v>33</v>
          </cell>
        </row>
        <row r="291">
          <cell r="A291" t="str">
            <v>m44</v>
          </cell>
          <cell r="B291" t="str">
            <v xml:space="preserve">#8 熱浸鍍鋅線織網 </v>
          </cell>
          <cell r="C291" t="str">
            <v>網目2"╳2"</v>
          </cell>
          <cell r="D291" t="str">
            <v>㎡</v>
          </cell>
          <cell r="E291">
            <v>100</v>
          </cell>
        </row>
        <row r="292">
          <cell r="A292" t="str">
            <v>m45</v>
          </cell>
          <cell r="B292" t="str">
            <v xml:space="preserve"> 大仙丹花 </v>
          </cell>
          <cell r="C292" t="str">
            <v>規格祥圖</v>
          </cell>
          <cell r="D292" t="str">
            <v>株</v>
          </cell>
          <cell r="E292">
            <v>35</v>
          </cell>
        </row>
        <row r="293">
          <cell r="A293" t="str">
            <v>m46</v>
          </cell>
          <cell r="B293" t="str">
            <v xml:space="preserve"> 春 不 老 </v>
          </cell>
          <cell r="C293" t="str">
            <v>規格祥圖</v>
          </cell>
          <cell r="D293" t="str">
            <v>株</v>
          </cell>
          <cell r="E293">
            <v>120</v>
          </cell>
        </row>
        <row r="294">
          <cell r="A294" t="str">
            <v>m47</v>
          </cell>
          <cell r="B294" t="str">
            <v xml:space="preserve"> 細葉雪茄 </v>
          </cell>
          <cell r="C294" t="str">
            <v>規格祥圖</v>
          </cell>
          <cell r="D294" t="str">
            <v>株</v>
          </cell>
          <cell r="E294">
            <v>35</v>
          </cell>
        </row>
        <row r="295">
          <cell r="A295" t="str">
            <v>m48</v>
          </cell>
          <cell r="B295" t="str">
            <v xml:space="preserve"> 非洲鳳仙 </v>
          </cell>
          <cell r="C295" t="str">
            <v>規格祥圖</v>
          </cell>
          <cell r="D295" t="str">
            <v>株</v>
          </cell>
          <cell r="E295">
            <v>12</v>
          </cell>
        </row>
        <row r="296">
          <cell r="A296" t="str">
            <v>m49</v>
          </cell>
          <cell r="B296" t="str">
            <v>∮3.5 英吋熱浸鍍鋅管</v>
          </cell>
          <cell r="C296" t="str">
            <v>(含運費)</v>
          </cell>
          <cell r="D296" t="str">
            <v>m</v>
          </cell>
          <cell r="E296">
            <v>250</v>
          </cell>
        </row>
        <row r="297">
          <cell r="A297" t="str">
            <v>m50</v>
          </cell>
          <cell r="B297" t="str">
            <v>∮8英吋熱浸鍍鋅管</v>
          </cell>
          <cell r="C297" t="str">
            <v>(含運費)</v>
          </cell>
          <cell r="D297" t="str">
            <v>m</v>
          </cell>
          <cell r="E297">
            <v>500</v>
          </cell>
        </row>
        <row r="298">
          <cell r="A298" t="str">
            <v>m51</v>
          </cell>
          <cell r="B298" t="str">
            <v xml:space="preserve"> 種  子</v>
          </cell>
          <cell r="C298">
            <v>0</v>
          </cell>
          <cell r="D298" t="str">
            <v>kg</v>
          </cell>
          <cell r="E298">
            <v>385</v>
          </cell>
        </row>
        <row r="299">
          <cell r="A299" t="str">
            <v>m52</v>
          </cell>
          <cell r="B299" t="str">
            <v xml:space="preserve"> 植 生 帶</v>
          </cell>
          <cell r="C299">
            <v>0</v>
          </cell>
          <cell r="D299" t="str">
            <v>㎡</v>
          </cell>
          <cell r="E299">
            <v>40</v>
          </cell>
        </row>
        <row r="300">
          <cell r="A300" t="str">
            <v>m53</v>
          </cell>
          <cell r="B300" t="str">
            <v xml:space="preserve"> 菱形鐵絲網</v>
          </cell>
          <cell r="C300" t="str">
            <v>#14, 50mm</v>
          </cell>
          <cell r="D300" t="str">
            <v>㎡</v>
          </cell>
          <cell r="E300">
            <v>100</v>
          </cell>
        </row>
        <row r="301">
          <cell r="A301" t="str">
            <v>m54</v>
          </cell>
          <cell r="B301" t="str">
            <v xml:space="preserve"> 雜  費</v>
          </cell>
          <cell r="C301" t="str">
            <v>約 2%</v>
          </cell>
          <cell r="D301" t="str">
            <v>式</v>
          </cell>
          <cell r="E301">
            <v>0</v>
          </cell>
        </row>
        <row r="302">
          <cell r="A302" t="str">
            <v>m55</v>
          </cell>
          <cell r="B302" t="str">
            <v xml:space="preserve"> 雜  費</v>
          </cell>
          <cell r="C302" t="str">
            <v>約 2%</v>
          </cell>
          <cell r="D302" t="str">
            <v>式</v>
          </cell>
          <cell r="E302">
            <v>0</v>
          </cell>
        </row>
        <row r="303">
          <cell r="A303" t="str">
            <v>t0</v>
          </cell>
          <cell r="B303" t="str">
            <v>標 題 文 字</v>
          </cell>
        </row>
        <row r="304">
          <cell r="A304" t="str">
            <v>t1</v>
          </cell>
          <cell r="B304" t="str">
            <v>(一)發包工作費</v>
          </cell>
        </row>
        <row r="305">
          <cell r="A305" t="str">
            <v>t2</v>
          </cell>
          <cell r="B305" t="str">
            <v>(二)發包材料費</v>
          </cell>
        </row>
        <row r="306">
          <cell r="A306" t="str">
            <v>t3</v>
          </cell>
          <cell r="B306" t="str">
            <v>【 植  生  工  程 】</v>
          </cell>
        </row>
        <row r="307">
          <cell r="A307" t="str">
            <v>t4</v>
          </cell>
          <cell r="B307" t="str">
            <v>【 水 土 保 持 工 程 】</v>
          </cell>
        </row>
        <row r="308">
          <cell r="A308" t="str">
            <v>t5</v>
          </cell>
          <cell r="B308" t="str">
            <v xml:space="preserve"> 合  計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預算"/>
      <sheetName val="預1"/>
      <sheetName val="統1"/>
      <sheetName val="計1"/>
      <sheetName val="預2"/>
      <sheetName val="統2"/>
      <sheetName val="計2"/>
      <sheetName val="預3"/>
      <sheetName val="統3"/>
      <sheetName val="計3"/>
      <sheetName val="預4"/>
      <sheetName val="統4"/>
      <sheetName val="計4"/>
      <sheetName val="預5"/>
      <sheetName val="統5"/>
      <sheetName val="計5"/>
      <sheetName val="預6"/>
      <sheetName val="統6"/>
      <sheetName val="計6"/>
      <sheetName val="單價分析表"/>
      <sheetName val="單價總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營繕決算表"/>
      <sheetName val="基本資料"/>
      <sheetName val="結算明細"/>
      <sheetName val="工程竣工驗收表"/>
      <sheetName val="計算表"/>
      <sheetName val="土方"/>
      <sheetName val="結算證明書"/>
      <sheetName val="驗收紀錄"/>
      <sheetName val="總表"/>
      <sheetName val="監工日報表"/>
      <sheetName val="參數"/>
      <sheetName val="工程登記卡"/>
      <sheetName val="封面"/>
      <sheetName val="工程決算明細表"/>
      <sheetName val="監工日報表 (2)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4">
          <cell r="B4" t="str">
            <v>機械挖普通土</v>
          </cell>
        </row>
        <row r="5">
          <cell r="B5" t="str">
            <v>機械挖卵礫石</v>
          </cell>
        </row>
        <row r="6">
          <cell r="B6" t="str">
            <v>機械挖軟岩</v>
          </cell>
        </row>
        <row r="7">
          <cell r="B7" t="str">
            <v>機械挖硬岩</v>
          </cell>
        </row>
        <row r="8">
          <cell r="B8" t="str">
            <v>回填方</v>
          </cell>
        </row>
        <row r="9">
          <cell r="B9" t="str">
            <v>利用填方</v>
          </cell>
        </row>
        <row r="10">
          <cell r="B10" t="str">
            <v>廢方棄運</v>
          </cell>
        </row>
        <row r="11">
          <cell r="B11" t="str">
            <v>175 ㎏/㎝2混凝土</v>
          </cell>
        </row>
        <row r="12">
          <cell r="B12" t="str">
            <v>210 ㎏/㎝2混凝土</v>
          </cell>
        </row>
        <row r="13">
          <cell r="B13" t="str">
            <v>鋼筋及彎紮組立</v>
          </cell>
        </row>
        <row r="14">
          <cell r="B14" t="str">
            <v>軀體模板</v>
          </cell>
        </row>
        <row r="15">
          <cell r="B15" t="str">
            <v>河床疏浚費</v>
          </cell>
        </row>
        <row r="16">
          <cell r="B16" t="str">
            <v>4〞ψPVC洩水管及埋設</v>
          </cell>
        </row>
        <row r="17">
          <cell r="B17" t="str">
            <v>播灑草種子</v>
          </cell>
        </row>
        <row r="18">
          <cell r="B18" t="str">
            <v>施工機具搬運費</v>
          </cell>
        </row>
        <row r="19">
          <cell r="B19" t="str">
            <v>原有結構物損壞修護費</v>
          </cell>
        </row>
        <row r="20">
          <cell r="B20" t="str">
            <v>環境衛生維持費</v>
          </cell>
        </row>
        <row r="21">
          <cell r="B21" t="str">
            <v>擋土及移排水費</v>
          </cell>
        </row>
        <row r="22">
          <cell r="B22" t="str">
            <v>施工測量及放樣費</v>
          </cell>
        </row>
        <row r="23">
          <cell r="B23" t="str">
            <v>施工中交通安全設施費</v>
          </cell>
        </row>
        <row r="24">
          <cell r="B24" t="str">
            <v>銜接平順費</v>
          </cell>
        </row>
        <row r="25">
          <cell r="B25" t="str">
            <v>包商利潤</v>
          </cell>
        </row>
        <row r="26">
          <cell r="B26" t="str">
            <v>發包工作費</v>
          </cell>
        </row>
        <row r="27">
          <cell r="B27" t="str">
            <v>勞工安全衛生設備費</v>
          </cell>
        </row>
        <row r="28">
          <cell r="B28" t="str">
            <v>營造業綜合保險費</v>
          </cell>
        </row>
        <row r="29">
          <cell r="B29" t="str">
            <v>包商營業稅</v>
          </cell>
        </row>
        <row r="30">
          <cell r="B30" t="str">
            <v>空氣污染防治費</v>
          </cell>
        </row>
        <row r="31">
          <cell r="B31" t="str">
            <v>試驗費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_面層完成面高程表"/>
      <sheetName val="2_道路面積"/>
      <sheetName val="3_刨除"/>
      <sheetName val="4_調整層"/>
      <sheetName val="5_舖築量"/>
      <sheetName val="99_手KEY_AC數量計算表(5cm)"/>
      <sheetName val="人孔高程計算"/>
      <sheetName val="橫斷面用-完成面高程"/>
      <sheetName val="橫斷面用-刨除面高程"/>
      <sheetName val="橫斷面用-現況高程"/>
      <sheetName val="橫斷面用-製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臺南市政府工務局</v>
          </cell>
        </row>
      </sheetData>
      <sheetData sheetId="6">
        <row r="4">
          <cell r="Y4">
            <v>0</v>
          </cell>
          <cell r="Z4">
            <v>11.2</v>
          </cell>
          <cell r="AA4">
            <v>11.6</v>
          </cell>
          <cell r="AD4">
            <v>6.984</v>
          </cell>
          <cell r="AE4">
            <v>7.0019999999999998</v>
          </cell>
          <cell r="AF4">
            <v>6.7480000000000002</v>
          </cell>
          <cell r="AG4">
            <v>6.984</v>
          </cell>
          <cell r="AH4">
            <v>7.0019999999999998</v>
          </cell>
          <cell r="AI4">
            <v>6.7480000000000002</v>
          </cell>
        </row>
        <row r="5">
          <cell r="Y5">
            <v>20</v>
          </cell>
          <cell r="Z5">
            <v>9.4</v>
          </cell>
          <cell r="AA5">
            <v>8.4</v>
          </cell>
          <cell r="AD5">
            <v>7.0990000000000002</v>
          </cell>
          <cell r="AE5">
            <v>7.2039999999999997</v>
          </cell>
          <cell r="AF5">
            <v>7.0990000000000002</v>
          </cell>
          <cell r="AG5">
            <v>7.0990000000000002</v>
          </cell>
          <cell r="AH5">
            <v>7.2039999999999997</v>
          </cell>
          <cell r="AI5">
            <v>7.0990000000000002</v>
          </cell>
        </row>
        <row r="6">
          <cell r="Y6">
            <v>25</v>
          </cell>
          <cell r="Z6">
            <v>9.6999999999999993</v>
          </cell>
          <cell r="AA6">
            <v>8.5</v>
          </cell>
          <cell r="AD6">
            <v>7.12</v>
          </cell>
          <cell r="AE6">
            <v>7.2789999999999999</v>
          </cell>
          <cell r="AF6">
            <v>7.1719999999999997</v>
          </cell>
          <cell r="AG6">
            <v>7.12</v>
          </cell>
          <cell r="AH6">
            <v>7.2489999999999997</v>
          </cell>
          <cell r="AI6">
            <v>7.1719999999999997</v>
          </cell>
        </row>
        <row r="7">
          <cell r="Y7">
            <v>40</v>
          </cell>
          <cell r="Z7">
            <v>9.1999999999999993</v>
          </cell>
          <cell r="AA7">
            <v>8.1999999999999993</v>
          </cell>
          <cell r="AD7">
            <v>7.0090000000000003</v>
          </cell>
          <cell r="AE7">
            <v>7.1790000000000003</v>
          </cell>
          <cell r="AF7">
            <v>6.93</v>
          </cell>
          <cell r="AG7">
            <v>7.0090000000000003</v>
          </cell>
          <cell r="AH7">
            <v>7.149</v>
          </cell>
          <cell r="AI7">
            <v>6.93</v>
          </cell>
        </row>
        <row r="8">
          <cell r="Y8">
            <v>55</v>
          </cell>
          <cell r="Z8">
            <v>8.6999999999999993</v>
          </cell>
          <cell r="AA8">
            <v>8.8000000000000007</v>
          </cell>
          <cell r="AD8">
            <v>6.8730000000000002</v>
          </cell>
          <cell r="AE8">
            <v>6.97</v>
          </cell>
          <cell r="AF8">
            <v>6.7439999999999998</v>
          </cell>
          <cell r="AG8">
            <v>6.8730000000000002</v>
          </cell>
          <cell r="AH8">
            <v>7</v>
          </cell>
          <cell r="AI8">
            <v>6.7439999999999998</v>
          </cell>
        </row>
        <row r="9">
          <cell r="Y9">
            <v>60</v>
          </cell>
          <cell r="Z9">
            <v>8.6999999999999993</v>
          </cell>
          <cell r="AA9">
            <v>8.9</v>
          </cell>
          <cell r="AD9">
            <v>6.8120000000000003</v>
          </cell>
          <cell r="AE9">
            <v>6.9180000000000001</v>
          </cell>
          <cell r="AF9">
            <v>6.7</v>
          </cell>
          <cell r="AG9">
            <v>6.8120000000000003</v>
          </cell>
          <cell r="AH9">
            <v>6.9480000000000004</v>
          </cell>
          <cell r="AI9">
            <v>6.7</v>
          </cell>
        </row>
        <row r="10">
          <cell r="Y10">
            <v>80</v>
          </cell>
          <cell r="Z10">
            <v>9.4</v>
          </cell>
          <cell r="AA10">
            <v>9</v>
          </cell>
          <cell r="AD10">
            <v>6.6440000000000001</v>
          </cell>
          <cell r="AE10">
            <v>6.7930000000000001</v>
          </cell>
          <cell r="AF10">
            <v>6.5860000000000003</v>
          </cell>
          <cell r="AG10">
            <v>6.6440000000000001</v>
          </cell>
          <cell r="AH10">
            <v>6.8029999999999999</v>
          </cell>
          <cell r="AI10">
            <v>6.5860000000000003</v>
          </cell>
        </row>
        <row r="11">
          <cell r="Y11">
            <v>84</v>
          </cell>
          <cell r="Z11">
            <v>9.4</v>
          </cell>
          <cell r="AA11">
            <v>9</v>
          </cell>
          <cell r="AD11">
            <v>6.6219999999999999</v>
          </cell>
          <cell r="AE11">
            <v>6.7370000000000001</v>
          </cell>
          <cell r="AF11">
            <v>6.5659999999999998</v>
          </cell>
          <cell r="AG11">
            <v>6.6219999999999999</v>
          </cell>
          <cell r="AH11">
            <v>6.7770000000000001</v>
          </cell>
          <cell r="AI11">
            <v>6.5659999999999998</v>
          </cell>
        </row>
        <row r="12">
          <cell r="Y12">
            <v>100</v>
          </cell>
          <cell r="Z12">
            <v>9</v>
          </cell>
          <cell r="AA12">
            <v>8.9</v>
          </cell>
          <cell r="AD12">
            <v>6.5819999999999999</v>
          </cell>
          <cell r="AE12">
            <v>6.71</v>
          </cell>
          <cell r="AF12">
            <v>6.5250000000000004</v>
          </cell>
          <cell r="AG12">
            <v>6.5819999999999999</v>
          </cell>
          <cell r="AH12">
            <v>6.74</v>
          </cell>
          <cell r="AI12">
            <v>6.5250000000000004</v>
          </cell>
        </row>
        <row r="13">
          <cell r="Y13">
            <v>120</v>
          </cell>
          <cell r="Z13">
            <v>9</v>
          </cell>
          <cell r="AA13">
            <v>8.9</v>
          </cell>
          <cell r="AD13">
            <v>6.5780000000000003</v>
          </cell>
          <cell r="AE13">
            <v>6.782</v>
          </cell>
          <cell r="AF13">
            <v>6.5129999999999999</v>
          </cell>
          <cell r="AG13">
            <v>6.5780000000000003</v>
          </cell>
          <cell r="AH13">
            <v>6.7320000000000002</v>
          </cell>
          <cell r="AI13">
            <v>6.5129999999999999</v>
          </cell>
        </row>
        <row r="14">
          <cell r="Y14">
            <v>140</v>
          </cell>
          <cell r="Z14">
            <v>9</v>
          </cell>
          <cell r="AA14">
            <v>8.9</v>
          </cell>
          <cell r="AD14">
            <v>6.585</v>
          </cell>
          <cell r="AE14">
            <v>6.7249999999999996</v>
          </cell>
          <cell r="AF14">
            <v>6.524</v>
          </cell>
          <cell r="AG14">
            <v>6.585</v>
          </cell>
          <cell r="AH14">
            <v>6.7249999999999996</v>
          </cell>
          <cell r="AI14">
            <v>6.524</v>
          </cell>
        </row>
        <row r="15">
          <cell r="Y15">
            <v>160</v>
          </cell>
          <cell r="Z15">
            <v>9.1</v>
          </cell>
          <cell r="AA15">
            <v>8.9</v>
          </cell>
          <cell r="AD15">
            <v>6.5350000000000001</v>
          </cell>
          <cell r="AE15">
            <v>6.7430000000000003</v>
          </cell>
          <cell r="AF15">
            <v>6.5350000000000001</v>
          </cell>
          <cell r="AG15">
            <v>6.5350000000000001</v>
          </cell>
          <cell r="AH15">
            <v>6.7130000000000001</v>
          </cell>
          <cell r="AI15">
            <v>6.5350000000000001</v>
          </cell>
        </row>
        <row r="16">
          <cell r="Y16">
            <v>180</v>
          </cell>
          <cell r="Z16">
            <v>9</v>
          </cell>
          <cell r="AA16">
            <v>9</v>
          </cell>
          <cell r="AD16">
            <v>6.6159999999999997</v>
          </cell>
          <cell r="AE16">
            <v>6.7169999999999996</v>
          </cell>
          <cell r="AF16">
            <v>6.5259999999999998</v>
          </cell>
          <cell r="AG16">
            <v>6.6159999999999997</v>
          </cell>
          <cell r="AH16">
            <v>6.7069999999999999</v>
          </cell>
          <cell r="AI16">
            <v>6.5259999999999998</v>
          </cell>
        </row>
        <row r="17">
          <cell r="Y17">
            <v>200</v>
          </cell>
          <cell r="Z17">
            <v>8.6999999999999993</v>
          </cell>
          <cell r="AA17">
            <v>8.9</v>
          </cell>
          <cell r="AD17">
            <v>6.6109999999999998</v>
          </cell>
          <cell r="AE17">
            <v>6.6459999999999999</v>
          </cell>
          <cell r="AF17">
            <v>6.5510000000000002</v>
          </cell>
          <cell r="AG17">
            <v>6.6109999999999998</v>
          </cell>
          <cell r="AH17">
            <v>6.7059999999999995</v>
          </cell>
          <cell r="AI17">
            <v>6.5510000000000002</v>
          </cell>
        </row>
        <row r="18">
          <cell r="Y18">
            <v>220</v>
          </cell>
          <cell r="Z18">
            <v>8.6</v>
          </cell>
          <cell r="AA18">
            <v>8.8000000000000007</v>
          </cell>
          <cell r="AD18">
            <v>6.5919999999999996</v>
          </cell>
          <cell r="AE18">
            <v>6.6890000000000001</v>
          </cell>
          <cell r="AF18">
            <v>6.58</v>
          </cell>
          <cell r="AG18">
            <v>6.5919999999999996</v>
          </cell>
          <cell r="AH18">
            <v>6.7089999999999996</v>
          </cell>
          <cell r="AI18">
            <v>6.58</v>
          </cell>
        </row>
        <row r="19">
          <cell r="Y19">
            <v>240</v>
          </cell>
          <cell r="Z19">
            <v>8.9</v>
          </cell>
          <cell r="AA19">
            <v>8.9</v>
          </cell>
          <cell r="AD19">
            <v>6.5750000000000002</v>
          </cell>
          <cell r="AE19">
            <v>6.7030000000000003</v>
          </cell>
          <cell r="AF19">
            <v>6.5750000000000002</v>
          </cell>
          <cell r="AG19">
            <v>6.5750000000000002</v>
          </cell>
          <cell r="AH19">
            <v>6.7130000000000001</v>
          </cell>
          <cell r="AI19">
            <v>6.5750000000000002</v>
          </cell>
        </row>
        <row r="20">
          <cell r="Y20">
            <v>260</v>
          </cell>
          <cell r="Z20">
            <v>9</v>
          </cell>
          <cell r="AA20">
            <v>8.9</v>
          </cell>
          <cell r="AD20">
            <v>6.5869999999999997</v>
          </cell>
          <cell r="AE20">
            <v>6.7350000000000003</v>
          </cell>
          <cell r="AF20">
            <v>6.5869999999999997</v>
          </cell>
          <cell r="AG20">
            <v>6.5869999999999997</v>
          </cell>
          <cell r="AH20">
            <v>6.7150000000000007</v>
          </cell>
          <cell r="AI20">
            <v>6.5869999999999997</v>
          </cell>
        </row>
        <row r="21">
          <cell r="Y21">
            <v>280</v>
          </cell>
          <cell r="Z21">
            <v>8.6999999999999993</v>
          </cell>
          <cell r="AA21">
            <v>8.9</v>
          </cell>
          <cell r="AD21">
            <v>6.601</v>
          </cell>
          <cell r="AE21">
            <v>6.7240000000000002</v>
          </cell>
          <cell r="AF21">
            <v>6.5570000000000004</v>
          </cell>
          <cell r="AG21">
            <v>6.601</v>
          </cell>
          <cell r="AH21">
            <v>6.7240000000000002</v>
          </cell>
          <cell r="AI21">
            <v>6.5570000000000004</v>
          </cell>
        </row>
        <row r="22">
          <cell r="Y22">
            <v>300</v>
          </cell>
          <cell r="Z22">
            <v>8.6999999999999993</v>
          </cell>
          <cell r="AA22">
            <v>8.9</v>
          </cell>
          <cell r="AD22">
            <v>6.617</v>
          </cell>
          <cell r="AE22">
            <v>6.6840000000000002</v>
          </cell>
          <cell r="AF22">
            <v>6.5529999999999999</v>
          </cell>
          <cell r="AG22">
            <v>6.617</v>
          </cell>
          <cell r="AH22">
            <v>6.7240000000000002</v>
          </cell>
          <cell r="AI22">
            <v>6.5529999999999999</v>
          </cell>
        </row>
        <row r="23">
          <cell r="Y23">
            <v>320</v>
          </cell>
          <cell r="Z23">
            <v>8.6999999999999993</v>
          </cell>
          <cell r="AA23">
            <v>8.9</v>
          </cell>
          <cell r="AD23">
            <v>6.6079999999999997</v>
          </cell>
          <cell r="AE23">
            <v>6.7140000000000004</v>
          </cell>
          <cell r="AF23">
            <v>6.5359999999999996</v>
          </cell>
          <cell r="AG23">
            <v>6.6079999999999997</v>
          </cell>
          <cell r="AH23">
            <v>6.7240000000000002</v>
          </cell>
          <cell r="AI23">
            <v>6.5359999999999996</v>
          </cell>
        </row>
        <row r="24">
          <cell r="Y24">
            <v>340</v>
          </cell>
          <cell r="Z24">
            <v>8.8000000000000007</v>
          </cell>
          <cell r="AA24">
            <v>8.9</v>
          </cell>
          <cell r="AD24">
            <v>6.6369999999999996</v>
          </cell>
          <cell r="AE24">
            <v>6.7080000000000002</v>
          </cell>
          <cell r="AF24">
            <v>6.5720000000000001</v>
          </cell>
          <cell r="AG24">
            <v>6.6369999999999996</v>
          </cell>
          <cell r="AH24">
            <v>6.718</v>
          </cell>
          <cell r="AI24">
            <v>6.5720000000000001</v>
          </cell>
        </row>
        <row r="25">
          <cell r="Y25">
            <v>360</v>
          </cell>
          <cell r="Z25">
            <v>8.8000000000000007</v>
          </cell>
          <cell r="AA25">
            <v>9</v>
          </cell>
          <cell r="AD25">
            <v>6.6139999999999999</v>
          </cell>
          <cell r="AE25">
            <v>6.7240000000000002</v>
          </cell>
          <cell r="AF25">
            <v>6.5170000000000003</v>
          </cell>
          <cell r="AG25">
            <v>6.6139999999999999</v>
          </cell>
          <cell r="AH25">
            <v>6.7240000000000002</v>
          </cell>
          <cell r="AI25">
            <v>6.5170000000000003</v>
          </cell>
        </row>
        <row r="26">
          <cell r="Y26">
            <v>380</v>
          </cell>
          <cell r="Z26">
            <v>8.9</v>
          </cell>
          <cell r="AA26">
            <v>9</v>
          </cell>
          <cell r="AD26">
            <v>6.6520000000000001</v>
          </cell>
          <cell r="AE26">
            <v>6.7480000000000002</v>
          </cell>
          <cell r="AF26">
            <v>6.5270000000000001</v>
          </cell>
          <cell r="AG26">
            <v>6.6520000000000001</v>
          </cell>
          <cell r="AH26">
            <v>6.718</v>
          </cell>
          <cell r="AI26">
            <v>6.5270000000000001</v>
          </cell>
        </row>
        <row r="27">
          <cell r="Y27">
            <v>400</v>
          </cell>
          <cell r="Z27">
            <v>8.9</v>
          </cell>
          <cell r="AA27">
            <v>9.1</v>
          </cell>
          <cell r="AD27">
            <v>6.6310000000000002</v>
          </cell>
          <cell r="AE27">
            <v>6.702</v>
          </cell>
          <cell r="AF27">
            <v>6.5250000000000004</v>
          </cell>
          <cell r="AG27">
            <v>6.6310000000000002</v>
          </cell>
          <cell r="AH27">
            <v>6.7219999999999995</v>
          </cell>
          <cell r="AI27">
            <v>6.5250000000000004</v>
          </cell>
        </row>
        <row r="28">
          <cell r="Y28">
            <v>420</v>
          </cell>
          <cell r="Z28">
            <v>8.8000000000000007</v>
          </cell>
          <cell r="AA28">
            <v>9.1</v>
          </cell>
          <cell r="AD28">
            <v>6.601</v>
          </cell>
          <cell r="AE28">
            <v>6.73</v>
          </cell>
          <cell r="AF28">
            <v>6.5060000000000002</v>
          </cell>
          <cell r="AG28">
            <v>6.601</v>
          </cell>
          <cell r="AH28">
            <v>6.7200000000000006</v>
          </cell>
          <cell r="AI28">
            <v>6.5060000000000002</v>
          </cell>
        </row>
        <row r="29">
          <cell r="Y29">
            <v>440</v>
          </cell>
          <cell r="Z29">
            <v>8.6999999999999993</v>
          </cell>
          <cell r="AA29">
            <v>9</v>
          </cell>
          <cell r="AD29">
            <v>6.6379999999999999</v>
          </cell>
          <cell r="AE29">
            <v>6.7060000000000004</v>
          </cell>
          <cell r="AF29">
            <v>6.5419999999999998</v>
          </cell>
          <cell r="AG29">
            <v>6.6379999999999999</v>
          </cell>
          <cell r="AH29">
            <v>6.7160000000000002</v>
          </cell>
          <cell r="AI29">
            <v>6.5419999999999998</v>
          </cell>
        </row>
        <row r="30">
          <cell r="Y30">
            <v>460</v>
          </cell>
          <cell r="Z30">
            <v>8.6999999999999993</v>
          </cell>
          <cell r="AA30">
            <v>9</v>
          </cell>
          <cell r="AD30">
            <v>6.6150000000000002</v>
          </cell>
          <cell r="AE30">
            <v>6.7149999999999999</v>
          </cell>
          <cell r="AF30">
            <v>6.6470000000000002</v>
          </cell>
          <cell r="AG30">
            <v>6.6150000000000002</v>
          </cell>
          <cell r="AH30">
            <v>6.7249999999999996</v>
          </cell>
          <cell r="AI30">
            <v>6.6470000000000002</v>
          </cell>
        </row>
        <row r="31">
          <cell r="Y31">
            <v>480</v>
          </cell>
          <cell r="Z31">
            <v>8.4</v>
          </cell>
          <cell r="AA31">
            <v>9</v>
          </cell>
          <cell r="AD31">
            <v>6.577</v>
          </cell>
          <cell r="AE31">
            <v>6.7240000000000002</v>
          </cell>
          <cell r="AF31">
            <v>6.6210000000000004</v>
          </cell>
          <cell r="AG31">
            <v>6.577</v>
          </cell>
          <cell r="AH31">
            <v>6.734</v>
          </cell>
          <cell r="AI31">
            <v>6.6210000000000004</v>
          </cell>
        </row>
        <row r="32">
          <cell r="Y32">
            <v>500</v>
          </cell>
          <cell r="Z32">
            <v>8.9</v>
          </cell>
          <cell r="AA32">
            <v>9</v>
          </cell>
          <cell r="AD32">
            <v>6.5629999999999997</v>
          </cell>
          <cell r="AE32">
            <v>6.6859999999999999</v>
          </cell>
          <cell r="AF32">
            <v>6.5839999999999996</v>
          </cell>
          <cell r="AG32">
            <v>6.5629999999999997</v>
          </cell>
          <cell r="AH32">
            <v>6.7459999999999996</v>
          </cell>
          <cell r="AI32">
            <v>6.5839999999999996</v>
          </cell>
        </row>
        <row r="33">
          <cell r="Y33">
            <v>520</v>
          </cell>
          <cell r="Z33">
            <v>8.9</v>
          </cell>
          <cell r="AA33">
            <v>9.1</v>
          </cell>
          <cell r="AD33">
            <v>6.6310000000000002</v>
          </cell>
          <cell r="AE33">
            <v>6.7089999999999996</v>
          </cell>
          <cell r="AF33">
            <v>6.5960000000000001</v>
          </cell>
          <cell r="AG33">
            <v>6.6310000000000002</v>
          </cell>
          <cell r="AH33">
            <v>6.7689999999999992</v>
          </cell>
          <cell r="AI33">
            <v>6.5960000000000001</v>
          </cell>
        </row>
        <row r="34">
          <cell r="Y34">
            <v>540</v>
          </cell>
          <cell r="Z34">
            <v>8.9</v>
          </cell>
          <cell r="AA34">
            <v>9.1</v>
          </cell>
          <cell r="AD34">
            <v>6.6719999999999997</v>
          </cell>
          <cell r="AE34">
            <v>6.8019999999999996</v>
          </cell>
          <cell r="AF34">
            <v>6.6319999999999997</v>
          </cell>
          <cell r="AG34">
            <v>6.6719999999999997</v>
          </cell>
          <cell r="AH34">
            <v>6.7919999999999998</v>
          </cell>
          <cell r="AI34">
            <v>6.6319999999999997</v>
          </cell>
        </row>
        <row r="35">
          <cell r="Y35">
            <v>555</v>
          </cell>
          <cell r="Z35">
            <v>8.8000000000000007</v>
          </cell>
          <cell r="AA35">
            <v>9.1</v>
          </cell>
          <cell r="AD35">
            <v>6.6040000000000001</v>
          </cell>
          <cell r="AE35">
            <v>6.806</v>
          </cell>
          <cell r="AF35">
            <v>6.6449999999999996</v>
          </cell>
          <cell r="AG35">
            <v>6.6040000000000001</v>
          </cell>
          <cell r="AH35">
            <v>6.806</v>
          </cell>
          <cell r="AI35">
            <v>6.6449999999999996</v>
          </cell>
        </row>
        <row r="36">
          <cell r="Y36">
            <v>560</v>
          </cell>
          <cell r="Z36">
            <v>9.1999999999999993</v>
          </cell>
          <cell r="AA36">
            <v>8.9</v>
          </cell>
          <cell r="AD36">
            <v>6.5419999999999998</v>
          </cell>
          <cell r="AE36">
            <v>6.7830000000000004</v>
          </cell>
          <cell r="AF36">
            <v>6.6470000000000002</v>
          </cell>
          <cell r="AG36">
            <v>6.5419999999999998</v>
          </cell>
          <cell r="AH36">
            <v>6.8120000000000003</v>
          </cell>
          <cell r="AI36">
            <v>6.6470000000000002</v>
          </cell>
        </row>
        <row r="37">
          <cell r="Y37">
            <v>573</v>
          </cell>
          <cell r="Z37">
            <v>15.3</v>
          </cell>
          <cell r="AA37">
            <v>8.6</v>
          </cell>
          <cell r="AD37">
            <v>6.67</v>
          </cell>
          <cell r="AE37">
            <v>6.8010000000000002</v>
          </cell>
          <cell r="AF37">
            <v>6.6609999999999996</v>
          </cell>
          <cell r="AG37">
            <v>6.67</v>
          </cell>
          <cell r="AH37">
            <v>6.8260000000000005</v>
          </cell>
          <cell r="AI37">
            <v>6.6609999999999996</v>
          </cell>
        </row>
        <row r="38">
          <cell r="Y38">
            <v>580</v>
          </cell>
          <cell r="Z38">
            <v>10.6</v>
          </cell>
          <cell r="AA38">
            <v>9</v>
          </cell>
          <cell r="AD38">
            <v>6.6589999999999998</v>
          </cell>
          <cell r="AE38">
            <v>6.8120000000000003</v>
          </cell>
          <cell r="AF38">
            <v>6.6420000000000003</v>
          </cell>
          <cell r="AG38">
            <v>6.6589999999999998</v>
          </cell>
          <cell r="AH38">
            <v>6.8319999999999999</v>
          </cell>
          <cell r="AI38">
            <v>6.6420000000000003</v>
          </cell>
        </row>
        <row r="39">
          <cell r="Y39">
            <v>591</v>
          </cell>
          <cell r="Z39">
            <v>8.4</v>
          </cell>
          <cell r="AA39">
            <v>9.9</v>
          </cell>
          <cell r="AD39">
            <v>6.66</v>
          </cell>
          <cell r="AE39">
            <v>6.827</v>
          </cell>
          <cell r="AF39">
            <v>6.6459999999999999</v>
          </cell>
          <cell r="AG39">
            <v>6.66</v>
          </cell>
          <cell r="AH39">
            <v>6.8369999999999997</v>
          </cell>
          <cell r="AI39">
            <v>6.6459999999999999</v>
          </cell>
        </row>
        <row r="40">
          <cell r="Y40">
            <v>600</v>
          </cell>
          <cell r="Z40">
            <v>8.6999999999999993</v>
          </cell>
          <cell r="AA40">
            <v>9.6</v>
          </cell>
          <cell r="AD40">
            <v>6.7</v>
          </cell>
          <cell r="AE40">
            <v>6.81</v>
          </cell>
          <cell r="AF40">
            <v>6.6440000000000001</v>
          </cell>
          <cell r="AG40">
            <v>6.7</v>
          </cell>
          <cell r="AH40">
            <v>6.8419999999999996</v>
          </cell>
          <cell r="AI40">
            <v>6.6440000000000001</v>
          </cell>
        </row>
        <row r="41">
          <cell r="Y41">
            <v>620</v>
          </cell>
          <cell r="Z41">
            <v>9.1</v>
          </cell>
          <cell r="AA41">
            <v>9.1</v>
          </cell>
          <cell r="AD41">
            <v>6.7430000000000003</v>
          </cell>
          <cell r="AE41">
            <v>6.8540000000000001</v>
          </cell>
          <cell r="AF41">
            <v>6.66</v>
          </cell>
          <cell r="AG41">
            <v>6.7430000000000003</v>
          </cell>
          <cell r="AH41">
            <v>6.8639999999999999</v>
          </cell>
          <cell r="AI41">
            <v>6.66</v>
          </cell>
        </row>
        <row r="42">
          <cell r="Y42">
            <v>640</v>
          </cell>
          <cell r="Z42">
            <v>9.1999999999999993</v>
          </cell>
          <cell r="AA42">
            <v>8.9</v>
          </cell>
          <cell r="AD42">
            <v>6.7549999999999999</v>
          </cell>
          <cell r="AE42">
            <v>6.89</v>
          </cell>
          <cell r="AF42">
            <v>6.7149999999999999</v>
          </cell>
          <cell r="AG42">
            <v>6.7549999999999999</v>
          </cell>
          <cell r="AH42">
            <v>6.89</v>
          </cell>
          <cell r="AI42">
            <v>6.7149999999999999</v>
          </cell>
        </row>
        <row r="43">
          <cell r="Y43">
            <v>660</v>
          </cell>
          <cell r="Z43">
            <v>9.1999999999999993</v>
          </cell>
          <cell r="AA43">
            <v>8.9</v>
          </cell>
          <cell r="AD43">
            <v>6.7619999999999996</v>
          </cell>
          <cell r="AE43">
            <v>6.9240000000000004</v>
          </cell>
          <cell r="AF43">
            <v>6.7859999999999996</v>
          </cell>
          <cell r="AG43">
            <v>6.7619999999999996</v>
          </cell>
          <cell r="AH43">
            <v>6.9240000000000004</v>
          </cell>
          <cell r="AI43">
            <v>6.7859999999999996</v>
          </cell>
        </row>
        <row r="44">
          <cell r="Y44">
            <v>680</v>
          </cell>
          <cell r="Z44">
            <v>9.1999999999999993</v>
          </cell>
          <cell r="AA44">
            <v>8.9</v>
          </cell>
          <cell r="AD44">
            <v>6.7939999999999996</v>
          </cell>
          <cell r="AE44">
            <v>6.9530000000000003</v>
          </cell>
          <cell r="AF44">
            <v>6.7990000000000004</v>
          </cell>
          <cell r="AG44">
            <v>6.7939999999999996</v>
          </cell>
          <cell r="AH44">
            <v>6.9530000000000003</v>
          </cell>
          <cell r="AI44">
            <v>6.7990000000000004</v>
          </cell>
        </row>
        <row r="45">
          <cell r="Y45">
            <v>700</v>
          </cell>
          <cell r="Z45">
            <v>9.3000000000000007</v>
          </cell>
          <cell r="AA45">
            <v>8.9</v>
          </cell>
          <cell r="AD45">
            <v>6.7370000000000001</v>
          </cell>
          <cell r="AE45">
            <v>6.9530000000000003</v>
          </cell>
          <cell r="AF45">
            <v>6.7960000000000003</v>
          </cell>
          <cell r="AG45">
            <v>6.7370000000000001</v>
          </cell>
          <cell r="AH45">
            <v>6.9530000000000003</v>
          </cell>
          <cell r="AI45">
            <v>6.7960000000000003</v>
          </cell>
        </row>
        <row r="46">
          <cell r="Y46">
            <v>720</v>
          </cell>
          <cell r="Z46">
            <v>9.1</v>
          </cell>
          <cell r="AA46">
            <v>8.6999999999999993</v>
          </cell>
          <cell r="AD46">
            <v>6.7370000000000001</v>
          </cell>
          <cell r="AE46">
            <v>6.9370000000000003</v>
          </cell>
          <cell r="AF46">
            <v>6.7409999999999997</v>
          </cell>
          <cell r="AG46">
            <v>6.7370000000000001</v>
          </cell>
          <cell r="AH46">
            <v>6.9270000000000005</v>
          </cell>
          <cell r="AI46">
            <v>6.7409999999999997</v>
          </cell>
        </row>
        <row r="47">
          <cell r="Y47">
            <v>724</v>
          </cell>
          <cell r="Z47">
            <v>9</v>
          </cell>
          <cell r="AA47">
            <v>8.6999999999999993</v>
          </cell>
          <cell r="AD47">
            <v>6.7370000000000001</v>
          </cell>
          <cell r="AE47">
            <v>6.9139999999999997</v>
          </cell>
          <cell r="AF47">
            <v>6.7560000000000002</v>
          </cell>
          <cell r="AG47">
            <v>6.7370000000000001</v>
          </cell>
          <cell r="AH47">
            <v>6.9139999999999997</v>
          </cell>
          <cell r="AI47">
            <v>6.7560000000000002</v>
          </cell>
        </row>
        <row r="48">
          <cell r="Y48">
            <v>733</v>
          </cell>
          <cell r="Z48">
            <v>8.9</v>
          </cell>
          <cell r="AA48">
            <v>9</v>
          </cell>
          <cell r="AD48">
            <v>6.7430000000000003</v>
          </cell>
          <cell r="AE48">
            <v>6.8159999999999998</v>
          </cell>
          <cell r="AF48">
            <v>6.7919999999999998</v>
          </cell>
          <cell r="AG48">
            <v>6.7430000000000003</v>
          </cell>
          <cell r="AH48">
            <v>6.9059999999999997</v>
          </cell>
          <cell r="AI48">
            <v>6.7919999999999998</v>
          </cell>
        </row>
        <row r="49">
          <cell r="Y49">
            <v>740</v>
          </cell>
          <cell r="Z49">
            <v>8.6999999999999993</v>
          </cell>
          <cell r="AA49">
            <v>9.1</v>
          </cell>
          <cell r="AD49">
            <v>6.7480000000000002</v>
          </cell>
          <cell r="AE49">
            <v>6.899</v>
          </cell>
          <cell r="AF49">
            <v>6.798</v>
          </cell>
          <cell r="AG49">
            <v>6.7480000000000002</v>
          </cell>
          <cell r="AH49">
            <v>6.9089999999999998</v>
          </cell>
          <cell r="AI49">
            <v>6.798</v>
          </cell>
        </row>
        <row r="50">
          <cell r="Y50">
            <v>743</v>
          </cell>
          <cell r="Z50">
            <v>8.8000000000000007</v>
          </cell>
          <cell r="AA50">
            <v>9.1</v>
          </cell>
          <cell r="AD50">
            <v>6.75</v>
          </cell>
          <cell r="AE50">
            <v>6.92</v>
          </cell>
          <cell r="AF50">
            <v>6.7969999999999997</v>
          </cell>
          <cell r="AG50">
            <v>6.75</v>
          </cell>
          <cell r="AH50">
            <v>6.91</v>
          </cell>
          <cell r="AI50">
            <v>6.7969999999999997</v>
          </cell>
        </row>
        <row r="51">
          <cell r="Y51">
            <v>760</v>
          </cell>
          <cell r="Z51">
            <v>8.8000000000000007</v>
          </cell>
          <cell r="AA51">
            <v>9.1</v>
          </cell>
          <cell r="AD51">
            <v>6.7809999999999997</v>
          </cell>
          <cell r="AE51">
            <v>6.8920000000000003</v>
          </cell>
          <cell r="AF51">
            <v>6.7809999999999997</v>
          </cell>
          <cell r="AG51">
            <v>6.7809999999999997</v>
          </cell>
          <cell r="AH51">
            <v>6.9170000000000007</v>
          </cell>
          <cell r="AI51">
            <v>6.7809999999999997</v>
          </cell>
        </row>
        <row r="52">
          <cell r="Y52">
            <v>780</v>
          </cell>
          <cell r="Z52">
            <v>8.8000000000000007</v>
          </cell>
          <cell r="AA52">
            <v>9.1</v>
          </cell>
          <cell r="AD52">
            <v>6.8220000000000001</v>
          </cell>
          <cell r="AE52">
            <v>6.9539999999999997</v>
          </cell>
          <cell r="AF52">
            <v>6.8220000000000001</v>
          </cell>
          <cell r="AG52">
            <v>6.8220000000000001</v>
          </cell>
          <cell r="AH52">
            <v>6.9340000000000002</v>
          </cell>
          <cell r="AI52">
            <v>6.8220000000000001</v>
          </cell>
        </row>
        <row r="53">
          <cell r="Y53">
            <v>800</v>
          </cell>
          <cell r="Z53">
            <v>8.8000000000000007</v>
          </cell>
          <cell r="AA53">
            <v>9.1</v>
          </cell>
          <cell r="AD53">
            <v>6.8339999999999996</v>
          </cell>
          <cell r="AE53">
            <v>6.9329999999999998</v>
          </cell>
          <cell r="AF53">
            <v>6.8639999999999999</v>
          </cell>
          <cell r="AG53">
            <v>6.8339999999999996</v>
          </cell>
          <cell r="AH53">
            <v>6.9529999999999994</v>
          </cell>
          <cell r="AI53">
            <v>6.8639999999999999</v>
          </cell>
        </row>
        <row r="54">
          <cell r="Y54">
            <v>820</v>
          </cell>
          <cell r="Z54">
            <v>8.8000000000000007</v>
          </cell>
          <cell r="AA54">
            <v>9.1</v>
          </cell>
          <cell r="AD54">
            <v>6.8380000000000001</v>
          </cell>
          <cell r="AE54">
            <v>6.99</v>
          </cell>
          <cell r="AF54">
            <v>6.89</v>
          </cell>
          <cell r="AG54">
            <v>6.8380000000000001</v>
          </cell>
          <cell r="AH54">
            <v>6.98</v>
          </cell>
          <cell r="AI54">
            <v>6.89</v>
          </cell>
        </row>
        <row r="55">
          <cell r="Y55">
            <v>840</v>
          </cell>
          <cell r="Z55">
            <v>8.8000000000000007</v>
          </cell>
          <cell r="AA55">
            <v>9.1</v>
          </cell>
          <cell r="AD55">
            <v>6.8920000000000003</v>
          </cell>
          <cell r="AE55">
            <v>6.9370000000000003</v>
          </cell>
          <cell r="AF55">
            <v>6.8920000000000003</v>
          </cell>
          <cell r="AG55">
            <v>6.8920000000000003</v>
          </cell>
          <cell r="AH55">
            <v>6.9969999999999999</v>
          </cell>
          <cell r="AI55">
            <v>6.8920000000000003</v>
          </cell>
        </row>
        <row r="56">
          <cell r="Y56">
            <v>860</v>
          </cell>
          <cell r="Z56">
            <v>9</v>
          </cell>
          <cell r="AA56">
            <v>9.1</v>
          </cell>
          <cell r="AD56">
            <v>6.8890000000000002</v>
          </cell>
          <cell r="AE56">
            <v>7.0709999999999997</v>
          </cell>
          <cell r="AF56">
            <v>6.8940000000000001</v>
          </cell>
          <cell r="AG56">
            <v>6.8890000000000002</v>
          </cell>
          <cell r="AH56">
            <v>7.0209999999999999</v>
          </cell>
          <cell r="AI56">
            <v>6.8940000000000001</v>
          </cell>
        </row>
        <row r="57">
          <cell r="Y57">
            <v>880</v>
          </cell>
          <cell r="Z57">
            <v>9</v>
          </cell>
          <cell r="AA57">
            <v>9</v>
          </cell>
          <cell r="AD57">
            <v>6.8540000000000001</v>
          </cell>
          <cell r="AE57">
            <v>7.0279999999999996</v>
          </cell>
          <cell r="AF57">
            <v>6.8979999999999997</v>
          </cell>
          <cell r="AG57">
            <v>6.8540000000000001</v>
          </cell>
          <cell r="AH57">
            <v>7.0379999999999994</v>
          </cell>
          <cell r="AI57">
            <v>6.8979999999999997</v>
          </cell>
        </row>
        <row r="58">
          <cell r="Y58">
            <v>900</v>
          </cell>
          <cell r="Z58">
            <v>8.8000000000000007</v>
          </cell>
          <cell r="AA58">
            <v>9</v>
          </cell>
          <cell r="AD58">
            <v>6.827</v>
          </cell>
          <cell r="AE58">
            <v>7.0490000000000004</v>
          </cell>
          <cell r="AF58">
            <v>6.8540000000000001</v>
          </cell>
          <cell r="AG58">
            <v>6.827</v>
          </cell>
          <cell r="AH58">
            <v>7.0590000000000002</v>
          </cell>
          <cell r="AI58">
            <v>6.8540000000000001</v>
          </cell>
        </row>
        <row r="59">
          <cell r="Y59">
            <v>920</v>
          </cell>
          <cell r="Z59">
            <v>8.9</v>
          </cell>
          <cell r="AA59">
            <v>9</v>
          </cell>
          <cell r="AD59">
            <v>6.883</v>
          </cell>
          <cell r="AE59">
            <v>7.0339999999999998</v>
          </cell>
          <cell r="AF59">
            <v>6.9130000000000003</v>
          </cell>
          <cell r="AG59">
            <v>6.883</v>
          </cell>
          <cell r="AH59">
            <v>7.0839999999999996</v>
          </cell>
          <cell r="AI59">
            <v>6.9130000000000003</v>
          </cell>
        </row>
        <row r="60">
          <cell r="Y60">
            <v>940</v>
          </cell>
          <cell r="Z60">
            <v>8.9</v>
          </cell>
          <cell r="AA60">
            <v>9</v>
          </cell>
          <cell r="AD60">
            <v>6.9219999999999997</v>
          </cell>
          <cell r="AE60">
            <v>7.141</v>
          </cell>
          <cell r="AF60">
            <v>6.9390000000000001</v>
          </cell>
          <cell r="AG60">
            <v>6.9219999999999997</v>
          </cell>
          <cell r="AH60">
            <v>7.1210000000000004</v>
          </cell>
          <cell r="AI60">
            <v>6.9390000000000001</v>
          </cell>
        </row>
        <row r="61">
          <cell r="Y61">
            <v>960</v>
          </cell>
          <cell r="Z61">
            <v>9</v>
          </cell>
          <cell r="AA61">
            <v>9</v>
          </cell>
          <cell r="AD61">
            <v>6.968</v>
          </cell>
          <cell r="AE61">
            <v>7.1219999999999999</v>
          </cell>
          <cell r="AF61">
            <v>6.9640000000000004</v>
          </cell>
          <cell r="AG61">
            <v>6.968</v>
          </cell>
          <cell r="AH61">
            <v>7.1419999999999995</v>
          </cell>
          <cell r="AI61">
            <v>6.9640000000000004</v>
          </cell>
        </row>
        <row r="62">
          <cell r="Y62">
            <v>980</v>
          </cell>
          <cell r="Z62">
            <v>9</v>
          </cell>
          <cell r="AA62">
            <v>9</v>
          </cell>
          <cell r="AD62">
            <v>6.9589999999999996</v>
          </cell>
          <cell r="AE62">
            <v>7.1779999999999999</v>
          </cell>
          <cell r="AF62">
            <v>6.9589999999999996</v>
          </cell>
          <cell r="AG62">
            <v>6.9589999999999996</v>
          </cell>
          <cell r="AH62">
            <v>7.1479999999999997</v>
          </cell>
          <cell r="AI62">
            <v>6.9589999999999996</v>
          </cell>
        </row>
        <row r="63">
          <cell r="Y63">
            <v>1000</v>
          </cell>
          <cell r="Z63">
            <v>9</v>
          </cell>
          <cell r="AA63">
            <v>8.9</v>
          </cell>
          <cell r="AD63">
            <v>6.97</v>
          </cell>
          <cell r="AE63">
            <v>7.1029999999999998</v>
          </cell>
          <cell r="AF63">
            <v>6.9580000000000002</v>
          </cell>
          <cell r="AG63">
            <v>6.97</v>
          </cell>
          <cell r="AH63">
            <v>7.133</v>
          </cell>
          <cell r="AI63">
            <v>6.9580000000000002</v>
          </cell>
        </row>
        <row r="64">
          <cell r="Y64">
            <v>1020</v>
          </cell>
          <cell r="Z64">
            <v>9</v>
          </cell>
          <cell r="AA64">
            <v>8.9</v>
          </cell>
          <cell r="AD64">
            <v>6.9619999999999997</v>
          </cell>
          <cell r="AE64">
            <v>7.1159999999999997</v>
          </cell>
          <cell r="AF64">
            <v>6.9880000000000004</v>
          </cell>
          <cell r="AG64">
            <v>6.9619999999999997</v>
          </cell>
          <cell r="AH64">
            <v>7.1259999999999994</v>
          </cell>
          <cell r="AI64">
            <v>6.9880000000000004</v>
          </cell>
        </row>
        <row r="65">
          <cell r="Y65">
            <v>1040</v>
          </cell>
          <cell r="Z65">
            <v>9</v>
          </cell>
          <cell r="AA65">
            <v>9</v>
          </cell>
          <cell r="AD65">
            <v>6.9770000000000003</v>
          </cell>
          <cell r="AE65">
            <v>7.1369999999999996</v>
          </cell>
          <cell r="AF65">
            <v>6.9939999999999998</v>
          </cell>
          <cell r="AG65">
            <v>6.9770000000000003</v>
          </cell>
          <cell r="AH65">
            <v>7.1369999999999996</v>
          </cell>
          <cell r="AI65">
            <v>6.9939999999999998</v>
          </cell>
        </row>
        <row r="66">
          <cell r="Y66">
            <v>1060</v>
          </cell>
          <cell r="Z66">
            <v>9</v>
          </cell>
          <cell r="AA66">
            <v>8.9</v>
          </cell>
          <cell r="AD66">
            <v>6.9930000000000003</v>
          </cell>
          <cell r="AE66">
            <v>7.2050000000000001</v>
          </cell>
          <cell r="AF66">
            <v>7.008</v>
          </cell>
          <cell r="AG66">
            <v>6.9930000000000003</v>
          </cell>
          <cell r="AH66">
            <v>7.165</v>
          </cell>
          <cell r="AI66">
            <v>7.008</v>
          </cell>
        </row>
        <row r="67">
          <cell r="Y67">
            <v>1080</v>
          </cell>
          <cell r="Z67">
            <v>9</v>
          </cell>
          <cell r="AA67">
            <v>8.9</v>
          </cell>
          <cell r="AD67">
            <v>6.9969999999999999</v>
          </cell>
          <cell r="AE67">
            <v>7.2169999999999996</v>
          </cell>
          <cell r="AF67">
            <v>7.0430000000000001</v>
          </cell>
          <cell r="AG67">
            <v>6.9969999999999999</v>
          </cell>
          <cell r="AH67">
            <v>7.1869999999999994</v>
          </cell>
          <cell r="AI67">
            <v>7.0430000000000001</v>
          </cell>
        </row>
        <row r="68">
          <cell r="Y68">
            <v>1100</v>
          </cell>
          <cell r="Z68">
            <v>9</v>
          </cell>
          <cell r="AA68">
            <v>9</v>
          </cell>
          <cell r="AD68">
            <v>7.05</v>
          </cell>
          <cell r="AE68">
            <v>7.1779999999999999</v>
          </cell>
          <cell r="AF68">
            <v>7.069</v>
          </cell>
          <cell r="AG68">
            <v>7.05</v>
          </cell>
          <cell r="AH68">
            <v>7.2080000000000002</v>
          </cell>
          <cell r="AI68">
            <v>7.069</v>
          </cell>
        </row>
        <row r="69">
          <cell r="Y69">
            <v>1120</v>
          </cell>
          <cell r="Z69">
            <v>9</v>
          </cell>
          <cell r="AA69">
            <v>9.1</v>
          </cell>
          <cell r="AD69">
            <v>7.0650000000000004</v>
          </cell>
          <cell r="AE69">
            <v>7.242</v>
          </cell>
          <cell r="AF69">
            <v>7.09</v>
          </cell>
          <cell r="AG69">
            <v>7.0650000000000004</v>
          </cell>
          <cell r="AH69">
            <v>7.242</v>
          </cell>
          <cell r="AI69">
            <v>7.09</v>
          </cell>
        </row>
        <row r="70">
          <cell r="Y70">
            <v>1140</v>
          </cell>
          <cell r="Z70">
            <v>9</v>
          </cell>
          <cell r="AA70">
            <v>9.1</v>
          </cell>
          <cell r="AD70">
            <v>7.0789999999999997</v>
          </cell>
          <cell r="AE70">
            <v>7.2869999999999999</v>
          </cell>
          <cell r="AF70">
            <v>7.133</v>
          </cell>
          <cell r="AG70">
            <v>7.0789999999999997</v>
          </cell>
          <cell r="AH70">
            <v>7.2670000000000003</v>
          </cell>
          <cell r="AI70">
            <v>7.133</v>
          </cell>
        </row>
        <row r="71">
          <cell r="Y71">
            <v>1160</v>
          </cell>
          <cell r="Z71">
            <v>9</v>
          </cell>
          <cell r="AA71">
            <v>9.1</v>
          </cell>
          <cell r="AD71">
            <v>7.0979999999999999</v>
          </cell>
          <cell r="AE71">
            <v>7.1980000000000004</v>
          </cell>
          <cell r="AF71">
            <v>7.1429999999999998</v>
          </cell>
          <cell r="AG71">
            <v>7.0979999999999999</v>
          </cell>
          <cell r="AH71">
            <v>7.2880000000000003</v>
          </cell>
          <cell r="AI71">
            <v>7.1429999999999998</v>
          </cell>
        </row>
        <row r="72">
          <cell r="Y72">
            <v>1180</v>
          </cell>
          <cell r="Z72">
            <v>9.1999999999999993</v>
          </cell>
          <cell r="AA72">
            <v>9</v>
          </cell>
          <cell r="AD72">
            <v>7.1260000000000003</v>
          </cell>
          <cell r="AE72">
            <v>7.3330000000000002</v>
          </cell>
          <cell r="AF72">
            <v>7.1059999999999999</v>
          </cell>
          <cell r="AG72">
            <v>7.1260000000000003</v>
          </cell>
          <cell r="AH72">
            <v>7.3230000000000004</v>
          </cell>
          <cell r="AI72">
            <v>7.1059999999999999</v>
          </cell>
        </row>
        <row r="73">
          <cell r="Y73">
            <v>1200</v>
          </cell>
          <cell r="Z73">
            <v>10.199999999999999</v>
          </cell>
          <cell r="AA73">
            <v>9.1</v>
          </cell>
          <cell r="AD73">
            <v>7.1609999999999996</v>
          </cell>
          <cell r="AE73">
            <v>7.2549999999999999</v>
          </cell>
          <cell r="AF73">
            <v>7.1269999999999998</v>
          </cell>
          <cell r="AG73">
            <v>7.1609999999999996</v>
          </cell>
          <cell r="AH73">
            <v>7.3549999999999995</v>
          </cell>
          <cell r="AI73">
            <v>7.1269999999999998</v>
          </cell>
        </row>
        <row r="74">
          <cell r="Y74">
            <v>1220</v>
          </cell>
          <cell r="Z74">
            <v>10</v>
          </cell>
          <cell r="AA74">
            <v>9.1</v>
          </cell>
          <cell r="AD74">
            <v>7.17</v>
          </cell>
          <cell r="AE74">
            <v>7.4</v>
          </cell>
          <cell r="AF74">
            <v>7.1619999999999999</v>
          </cell>
          <cell r="AG74">
            <v>7.17</v>
          </cell>
          <cell r="AH74">
            <v>7.3800000000000008</v>
          </cell>
          <cell r="AI74">
            <v>7.1619999999999999</v>
          </cell>
        </row>
        <row r="75">
          <cell r="Y75">
            <v>1223</v>
          </cell>
          <cell r="Z75">
            <v>10</v>
          </cell>
          <cell r="AA75">
            <v>9</v>
          </cell>
          <cell r="AD75">
            <v>7.1790000000000003</v>
          </cell>
          <cell r="AE75">
            <v>7.3719999999999999</v>
          </cell>
          <cell r="AF75">
            <v>7.1630000000000003</v>
          </cell>
          <cell r="AG75">
            <v>7.1790000000000003</v>
          </cell>
          <cell r="AH75">
            <v>7.3819999999999997</v>
          </cell>
          <cell r="AI75">
            <v>7.1630000000000003</v>
          </cell>
        </row>
        <row r="76">
          <cell r="Y76">
            <v>1232</v>
          </cell>
          <cell r="Z76">
            <v>9.6</v>
          </cell>
          <cell r="AA76">
            <v>9</v>
          </cell>
          <cell r="AD76">
            <v>7.2069999999999999</v>
          </cell>
          <cell r="AE76">
            <v>7.2969999999999997</v>
          </cell>
          <cell r="AF76">
            <v>7.1779999999999999</v>
          </cell>
          <cell r="AG76">
            <v>7.2069999999999999</v>
          </cell>
          <cell r="AH76">
            <v>7.3769999999999998</v>
          </cell>
          <cell r="AI76">
            <v>7.1779999999999999</v>
          </cell>
        </row>
        <row r="77">
          <cell r="Y77">
            <v>1237</v>
          </cell>
          <cell r="Z77">
            <v>9.8000000000000007</v>
          </cell>
          <cell r="AA77">
            <v>9</v>
          </cell>
          <cell r="AD77">
            <v>7.1920000000000002</v>
          </cell>
          <cell r="AE77">
            <v>7.3049999999999997</v>
          </cell>
          <cell r="AF77">
            <v>7.2069999999999999</v>
          </cell>
          <cell r="AG77">
            <v>7.1920000000000002</v>
          </cell>
          <cell r="AH77">
            <v>7.375</v>
          </cell>
          <cell r="AI77">
            <v>7.2069999999999999</v>
          </cell>
        </row>
        <row r="78">
          <cell r="Y78">
            <v>1240</v>
          </cell>
          <cell r="Z78">
            <v>10</v>
          </cell>
          <cell r="AA78">
            <v>9</v>
          </cell>
          <cell r="AD78">
            <v>7.1749999999999998</v>
          </cell>
          <cell r="AE78">
            <v>7.3280000000000003</v>
          </cell>
          <cell r="AF78">
            <v>7.2210000000000001</v>
          </cell>
          <cell r="AG78">
            <v>7.1749999999999998</v>
          </cell>
          <cell r="AH78">
            <v>7.3780000000000001</v>
          </cell>
          <cell r="AI78">
            <v>7.2210000000000001</v>
          </cell>
        </row>
        <row r="79">
          <cell r="Y79">
            <v>1242</v>
          </cell>
          <cell r="Z79">
            <v>10.1</v>
          </cell>
          <cell r="AA79">
            <v>9</v>
          </cell>
          <cell r="AD79">
            <v>7.1710000000000003</v>
          </cell>
          <cell r="AE79">
            <v>7.34</v>
          </cell>
          <cell r="AF79">
            <v>7.2240000000000002</v>
          </cell>
          <cell r="AG79">
            <v>7.1710000000000003</v>
          </cell>
          <cell r="AH79">
            <v>7.38</v>
          </cell>
          <cell r="AI79">
            <v>7.2240000000000002</v>
          </cell>
        </row>
        <row r="80">
          <cell r="Y80">
            <v>1260</v>
          </cell>
          <cell r="Z80">
            <v>8.9</v>
          </cell>
          <cell r="AA80">
            <v>9</v>
          </cell>
          <cell r="AD80">
            <v>7.1980000000000004</v>
          </cell>
          <cell r="AE80">
            <v>7.3840000000000003</v>
          </cell>
          <cell r="AF80">
            <v>7.3659999999999997</v>
          </cell>
          <cell r="AG80">
            <v>7.1980000000000004</v>
          </cell>
          <cell r="AH80">
            <v>7.4039999999999999</v>
          </cell>
          <cell r="AI80">
            <v>7.3659999999999997</v>
          </cell>
        </row>
        <row r="81">
          <cell r="Y81">
            <v>1280</v>
          </cell>
          <cell r="Z81">
            <v>9</v>
          </cell>
          <cell r="AA81">
            <v>9</v>
          </cell>
          <cell r="AD81">
            <v>7.26</v>
          </cell>
          <cell r="AE81">
            <v>7.4450000000000003</v>
          </cell>
          <cell r="AF81">
            <v>7.266</v>
          </cell>
          <cell r="AG81">
            <v>7.26</v>
          </cell>
          <cell r="AH81">
            <v>7.4450000000000003</v>
          </cell>
          <cell r="AI81">
            <v>7.266</v>
          </cell>
        </row>
        <row r="82">
          <cell r="Y82">
            <v>1300</v>
          </cell>
          <cell r="Z82">
            <v>8.9</v>
          </cell>
          <cell r="AA82">
            <v>9</v>
          </cell>
          <cell r="AD82">
            <v>7.3049999999999997</v>
          </cell>
          <cell r="AE82">
            <v>7.4870000000000001</v>
          </cell>
          <cell r="AF82">
            <v>7.2960000000000003</v>
          </cell>
          <cell r="AG82">
            <v>7.3049999999999997</v>
          </cell>
          <cell r="AH82">
            <v>7.4670000000000005</v>
          </cell>
          <cell r="AI82">
            <v>7.2960000000000003</v>
          </cell>
        </row>
        <row r="83">
          <cell r="Y83">
            <v>1320</v>
          </cell>
          <cell r="Z83">
            <v>8.9</v>
          </cell>
          <cell r="AA83">
            <v>8.9</v>
          </cell>
          <cell r="AD83">
            <v>7.2869999999999999</v>
          </cell>
          <cell r="AE83">
            <v>7.45</v>
          </cell>
          <cell r="AF83">
            <v>7.2850000000000001</v>
          </cell>
          <cell r="AG83">
            <v>7.2869999999999999</v>
          </cell>
          <cell r="AH83">
            <v>7.45</v>
          </cell>
          <cell r="AI83">
            <v>7.2850000000000001</v>
          </cell>
        </row>
        <row r="84">
          <cell r="Y84">
            <v>1340</v>
          </cell>
          <cell r="Z84">
            <v>8.9</v>
          </cell>
          <cell r="AA84">
            <v>8.9</v>
          </cell>
          <cell r="AD84">
            <v>7.2960000000000003</v>
          </cell>
          <cell r="AE84">
            <v>7.4240000000000004</v>
          </cell>
          <cell r="AF84">
            <v>7.28</v>
          </cell>
          <cell r="AG84">
            <v>7.2960000000000003</v>
          </cell>
          <cell r="AH84">
            <v>7.444</v>
          </cell>
          <cell r="AI84">
            <v>7.28</v>
          </cell>
        </row>
        <row r="85">
          <cell r="Y85">
            <v>1360</v>
          </cell>
          <cell r="Z85">
            <v>8.9</v>
          </cell>
          <cell r="AA85">
            <v>9</v>
          </cell>
          <cell r="AD85">
            <v>7.3390000000000004</v>
          </cell>
          <cell r="AE85">
            <v>7.4560000000000004</v>
          </cell>
          <cell r="AF85">
            <v>7.3259999999999996</v>
          </cell>
          <cell r="AG85">
            <v>7.3390000000000004</v>
          </cell>
          <cell r="AH85">
            <v>7.4560000000000004</v>
          </cell>
          <cell r="AI85">
            <v>7.3259999999999996</v>
          </cell>
        </row>
        <row r="86">
          <cell r="Y86">
            <v>1380</v>
          </cell>
          <cell r="Z86">
            <v>8.9</v>
          </cell>
          <cell r="AA86">
            <v>9</v>
          </cell>
          <cell r="AD86">
            <v>7.3789999999999996</v>
          </cell>
          <cell r="AE86">
            <v>7.4470000000000001</v>
          </cell>
          <cell r="AF86">
            <v>7.3719999999999999</v>
          </cell>
          <cell r="AG86">
            <v>7.3789999999999996</v>
          </cell>
          <cell r="AH86">
            <v>7.4770000000000003</v>
          </cell>
          <cell r="AI86">
            <v>7.3719999999999999</v>
          </cell>
        </row>
        <row r="87">
          <cell r="Y87">
            <v>1400</v>
          </cell>
          <cell r="Z87">
            <v>8.9</v>
          </cell>
          <cell r="AA87">
            <v>8.9</v>
          </cell>
          <cell r="AD87">
            <v>7.4009999999999998</v>
          </cell>
          <cell r="AE87">
            <v>7.5030000000000001</v>
          </cell>
          <cell r="AF87">
            <v>7.41</v>
          </cell>
          <cell r="AG87">
            <v>7.4009999999999998</v>
          </cell>
          <cell r="AH87">
            <v>7.5129999999999999</v>
          </cell>
          <cell r="AI87">
            <v>7.41</v>
          </cell>
        </row>
        <row r="88">
          <cell r="Y88">
            <v>1420</v>
          </cell>
          <cell r="Z88">
            <v>8.9</v>
          </cell>
          <cell r="AA88">
            <v>8.9</v>
          </cell>
          <cell r="AD88">
            <v>7.43</v>
          </cell>
          <cell r="AE88">
            <v>7.5880000000000001</v>
          </cell>
          <cell r="AF88">
            <v>7.43</v>
          </cell>
          <cell r="AG88">
            <v>7.43</v>
          </cell>
          <cell r="AH88">
            <v>7.548</v>
          </cell>
          <cell r="AI88">
            <v>7.43</v>
          </cell>
        </row>
        <row r="89">
          <cell r="Y89">
            <v>1440</v>
          </cell>
          <cell r="Z89">
            <v>8.9</v>
          </cell>
          <cell r="AA89">
            <v>8.9</v>
          </cell>
          <cell r="AD89">
            <v>7.45</v>
          </cell>
          <cell r="AE89">
            <v>7.5460000000000003</v>
          </cell>
          <cell r="AF89">
            <v>7.4489999999999998</v>
          </cell>
          <cell r="AG89">
            <v>7.45</v>
          </cell>
          <cell r="AH89">
            <v>7.5860000000000003</v>
          </cell>
          <cell r="AI89">
            <v>7.4489999999999998</v>
          </cell>
        </row>
        <row r="90">
          <cell r="Y90">
            <v>1460</v>
          </cell>
          <cell r="Z90">
            <v>8.9</v>
          </cell>
          <cell r="AA90">
            <v>8.9</v>
          </cell>
          <cell r="AD90">
            <v>7.4649999999999999</v>
          </cell>
          <cell r="AE90">
            <v>7.6180000000000003</v>
          </cell>
          <cell r="AF90">
            <v>7.4779999999999998</v>
          </cell>
          <cell r="AG90">
            <v>7.4649999999999999</v>
          </cell>
          <cell r="AH90">
            <v>7.6230000000000002</v>
          </cell>
          <cell r="AI90">
            <v>7.4779999999999998</v>
          </cell>
        </row>
        <row r="91">
          <cell r="Y91">
            <v>1480</v>
          </cell>
          <cell r="Z91">
            <v>8.9</v>
          </cell>
          <cell r="AA91">
            <v>9</v>
          </cell>
          <cell r="AD91">
            <v>7.492</v>
          </cell>
          <cell r="AE91">
            <v>7.5949999999999998</v>
          </cell>
          <cell r="AF91">
            <v>7.5060000000000002</v>
          </cell>
          <cell r="AG91">
            <v>7.492</v>
          </cell>
          <cell r="AH91">
            <v>7.66</v>
          </cell>
          <cell r="AI91">
            <v>7.5060000000000002</v>
          </cell>
        </row>
        <row r="92">
          <cell r="Y92">
            <v>1483</v>
          </cell>
          <cell r="Z92">
            <v>8.9</v>
          </cell>
          <cell r="AA92">
            <v>9</v>
          </cell>
          <cell r="AD92">
            <v>7.4950000000000001</v>
          </cell>
          <cell r="AE92">
            <v>7.6440000000000001</v>
          </cell>
          <cell r="AF92">
            <v>7.51</v>
          </cell>
          <cell r="AG92">
            <v>7.4950000000000001</v>
          </cell>
          <cell r="AH92">
            <v>7.6660000000000004</v>
          </cell>
          <cell r="AI92">
            <v>7.51</v>
          </cell>
        </row>
        <row r="93">
          <cell r="Y93">
            <v>1490</v>
          </cell>
          <cell r="Z93">
            <v>8.6</v>
          </cell>
          <cell r="AA93">
            <v>9.1</v>
          </cell>
          <cell r="AD93">
            <v>7.4989999999999997</v>
          </cell>
          <cell r="AE93">
            <v>7.6769999999999996</v>
          </cell>
          <cell r="AF93">
            <v>7.4880000000000004</v>
          </cell>
          <cell r="AG93">
            <v>7.4989999999999997</v>
          </cell>
          <cell r="AH93">
            <v>7.68</v>
          </cell>
          <cell r="AI93">
            <v>7.4880000000000004</v>
          </cell>
        </row>
        <row r="94">
          <cell r="Y94">
            <v>1498</v>
          </cell>
          <cell r="Z94">
            <v>8.9</v>
          </cell>
          <cell r="AA94">
            <v>9</v>
          </cell>
          <cell r="AD94">
            <v>7.6139999999999999</v>
          </cell>
          <cell r="AE94">
            <v>7.6779999999999999</v>
          </cell>
          <cell r="AF94">
            <v>7.49</v>
          </cell>
          <cell r="AG94">
            <v>7.6139999999999999</v>
          </cell>
          <cell r="AH94">
            <v>7.6959999999999997</v>
          </cell>
          <cell r="AI94">
            <v>7.49</v>
          </cell>
        </row>
        <row r="95">
          <cell r="Y95">
            <v>1500</v>
          </cell>
          <cell r="Z95">
            <v>8.9</v>
          </cell>
          <cell r="AA95">
            <v>9</v>
          </cell>
          <cell r="AD95">
            <v>7.5860000000000003</v>
          </cell>
          <cell r="AE95">
            <v>7.694</v>
          </cell>
          <cell r="AF95">
            <v>7.5030000000000001</v>
          </cell>
          <cell r="AG95">
            <v>7.5860000000000003</v>
          </cell>
          <cell r="AH95">
            <v>7.7</v>
          </cell>
          <cell r="AI95">
            <v>7.5030000000000001</v>
          </cell>
        </row>
        <row r="96">
          <cell r="Y96">
            <v>1520</v>
          </cell>
          <cell r="Z96">
            <v>9</v>
          </cell>
          <cell r="AA96">
            <v>9</v>
          </cell>
          <cell r="AD96">
            <v>7.5279999999999996</v>
          </cell>
          <cell r="AE96">
            <v>7.7160000000000002</v>
          </cell>
          <cell r="AF96">
            <v>7.5629999999999997</v>
          </cell>
          <cell r="AG96">
            <v>7.5279999999999996</v>
          </cell>
          <cell r="AH96">
            <v>7.7370000000000001</v>
          </cell>
          <cell r="AI96">
            <v>7.5629999999999997</v>
          </cell>
        </row>
        <row r="97">
          <cell r="Y97">
            <v>1540</v>
          </cell>
          <cell r="Z97">
            <v>9</v>
          </cell>
          <cell r="AA97">
            <v>9</v>
          </cell>
          <cell r="AD97">
            <v>7.5810000000000004</v>
          </cell>
          <cell r="AE97">
            <v>7.7590000000000003</v>
          </cell>
          <cell r="AF97">
            <v>7.5750000000000002</v>
          </cell>
          <cell r="AG97">
            <v>7.5810000000000004</v>
          </cell>
          <cell r="AH97">
            <v>7.7720000000000002</v>
          </cell>
          <cell r="AI97">
            <v>7.5750000000000002</v>
          </cell>
        </row>
        <row r="98">
          <cell r="Y98">
            <v>1560</v>
          </cell>
          <cell r="Z98">
            <v>9</v>
          </cell>
          <cell r="AA98">
            <v>9</v>
          </cell>
          <cell r="AD98">
            <v>7.6070000000000002</v>
          </cell>
          <cell r="AE98">
            <v>7.7869999999999999</v>
          </cell>
          <cell r="AF98">
            <v>7.617</v>
          </cell>
          <cell r="AG98">
            <v>7.6070000000000002</v>
          </cell>
          <cell r="AH98">
            <v>7.806</v>
          </cell>
          <cell r="AI98">
            <v>7.617</v>
          </cell>
        </row>
        <row r="99">
          <cell r="Y99">
            <v>1580</v>
          </cell>
          <cell r="Z99">
            <v>9</v>
          </cell>
          <cell r="AA99">
            <v>9</v>
          </cell>
          <cell r="AD99">
            <v>7.6870000000000003</v>
          </cell>
          <cell r="AE99">
            <v>7.8380000000000001</v>
          </cell>
          <cell r="AF99">
            <v>7.649</v>
          </cell>
          <cell r="AG99">
            <v>7.6870000000000003</v>
          </cell>
          <cell r="AH99">
            <v>7.8280000000000003</v>
          </cell>
          <cell r="AI99">
            <v>7.649</v>
          </cell>
        </row>
        <row r="100">
          <cell r="Y100">
            <v>1600</v>
          </cell>
          <cell r="Z100">
            <v>9</v>
          </cell>
          <cell r="AA100">
            <v>8.9</v>
          </cell>
          <cell r="AD100">
            <v>7.657</v>
          </cell>
          <cell r="AE100">
            <v>7.7789999999999999</v>
          </cell>
          <cell r="AF100">
            <v>7.6059999999999999</v>
          </cell>
          <cell r="AG100">
            <v>7.657</v>
          </cell>
          <cell r="AH100">
            <v>7.8090000000000002</v>
          </cell>
          <cell r="AI100">
            <v>7.6059999999999999</v>
          </cell>
        </row>
        <row r="101">
          <cell r="Y101">
            <v>1620</v>
          </cell>
          <cell r="Z101">
            <v>9</v>
          </cell>
          <cell r="AA101">
            <v>9</v>
          </cell>
          <cell r="AD101">
            <v>7.6550000000000002</v>
          </cell>
          <cell r="AE101">
            <v>7.76</v>
          </cell>
          <cell r="AF101">
            <v>7.641</v>
          </cell>
          <cell r="AG101">
            <v>7.6550000000000002</v>
          </cell>
          <cell r="AH101">
            <v>7.7799999999999994</v>
          </cell>
          <cell r="AI101">
            <v>7.641</v>
          </cell>
        </row>
        <row r="102">
          <cell r="Y102">
            <v>1640</v>
          </cell>
          <cell r="Z102">
            <v>9</v>
          </cell>
          <cell r="AA102">
            <v>9</v>
          </cell>
          <cell r="AD102">
            <v>7.6360000000000001</v>
          </cell>
          <cell r="AE102">
            <v>7.7240000000000002</v>
          </cell>
          <cell r="AF102">
            <v>7.6550000000000002</v>
          </cell>
          <cell r="AG102">
            <v>7.6360000000000001</v>
          </cell>
          <cell r="AH102">
            <v>7.7839999999999998</v>
          </cell>
          <cell r="AI102">
            <v>7.6550000000000002</v>
          </cell>
        </row>
        <row r="103">
          <cell r="Y103">
            <v>1660</v>
          </cell>
          <cell r="Z103">
            <v>9</v>
          </cell>
          <cell r="AA103">
            <v>9</v>
          </cell>
          <cell r="AD103">
            <v>7.6609999999999996</v>
          </cell>
          <cell r="AE103">
            <v>7.84</v>
          </cell>
          <cell r="AF103">
            <v>7.6840000000000002</v>
          </cell>
          <cell r="AG103">
            <v>7.6609999999999996</v>
          </cell>
          <cell r="AH103">
            <v>7.8140000000000001</v>
          </cell>
          <cell r="AI103">
            <v>7.6840000000000002</v>
          </cell>
        </row>
        <row r="104">
          <cell r="Y104">
            <v>1680</v>
          </cell>
          <cell r="Z104">
            <v>9</v>
          </cell>
          <cell r="AA104">
            <v>9</v>
          </cell>
          <cell r="AD104">
            <v>7.6879999999999997</v>
          </cell>
          <cell r="AE104">
            <v>7.8170000000000002</v>
          </cell>
          <cell r="AF104">
            <v>7.7190000000000003</v>
          </cell>
          <cell r="AG104">
            <v>7.6879999999999997</v>
          </cell>
          <cell r="AH104">
            <v>7.8420000000000005</v>
          </cell>
          <cell r="AI104">
            <v>7.7190000000000003</v>
          </cell>
        </row>
        <row r="105">
          <cell r="Y105">
            <v>1700</v>
          </cell>
          <cell r="Z105">
            <v>9</v>
          </cell>
          <cell r="AA105">
            <v>9</v>
          </cell>
          <cell r="AD105">
            <v>7.7080000000000002</v>
          </cell>
          <cell r="AE105">
            <v>7.8719999999999999</v>
          </cell>
          <cell r="AF105">
            <v>7.7389999999999999</v>
          </cell>
          <cell r="AG105">
            <v>7.7080000000000002</v>
          </cell>
          <cell r="AH105">
            <v>7.8719999999999999</v>
          </cell>
          <cell r="AI105">
            <v>7.7389999999999999</v>
          </cell>
        </row>
        <row r="106">
          <cell r="Y106">
            <v>1720</v>
          </cell>
          <cell r="Z106">
            <v>9</v>
          </cell>
          <cell r="AA106">
            <v>9.1</v>
          </cell>
          <cell r="AD106">
            <v>7.7080000000000002</v>
          </cell>
          <cell r="AE106">
            <v>7.859</v>
          </cell>
          <cell r="AF106">
            <v>7.7460000000000004</v>
          </cell>
          <cell r="AG106">
            <v>7.7080000000000002</v>
          </cell>
          <cell r="AH106">
            <v>7.899</v>
          </cell>
          <cell r="AI106">
            <v>7.7460000000000004</v>
          </cell>
        </row>
        <row r="107">
          <cell r="Y107">
            <v>1740</v>
          </cell>
          <cell r="Z107">
            <v>9</v>
          </cell>
          <cell r="AA107">
            <v>9.1</v>
          </cell>
          <cell r="AD107">
            <v>7.718</v>
          </cell>
          <cell r="AE107">
            <v>7.9770000000000003</v>
          </cell>
          <cell r="AF107">
            <v>7.7869999999999999</v>
          </cell>
          <cell r="AG107">
            <v>7.718</v>
          </cell>
          <cell r="AH107">
            <v>7.9270000000000005</v>
          </cell>
          <cell r="AI107">
            <v>7.7869999999999999</v>
          </cell>
        </row>
        <row r="108">
          <cell r="Y108">
            <v>1760</v>
          </cell>
          <cell r="Z108">
            <v>8.9</v>
          </cell>
          <cell r="AA108">
            <v>9.1</v>
          </cell>
          <cell r="AD108">
            <v>7.75</v>
          </cell>
          <cell r="AE108">
            <v>7.8959999999999999</v>
          </cell>
          <cell r="AF108">
            <v>7.7859999999999996</v>
          </cell>
          <cell r="AG108">
            <v>7.75</v>
          </cell>
          <cell r="AH108">
            <v>7.9459999999999997</v>
          </cell>
          <cell r="AI108">
            <v>7.7859999999999996</v>
          </cell>
        </row>
        <row r="109">
          <cell r="Y109">
            <v>1780</v>
          </cell>
          <cell r="Z109">
            <v>8.9</v>
          </cell>
          <cell r="AA109">
            <v>9.1</v>
          </cell>
          <cell r="AD109">
            <v>7.7869999999999999</v>
          </cell>
          <cell r="AE109">
            <v>7.9139999999999997</v>
          </cell>
          <cell r="AF109">
            <v>7.8010000000000002</v>
          </cell>
          <cell r="AG109">
            <v>7.7869999999999999</v>
          </cell>
          <cell r="AH109">
            <v>7.9639999999999995</v>
          </cell>
          <cell r="AI109">
            <v>7.8010000000000002</v>
          </cell>
        </row>
        <row r="110">
          <cell r="Y110">
            <v>1800</v>
          </cell>
          <cell r="Z110">
            <v>8.9</v>
          </cell>
          <cell r="AA110">
            <v>9.1</v>
          </cell>
          <cell r="AD110">
            <v>7.7789999999999999</v>
          </cell>
          <cell r="AE110">
            <v>7.9770000000000003</v>
          </cell>
          <cell r="AF110">
            <v>7.8090000000000002</v>
          </cell>
          <cell r="AG110">
            <v>7.7789999999999999</v>
          </cell>
          <cell r="AH110">
            <v>7.9750000000000005</v>
          </cell>
          <cell r="AI110">
            <v>7.8090000000000002</v>
          </cell>
        </row>
        <row r="111">
          <cell r="Y111">
            <v>1820</v>
          </cell>
          <cell r="Z111">
            <v>8.6999999999999993</v>
          </cell>
          <cell r="AA111">
            <v>9.1</v>
          </cell>
          <cell r="AD111">
            <v>7.8079999999999998</v>
          </cell>
          <cell r="AE111">
            <v>7.9779999999999998</v>
          </cell>
          <cell r="AF111">
            <v>7.8150000000000004</v>
          </cell>
          <cell r="AG111">
            <v>7.8079999999999998</v>
          </cell>
          <cell r="AH111">
            <v>7.9879999999999995</v>
          </cell>
          <cell r="AI111">
            <v>7.8150000000000004</v>
          </cell>
        </row>
        <row r="112">
          <cell r="Y112">
            <v>1840</v>
          </cell>
          <cell r="Z112">
            <v>8.8000000000000007</v>
          </cell>
          <cell r="AA112">
            <v>9.1999999999999993</v>
          </cell>
          <cell r="AD112">
            <v>7.8460000000000001</v>
          </cell>
          <cell r="AE112">
            <v>7.9189999999999996</v>
          </cell>
          <cell r="AF112">
            <v>7.8789999999999996</v>
          </cell>
          <cell r="AG112">
            <v>7.8460000000000001</v>
          </cell>
          <cell r="AH112">
            <v>7.9989999999999997</v>
          </cell>
          <cell r="AI112">
            <v>7.8789999999999996</v>
          </cell>
        </row>
        <row r="113">
          <cell r="Y113">
            <v>1860</v>
          </cell>
          <cell r="Z113">
            <v>8.9</v>
          </cell>
          <cell r="AA113">
            <v>9.3000000000000007</v>
          </cell>
          <cell r="AD113">
            <v>7.867</v>
          </cell>
          <cell r="AE113">
            <v>8.0619999999999994</v>
          </cell>
          <cell r="AF113">
            <v>7.9109999999999996</v>
          </cell>
          <cell r="AG113">
            <v>7.867</v>
          </cell>
          <cell r="AH113">
            <v>8.0119999999999987</v>
          </cell>
          <cell r="AI113">
            <v>7.9109999999999996</v>
          </cell>
        </row>
        <row r="114">
          <cell r="Y114">
            <v>1880</v>
          </cell>
          <cell r="Z114">
            <v>8.9</v>
          </cell>
          <cell r="AA114">
            <v>9.1999999999999993</v>
          </cell>
          <cell r="AD114">
            <v>7.9029999999999996</v>
          </cell>
          <cell r="AE114">
            <v>7.9939999999999998</v>
          </cell>
          <cell r="AF114">
            <v>7.9020000000000001</v>
          </cell>
          <cell r="AG114">
            <v>7.9029999999999996</v>
          </cell>
          <cell r="AH114">
            <v>8.0239999999999991</v>
          </cell>
          <cell r="AI114">
            <v>7.9020000000000001</v>
          </cell>
        </row>
        <row r="115">
          <cell r="Y115">
            <v>1900</v>
          </cell>
          <cell r="Z115">
            <v>8.9</v>
          </cell>
          <cell r="AA115">
            <v>9.1999999999999993</v>
          </cell>
          <cell r="AD115">
            <v>7.8579999999999997</v>
          </cell>
          <cell r="AE115">
            <v>8.0359999999999996</v>
          </cell>
          <cell r="AF115">
            <v>7.9210000000000003</v>
          </cell>
          <cell r="AG115">
            <v>7.8579999999999997</v>
          </cell>
          <cell r="AH115">
            <v>8.0359999999999996</v>
          </cell>
          <cell r="AI115">
            <v>7.9210000000000003</v>
          </cell>
        </row>
        <row r="116">
          <cell r="Y116">
            <v>1914</v>
          </cell>
          <cell r="Z116">
            <v>8.8000000000000007</v>
          </cell>
          <cell r="AA116">
            <v>9.1999999999999993</v>
          </cell>
          <cell r="AD116">
            <v>7.8639999999999999</v>
          </cell>
          <cell r="AE116">
            <v>7.9880000000000004</v>
          </cell>
          <cell r="AF116">
            <v>7.9320000000000004</v>
          </cell>
          <cell r="AG116">
            <v>7.8639999999999999</v>
          </cell>
          <cell r="AH116">
            <v>8.0440000000000005</v>
          </cell>
          <cell r="AI116">
            <v>7.9320000000000004</v>
          </cell>
        </row>
        <row r="117">
          <cell r="Y117">
            <v>1920</v>
          </cell>
          <cell r="Z117">
            <v>8.4</v>
          </cell>
          <cell r="AA117">
            <v>9.1999999999999993</v>
          </cell>
          <cell r="AD117">
            <v>7.8689999999999998</v>
          </cell>
          <cell r="AE117">
            <v>7.984</v>
          </cell>
          <cell r="AF117">
            <v>7.9290000000000003</v>
          </cell>
          <cell r="AG117">
            <v>7.8689999999999998</v>
          </cell>
          <cell r="AH117">
            <v>8.048</v>
          </cell>
          <cell r="AI117">
            <v>7.9290000000000003</v>
          </cell>
        </row>
        <row r="118">
          <cell r="Y118">
            <v>1940</v>
          </cell>
          <cell r="Z118">
            <v>8.9</v>
          </cell>
          <cell r="AA118">
            <v>9.1999999999999993</v>
          </cell>
          <cell r="AD118">
            <v>7.8490000000000002</v>
          </cell>
          <cell r="AE118">
            <v>8.0310000000000006</v>
          </cell>
          <cell r="AF118">
            <v>7.8840000000000003</v>
          </cell>
          <cell r="AG118">
            <v>7.8490000000000002</v>
          </cell>
          <cell r="AH118">
            <v>8.0590000000000011</v>
          </cell>
          <cell r="AI118">
            <v>7.8840000000000003</v>
          </cell>
        </row>
        <row r="119">
          <cell r="Y119">
            <v>1944</v>
          </cell>
          <cell r="Z119">
            <v>8.9</v>
          </cell>
          <cell r="AA119">
            <v>9.1999999999999993</v>
          </cell>
          <cell r="AD119">
            <v>7.835</v>
          </cell>
          <cell r="AE119">
            <v>8.0809999999999995</v>
          </cell>
          <cell r="AF119">
            <v>7.8719999999999999</v>
          </cell>
          <cell r="AG119">
            <v>7.835</v>
          </cell>
          <cell r="AH119">
            <v>8.0609999999999999</v>
          </cell>
          <cell r="AI119">
            <v>7.8719999999999999</v>
          </cell>
        </row>
        <row r="120">
          <cell r="Y120">
            <v>1960</v>
          </cell>
          <cell r="Z120">
            <v>9.4</v>
          </cell>
          <cell r="AA120">
            <v>9.1999999999999993</v>
          </cell>
          <cell r="AD120">
            <v>7.8630000000000004</v>
          </cell>
          <cell r="AE120">
            <v>8.0890000000000004</v>
          </cell>
          <cell r="AF120">
            <v>7.915</v>
          </cell>
          <cell r="AG120">
            <v>7.8630000000000004</v>
          </cell>
          <cell r="AH120">
            <v>8.0690000000000008</v>
          </cell>
          <cell r="AI120">
            <v>7.915</v>
          </cell>
        </row>
        <row r="121">
          <cell r="Y121">
            <v>1974</v>
          </cell>
          <cell r="Z121">
            <v>9.1999999999999993</v>
          </cell>
          <cell r="AA121">
            <v>9.1999999999999993</v>
          </cell>
          <cell r="AD121">
            <v>7.8879999999999999</v>
          </cell>
          <cell r="AE121">
            <v>8.0139999999999993</v>
          </cell>
          <cell r="AF121">
            <v>7.9379999999999997</v>
          </cell>
          <cell r="AG121">
            <v>7.8879999999999999</v>
          </cell>
          <cell r="AH121">
            <v>8.0759999999999987</v>
          </cell>
          <cell r="AI121">
            <v>7.9379999999999997</v>
          </cell>
        </row>
        <row r="122">
          <cell r="Y122">
            <v>1980</v>
          </cell>
          <cell r="Z122">
            <v>9</v>
          </cell>
          <cell r="AA122">
            <v>9.1999999999999993</v>
          </cell>
          <cell r="AD122">
            <v>7.891</v>
          </cell>
          <cell r="AE122">
            <v>8.1240000000000006</v>
          </cell>
          <cell r="AF122">
            <v>7.9470000000000001</v>
          </cell>
          <cell r="AG122">
            <v>7.891</v>
          </cell>
          <cell r="AH122">
            <v>8.08</v>
          </cell>
          <cell r="AI122">
            <v>7.9470000000000001</v>
          </cell>
        </row>
        <row r="123">
          <cell r="Y123">
            <v>2000</v>
          </cell>
          <cell r="Z123">
            <v>8.9</v>
          </cell>
          <cell r="AA123">
            <v>9.3000000000000007</v>
          </cell>
          <cell r="AD123">
            <v>7.9320000000000004</v>
          </cell>
          <cell r="AE123">
            <v>8.1609999999999996</v>
          </cell>
          <cell r="AF123">
            <v>7.9889999999999999</v>
          </cell>
          <cell r="AG123">
            <v>7.9320000000000004</v>
          </cell>
          <cell r="AH123">
            <v>8.1029999999999998</v>
          </cell>
          <cell r="AI123">
            <v>7.9889999999999999</v>
          </cell>
        </row>
        <row r="124">
          <cell r="Y124">
            <v>2020</v>
          </cell>
          <cell r="Z124">
            <v>8.8000000000000007</v>
          </cell>
          <cell r="AA124">
            <v>9.4</v>
          </cell>
          <cell r="AD124">
            <v>7.9660000000000002</v>
          </cell>
          <cell r="AE124">
            <v>8.1790000000000003</v>
          </cell>
          <cell r="AF124">
            <v>7.9889999999999999</v>
          </cell>
          <cell r="AG124">
            <v>7.9660000000000002</v>
          </cell>
          <cell r="AH124">
            <v>8.1289999999999996</v>
          </cell>
          <cell r="AI124">
            <v>7.9889999999999999</v>
          </cell>
        </row>
        <row r="125">
          <cell r="Y125">
            <v>2040</v>
          </cell>
          <cell r="Z125">
            <v>8.6999999999999993</v>
          </cell>
          <cell r="AA125">
            <v>9.5</v>
          </cell>
          <cell r="AD125">
            <v>7.984</v>
          </cell>
          <cell r="AE125">
            <v>8.1259999999999994</v>
          </cell>
          <cell r="AF125">
            <v>8.0190000000000001</v>
          </cell>
          <cell r="AG125">
            <v>7.984</v>
          </cell>
          <cell r="AH125">
            <v>8.1559999999999988</v>
          </cell>
          <cell r="AI125">
            <v>8.0190000000000001</v>
          </cell>
        </row>
        <row r="126">
          <cell r="Y126">
            <v>2060</v>
          </cell>
          <cell r="Z126">
            <v>8.6</v>
          </cell>
          <cell r="AA126">
            <v>9.6</v>
          </cell>
          <cell r="AD126">
            <v>8.0009999999999994</v>
          </cell>
          <cell r="AE126">
            <v>8.11</v>
          </cell>
          <cell r="AF126">
            <v>8.0340000000000007</v>
          </cell>
          <cell r="AG126">
            <v>8.0009999999999994</v>
          </cell>
          <cell r="AH126">
            <v>8.1829999999999998</v>
          </cell>
          <cell r="AI126">
            <v>8.0340000000000007</v>
          </cell>
        </row>
        <row r="127">
          <cell r="Y127">
            <v>2080</v>
          </cell>
          <cell r="Z127">
            <v>8.5</v>
          </cell>
          <cell r="AA127">
            <v>9.6999999999999993</v>
          </cell>
          <cell r="AD127">
            <v>8.0649999999999995</v>
          </cell>
          <cell r="AE127">
            <v>8.1890000000000001</v>
          </cell>
          <cell r="AF127">
            <v>8.109</v>
          </cell>
          <cell r="AG127">
            <v>8.0649999999999995</v>
          </cell>
          <cell r="AH127">
            <v>8.2149999999999999</v>
          </cell>
          <cell r="AI127">
            <v>8.109</v>
          </cell>
        </row>
        <row r="128">
          <cell r="Y128">
            <v>2100</v>
          </cell>
          <cell r="Z128">
            <v>8.5</v>
          </cell>
          <cell r="AA128">
            <v>9.3000000000000007</v>
          </cell>
          <cell r="AD128">
            <v>8.0749999999999993</v>
          </cell>
          <cell r="AE128">
            <v>8.2080000000000002</v>
          </cell>
          <cell r="AF128">
            <v>8.218</v>
          </cell>
          <cell r="AG128">
            <v>8.0749999999999993</v>
          </cell>
          <cell r="AH128">
            <v>8.2479999999999993</v>
          </cell>
          <cell r="AI128">
            <v>8.218</v>
          </cell>
        </row>
        <row r="129">
          <cell r="Y129">
            <v>2120</v>
          </cell>
          <cell r="Z129">
            <v>8.5</v>
          </cell>
          <cell r="AA129">
            <v>9.8000000000000007</v>
          </cell>
          <cell r="AD129">
            <v>8.1370000000000005</v>
          </cell>
          <cell r="AE129">
            <v>8.2050000000000001</v>
          </cell>
          <cell r="AF129">
            <v>8.1530000000000005</v>
          </cell>
          <cell r="AG129">
            <v>8.1370000000000005</v>
          </cell>
          <cell r="AH129">
            <v>8.2850000000000001</v>
          </cell>
          <cell r="AI129">
            <v>8.1530000000000005</v>
          </cell>
        </row>
        <row r="130">
          <cell r="Y130">
            <v>2140</v>
          </cell>
          <cell r="Z130">
            <v>8.5</v>
          </cell>
          <cell r="AA130">
            <v>9.9</v>
          </cell>
          <cell r="AD130">
            <v>8.2129999999999992</v>
          </cell>
          <cell r="AE130">
            <v>8.3450000000000006</v>
          </cell>
          <cell r="AF130">
            <v>8.2739999999999991</v>
          </cell>
          <cell r="AG130">
            <v>8.2129999999999992</v>
          </cell>
          <cell r="AH130">
            <v>8.3450000000000006</v>
          </cell>
          <cell r="AI130">
            <v>8.2739999999999991</v>
          </cell>
        </row>
        <row r="131">
          <cell r="Y131">
            <v>2160</v>
          </cell>
          <cell r="Z131">
            <v>8.1999999999999993</v>
          </cell>
          <cell r="AA131">
            <v>10.1</v>
          </cell>
          <cell r="AD131">
            <v>8.2810000000000006</v>
          </cell>
          <cell r="AE131">
            <v>8.4130000000000003</v>
          </cell>
          <cell r="AF131">
            <v>8.4459999999999997</v>
          </cell>
          <cell r="AG131">
            <v>8.2810000000000006</v>
          </cell>
          <cell r="AH131">
            <v>8.4130000000000003</v>
          </cell>
          <cell r="AI131">
            <v>8.4459999999999997</v>
          </cell>
        </row>
        <row r="132">
          <cell r="Y132">
            <v>2173</v>
          </cell>
          <cell r="Z132">
            <v>8.4</v>
          </cell>
          <cell r="AA132">
            <v>9.6999999999999993</v>
          </cell>
          <cell r="AD132">
            <v>8.3230000000000004</v>
          </cell>
          <cell r="AE132">
            <v>8.4529999999999994</v>
          </cell>
          <cell r="AF132">
            <v>8.5359999999999996</v>
          </cell>
          <cell r="AG132">
            <v>8.3230000000000004</v>
          </cell>
          <cell r="AH132">
            <v>8.4529999999999994</v>
          </cell>
          <cell r="AI132">
            <v>8.5359999999999996</v>
          </cell>
        </row>
        <row r="133">
          <cell r="Y133">
            <v>2180</v>
          </cell>
          <cell r="Z133">
            <v>9</v>
          </cell>
          <cell r="AA133">
            <v>9.4</v>
          </cell>
          <cell r="AD133">
            <v>8.3130000000000006</v>
          </cell>
          <cell r="AE133">
            <v>8.4719999999999995</v>
          </cell>
          <cell r="AF133">
            <v>8.5050000000000008</v>
          </cell>
          <cell r="AG133">
            <v>8.3130000000000006</v>
          </cell>
          <cell r="AH133">
            <v>8.4719999999999995</v>
          </cell>
          <cell r="AI133">
            <v>8.5050000000000008</v>
          </cell>
        </row>
        <row r="134">
          <cell r="Y134">
            <v>2188</v>
          </cell>
          <cell r="Z134">
            <v>9.4</v>
          </cell>
          <cell r="AA134">
            <v>9</v>
          </cell>
          <cell r="AD134">
            <v>8.2889999999999997</v>
          </cell>
          <cell r="AE134">
            <v>8.3930000000000007</v>
          </cell>
          <cell r="AF134">
            <v>8.4749999999999996</v>
          </cell>
          <cell r="AG134">
            <v>8.2889999999999997</v>
          </cell>
          <cell r="AH134">
            <v>8.4830000000000005</v>
          </cell>
          <cell r="AI134">
            <v>8.4749999999999996</v>
          </cell>
        </row>
        <row r="135">
          <cell r="Y135">
            <v>2200</v>
          </cell>
          <cell r="Z135">
            <v>9.6999999999999993</v>
          </cell>
          <cell r="AA135">
            <v>8.6</v>
          </cell>
          <cell r="AD135">
            <v>8.27</v>
          </cell>
          <cell r="AE135">
            <v>8.5</v>
          </cell>
          <cell r="AF135">
            <v>8.5570000000000004</v>
          </cell>
          <cell r="AG135">
            <v>8.27</v>
          </cell>
          <cell r="AH135">
            <v>8.5</v>
          </cell>
          <cell r="AI135">
            <v>8.5570000000000004</v>
          </cell>
        </row>
        <row r="136">
          <cell r="Y136">
            <v>2202</v>
          </cell>
          <cell r="Z136">
            <v>9.6</v>
          </cell>
          <cell r="AA136">
            <v>8.6</v>
          </cell>
          <cell r="AD136">
            <v>8.282</v>
          </cell>
          <cell r="AE136">
            <v>8.5030000000000001</v>
          </cell>
          <cell r="AF136">
            <v>8.57</v>
          </cell>
          <cell r="AG136">
            <v>8.282</v>
          </cell>
          <cell r="AH136">
            <v>8.5030000000000001</v>
          </cell>
          <cell r="AI136">
            <v>8.57</v>
          </cell>
        </row>
        <row r="137">
          <cell r="Y137">
            <v>2220</v>
          </cell>
          <cell r="Z137">
            <v>9.4</v>
          </cell>
          <cell r="AA137">
            <v>8.6999999999999993</v>
          </cell>
          <cell r="AD137">
            <v>8.36</v>
          </cell>
          <cell r="AE137">
            <v>8.5039999999999996</v>
          </cell>
          <cell r="AF137">
            <v>8.4610000000000003</v>
          </cell>
          <cell r="AG137">
            <v>8.36</v>
          </cell>
          <cell r="AH137">
            <v>8.4939999999999998</v>
          </cell>
          <cell r="AI137">
            <v>8.4610000000000003</v>
          </cell>
        </row>
        <row r="138">
          <cell r="Y138">
            <v>2240</v>
          </cell>
          <cell r="Z138">
            <v>9.5</v>
          </cell>
          <cell r="AA138">
            <v>8.6999999999999993</v>
          </cell>
          <cell r="AD138">
            <v>8.3209999999999997</v>
          </cell>
          <cell r="AE138">
            <v>8.4619999999999997</v>
          </cell>
          <cell r="AF138">
            <v>8.3680000000000003</v>
          </cell>
          <cell r="AG138">
            <v>8.3209999999999997</v>
          </cell>
          <cell r="AH138">
            <v>8.4619999999999997</v>
          </cell>
          <cell r="AI138">
            <v>8.3680000000000003</v>
          </cell>
        </row>
        <row r="139">
          <cell r="Y139">
            <v>2260</v>
          </cell>
          <cell r="Z139">
            <v>9.4</v>
          </cell>
          <cell r="AA139">
            <v>8.5</v>
          </cell>
          <cell r="AD139">
            <v>8.3049999999999997</v>
          </cell>
          <cell r="AE139">
            <v>8.4480000000000004</v>
          </cell>
          <cell r="AF139">
            <v>8.3729999999999993</v>
          </cell>
          <cell r="AG139">
            <v>8.3049999999999997</v>
          </cell>
          <cell r="AH139">
            <v>8.423</v>
          </cell>
          <cell r="AI139">
            <v>8.3729999999999993</v>
          </cell>
        </row>
        <row r="140">
          <cell r="Y140">
            <v>2280</v>
          </cell>
          <cell r="Z140">
            <v>9.3000000000000007</v>
          </cell>
          <cell r="AA140">
            <v>8.9</v>
          </cell>
          <cell r="AD140">
            <v>8.2940000000000005</v>
          </cell>
          <cell r="AE140">
            <v>8.3650000000000002</v>
          </cell>
          <cell r="AF140">
            <v>8.3209999999999997</v>
          </cell>
          <cell r="AG140">
            <v>8.2940000000000005</v>
          </cell>
          <cell r="AH140">
            <v>8.4049999999999994</v>
          </cell>
          <cell r="AI140">
            <v>8.3209999999999997</v>
          </cell>
        </row>
        <row r="141">
          <cell r="Y141">
            <v>2300</v>
          </cell>
          <cell r="Z141">
            <v>9.3000000000000007</v>
          </cell>
          <cell r="AA141">
            <v>9</v>
          </cell>
          <cell r="AD141">
            <v>8.2880000000000003</v>
          </cell>
          <cell r="AE141">
            <v>8.4179999999999993</v>
          </cell>
          <cell r="AF141">
            <v>8.2889999999999997</v>
          </cell>
          <cell r="AG141">
            <v>8.2880000000000003</v>
          </cell>
          <cell r="AH141">
            <v>8.4019999999999992</v>
          </cell>
          <cell r="AI141">
            <v>8.2889999999999997</v>
          </cell>
        </row>
        <row r="142">
          <cell r="Y142">
            <v>2320</v>
          </cell>
          <cell r="Z142">
            <v>9.1999999999999993</v>
          </cell>
          <cell r="AA142">
            <v>9.1</v>
          </cell>
          <cell r="AD142">
            <v>8.2370000000000001</v>
          </cell>
          <cell r="AE142">
            <v>8.3960000000000008</v>
          </cell>
          <cell r="AF142">
            <v>8.31</v>
          </cell>
          <cell r="AG142">
            <v>8.2370000000000001</v>
          </cell>
          <cell r="AH142">
            <v>8.3960000000000008</v>
          </cell>
          <cell r="AI142">
            <v>8.31</v>
          </cell>
        </row>
        <row r="143">
          <cell r="Y143">
            <v>2340</v>
          </cell>
          <cell r="Z143">
            <v>9.1999999999999993</v>
          </cell>
          <cell r="AA143">
            <v>9.1</v>
          </cell>
          <cell r="AD143">
            <v>8.1820000000000004</v>
          </cell>
          <cell r="AE143">
            <v>8.3460000000000001</v>
          </cell>
          <cell r="AF143">
            <v>8.3070000000000004</v>
          </cell>
          <cell r="AG143">
            <v>8.1820000000000004</v>
          </cell>
          <cell r="AH143">
            <v>8.3979999999999997</v>
          </cell>
          <cell r="AI143">
            <v>8.3070000000000004</v>
          </cell>
        </row>
        <row r="144">
          <cell r="Y144">
            <v>2360</v>
          </cell>
          <cell r="Z144">
            <v>9.1999999999999993</v>
          </cell>
          <cell r="AA144">
            <v>9.1</v>
          </cell>
          <cell r="AD144">
            <v>8.2129999999999992</v>
          </cell>
          <cell r="AE144">
            <v>8.4469999999999992</v>
          </cell>
          <cell r="AF144">
            <v>8.3160000000000007</v>
          </cell>
          <cell r="AG144">
            <v>8.2129999999999992</v>
          </cell>
          <cell r="AH144">
            <v>8.4219999999999988</v>
          </cell>
          <cell r="AI144">
            <v>8.3160000000000007</v>
          </cell>
        </row>
        <row r="145">
          <cell r="Y145">
            <v>2380</v>
          </cell>
          <cell r="Z145">
            <v>9.1999999999999993</v>
          </cell>
          <cell r="AA145">
            <v>9.1</v>
          </cell>
          <cell r="AD145">
            <v>8.2720000000000002</v>
          </cell>
          <cell r="AE145">
            <v>8.4469999999999992</v>
          </cell>
          <cell r="AF145">
            <v>8.3149999999999995</v>
          </cell>
          <cell r="AG145">
            <v>8.2720000000000002</v>
          </cell>
          <cell r="AH145">
            <v>8.4469999999999992</v>
          </cell>
          <cell r="AI145">
            <v>8.3149999999999995</v>
          </cell>
        </row>
        <row r="146">
          <cell r="Y146">
            <v>2400</v>
          </cell>
          <cell r="Z146">
            <v>9.1</v>
          </cell>
          <cell r="AA146">
            <v>9.1999999999999993</v>
          </cell>
          <cell r="AD146">
            <v>8.3019999999999996</v>
          </cell>
          <cell r="AE146">
            <v>8.4789999999999992</v>
          </cell>
          <cell r="AF146">
            <v>8.3239999999999998</v>
          </cell>
          <cell r="AG146">
            <v>8.3019999999999996</v>
          </cell>
          <cell r="AH146">
            <v>8.4789999999999992</v>
          </cell>
          <cell r="AI146">
            <v>8.3239999999999998</v>
          </cell>
        </row>
        <row r="147">
          <cell r="Y147">
            <v>2420</v>
          </cell>
          <cell r="Z147">
            <v>9.1</v>
          </cell>
          <cell r="AA147">
            <v>9.1</v>
          </cell>
          <cell r="AD147">
            <v>8.3109999999999999</v>
          </cell>
          <cell r="AE147">
            <v>8.5239999999999991</v>
          </cell>
          <cell r="AF147">
            <v>8.3960000000000008</v>
          </cell>
          <cell r="AG147">
            <v>8.3109999999999999</v>
          </cell>
          <cell r="AH147">
            <v>8.5139999999999993</v>
          </cell>
          <cell r="AI147">
            <v>8.3960000000000008</v>
          </cell>
        </row>
        <row r="148">
          <cell r="Y148">
            <v>2440</v>
          </cell>
          <cell r="Z148">
            <v>8.6999999999999993</v>
          </cell>
          <cell r="AA148">
            <v>9.4</v>
          </cell>
          <cell r="AD148">
            <v>8.3670000000000009</v>
          </cell>
          <cell r="AE148">
            <v>8.5060000000000002</v>
          </cell>
          <cell r="AF148">
            <v>8.4209999999999994</v>
          </cell>
          <cell r="AG148">
            <v>8.3670000000000009</v>
          </cell>
          <cell r="AH148">
            <v>8.5459999999999994</v>
          </cell>
          <cell r="AI148">
            <v>8.4209999999999994</v>
          </cell>
        </row>
        <row r="149">
          <cell r="Y149">
            <v>2460</v>
          </cell>
          <cell r="Z149">
            <v>9</v>
          </cell>
          <cell r="AA149">
            <v>9.4</v>
          </cell>
          <cell r="AD149">
            <v>8.3620000000000001</v>
          </cell>
          <cell r="AE149">
            <v>8.5670000000000002</v>
          </cell>
          <cell r="AF149">
            <v>8.4350000000000005</v>
          </cell>
          <cell r="AG149">
            <v>8.3620000000000001</v>
          </cell>
          <cell r="AH149">
            <v>8.577</v>
          </cell>
          <cell r="AI149">
            <v>8.4350000000000005</v>
          </cell>
        </row>
        <row r="150">
          <cell r="Y150">
            <v>2480</v>
          </cell>
          <cell r="Z150">
            <v>9</v>
          </cell>
          <cell r="AA150">
            <v>9.4</v>
          </cell>
          <cell r="AD150">
            <v>8.4260000000000002</v>
          </cell>
          <cell r="AE150">
            <v>8.6110000000000007</v>
          </cell>
          <cell r="AF150">
            <v>8.4410000000000007</v>
          </cell>
          <cell r="AG150">
            <v>8.4260000000000002</v>
          </cell>
          <cell r="AH150">
            <v>8.6110000000000007</v>
          </cell>
          <cell r="AI150">
            <v>8.4410000000000007</v>
          </cell>
        </row>
        <row r="151">
          <cell r="Y151">
            <v>2500</v>
          </cell>
          <cell r="Z151">
            <v>9.1</v>
          </cell>
          <cell r="AA151">
            <v>9.1999999999999993</v>
          </cell>
          <cell r="AD151">
            <v>8.4670000000000005</v>
          </cell>
          <cell r="AE151">
            <v>8.6509999999999998</v>
          </cell>
          <cell r="AF151">
            <v>8.4629999999999992</v>
          </cell>
          <cell r="AG151">
            <v>8.4670000000000005</v>
          </cell>
          <cell r="AH151">
            <v>8.641</v>
          </cell>
          <cell r="AI151">
            <v>8.4629999999999992</v>
          </cell>
        </row>
        <row r="152">
          <cell r="Y152">
            <v>2520</v>
          </cell>
          <cell r="Z152">
            <v>9.1</v>
          </cell>
          <cell r="AA152">
            <v>9.1999999999999993</v>
          </cell>
          <cell r="AD152">
            <v>8.4920000000000009</v>
          </cell>
          <cell r="AE152">
            <v>8.6620000000000008</v>
          </cell>
          <cell r="AF152">
            <v>8.5120000000000005</v>
          </cell>
          <cell r="AG152">
            <v>8.4920000000000009</v>
          </cell>
          <cell r="AH152">
            <v>8.6620000000000008</v>
          </cell>
          <cell r="AI152">
            <v>8.5120000000000005</v>
          </cell>
        </row>
        <row r="153">
          <cell r="Y153">
            <v>2540</v>
          </cell>
          <cell r="Z153">
            <v>9.1</v>
          </cell>
          <cell r="AA153">
            <v>9.1999999999999993</v>
          </cell>
          <cell r="AD153">
            <v>8.5709999999999997</v>
          </cell>
          <cell r="AE153">
            <v>8.6690000000000005</v>
          </cell>
          <cell r="AF153">
            <v>8.5410000000000004</v>
          </cell>
          <cell r="AG153">
            <v>8.5709999999999997</v>
          </cell>
          <cell r="AH153">
            <v>8.6790000000000003</v>
          </cell>
          <cell r="AI153">
            <v>8.5410000000000004</v>
          </cell>
        </row>
        <row r="154">
          <cell r="Y154">
            <v>2548</v>
          </cell>
          <cell r="Z154">
            <v>9.1999999999999993</v>
          </cell>
          <cell r="AA154">
            <v>9.1999999999999993</v>
          </cell>
          <cell r="AD154">
            <v>8.5619999999999994</v>
          </cell>
          <cell r="AE154">
            <v>8.6869999999999994</v>
          </cell>
          <cell r="AF154">
            <v>8.5559999999999992</v>
          </cell>
          <cell r="AG154">
            <v>8.5619999999999994</v>
          </cell>
          <cell r="AH154">
            <v>8.6869999999999994</v>
          </cell>
          <cell r="AI154">
            <v>8.5559999999999992</v>
          </cell>
        </row>
        <row r="155">
          <cell r="Y155">
            <v>2560</v>
          </cell>
          <cell r="Z155">
            <v>9.1</v>
          </cell>
          <cell r="AA155">
            <v>8.6999999999999993</v>
          </cell>
          <cell r="AD155">
            <v>8.548</v>
          </cell>
          <cell r="AE155">
            <v>8.6940000000000008</v>
          </cell>
          <cell r="AF155">
            <v>8.5679999999999996</v>
          </cell>
          <cell r="AG155">
            <v>8.548</v>
          </cell>
          <cell r="AH155">
            <v>8.7040000000000006</v>
          </cell>
          <cell r="AI155">
            <v>8.5679999999999996</v>
          </cell>
        </row>
        <row r="156">
          <cell r="Y156">
            <v>2580</v>
          </cell>
          <cell r="Z156">
            <v>9</v>
          </cell>
          <cell r="AA156">
            <v>7.5</v>
          </cell>
          <cell r="AD156">
            <v>8.58</v>
          </cell>
          <cell r="AE156">
            <v>8.7279999999999998</v>
          </cell>
          <cell r="AF156">
            <v>8.5709999999999997</v>
          </cell>
          <cell r="AG156">
            <v>8.58</v>
          </cell>
          <cell r="AH156">
            <v>8.7279999999999998</v>
          </cell>
          <cell r="AI156">
            <v>8.5709999999999997</v>
          </cell>
        </row>
        <row r="157">
          <cell r="Y157">
            <v>2600</v>
          </cell>
          <cell r="Z157">
            <v>8.8000000000000007</v>
          </cell>
          <cell r="AA157">
            <v>7.8</v>
          </cell>
          <cell r="AD157">
            <v>8.6080000000000005</v>
          </cell>
          <cell r="AE157">
            <v>8.7360000000000007</v>
          </cell>
          <cell r="AF157">
            <v>8.6020000000000003</v>
          </cell>
          <cell r="AG157">
            <v>8.6080000000000005</v>
          </cell>
          <cell r="AH157">
            <v>8.766</v>
          </cell>
          <cell r="AI157">
            <v>8.6020000000000003</v>
          </cell>
        </row>
        <row r="158">
          <cell r="Y158">
            <v>2620</v>
          </cell>
          <cell r="Z158">
            <v>8.4</v>
          </cell>
          <cell r="AA158">
            <v>8.1999999999999993</v>
          </cell>
          <cell r="AD158">
            <v>8.7390000000000008</v>
          </cell>
          <cell r="AE158">
            <v>8.7929999999999993</v>
          </cell>
          <cell r="AF158">
            <v>8.6419999999999995</v>
          </cell>
          <cell r="AG158">
            <v>8.7390000000000008</v>
          </cell>
          <cell r="AH158">
            <v>8.8329999999999984</v>
          </cell>
          <cell r="AI158">
            <v>8.6419999999999995</v>
          </cell>
        </row>
        <row r="159">
          <cell r="Y159">
            <v>2640</v>
          </cell>
          <cell r="Z159">
            <v>8.8000000000000007</v>
          </cell>
          <cell r="AA159">
            <v>8.4</v>
          </cell>
          <cell r="AD159">
            <v>8.8889999999999993</v>
          </cell>
          <cell r="AE159">
            <v>8.9149999999999991</v>
          </cell>
          <cell r="AF159">
            <v>8.7170000000000005</v>
          </cell>
          <cell r="AG159">
            <v>8.8889999999999993</v>
          </cell>
          <cell r="AH159">
            <v>8.9149999999999991</v>
          </cell>
          <cell r="AI159">
            <v>8.7170000000000005</v>
          </cell>
        </row>
        <row r="160">
          <cell r="Y160">
            <v>2653</v>
          </cell>
          <cell r="Z160">
            <v>8.4</v>
          </cell>
          <cell r="AA160">
            <v>8.3000000000000007</v>
          </cell>
          <cell r="AD160">
            <v>8.8569999999999993</v>
          </cell>
          <cell r="AE160">
            <v>8.8930000000000007</v>
          </cell>
          <cell r="AF160">
            <v>8.7530000000000001</v>
          </cell>
          <cell r="AG160">
            <v>8.8569999999999993</v>
          </cell>
          <cell r="AH160">
            <v>8.9329999999999998</v>
          </cell>
          <cell r="AI160">
            <v>8.7530000000000001</v>
          </cell>
        </row>
        <row r="161">
          <cell r="Y161">
            <v>2660</v>
          </cell>
          <cell r="Z161">
            <v>8.3000000000000007</v>
          </cell>
          <cell r="AA161">
            <v>8.1999999999999993</v>
          </cell>
          <cell r="AD161">
            <v>8.8230000000000004</v>
          </cell>
          <cell r="AE161">
            <v>8.9450000000000003</v>
          </cell>
          <cell r="AF161">
            <v>8.7829999999999995</v>
          </cell>
          <cell r="AG161">
            <v>8.8230000000000004</v>
          </cell>
          <cell r="AH161">
            <v>8.9450000000000003</v>
          </cell>
          <cell r="AI161">
            <v>8.7829999999999995</v>
          </cell>
        </row>
        <row r="162">
          <cell r="Y162">
            <v>2668</v>
          </cell>
          <cell r="Z162">
            <v>8.5</v>
          </cell>
          <cell r="AA162">
            <v>8.3000000000000007</v>
          </cell>
          <cell r="AD162">
            <v>8.7889999999999997</v>
          </cell>
          <cell r="AE162">
            <v>8.8569999999999993</v>
          </cell>
          <cell r="AF162">
            <v>8.8260000000000005</v>
          </cell>
          <cell r="AG162">
            <v>8.7889999999999997</v>
          </cell>
          <cell r="AH162">
            <v>8.9469999999999992</v>
          </cell>
          <cell r="AI162">
            <v>8.8260000000000005</v>
          </cell>
        </row>
        <row r="163">
          <cell r="Y163">
            <v>2680</v>
          </cell>
          <cell r="Z163">
            <v>9</v>
          </cell>
          <cell r="AA163">
            <v>8.4</v>
          </cell>
          <cell r="AD163">
            <v>8.7840000000000007</v>
          </cell>
          <cell r="AE163">
            <v>8.9489999999999998</v>
          </cell>
          <cell r="AF163">
            <v>8.7959999999999994</v>
          </cell>
          <cell r="AG163">
            <v>8.7840000000000007</v>
          </cell>
          <cell r="AH163">
            <v>8.9489999999999998</v>
          </cell>
          <cell r="AI163">
            <v>8.7959999999999994</v>
          </cell>
        </row>
        <row r="164">
          <cell r="Y164">
            <v>2683</v>
          </cell>
          <cell r="Z164">
            <v>9.1</v>
          </cell>
          <cell r="AA164">
            <v>9</v>
          </cell>
          <cell r="AD164">
            <v>8.7859999999999996</v>
          </cell>
          <cell r="AE164">
            <v>8.8989999999999991</v>
          </cell>
          <cell r="AF164">
            <v>8.7799999999999994</v>
          </cell>
          <cell r="AG164">
            <v>8.7859999999999996</v>
          </cell>
          <cell r="AH164">
            <v>8.9489999999999998</v>
          </cell>
          <cell r="AI164">
            <v>8.7799999999999994</v>
          </cell>
        </row>
        <row r="165">
          <cell r="Y165">
            <v>2700</v>
          </cell>
          <cell r="Z165">
            <v>9.3000000000000007</v>
          </cell>
          <cell r="AA165">
            <v>9</v>
          </cell>
          <cell r="AD165">
            <v>8.7970000000000006</v>
          </cell>
          <cell r="AE165">
            <v>8.9670000000000005</v>
          </cell>
          <cell r="AF165">
            <v>8.7080000000000002</v>
          </cell>
          <cell r="AG165">
            <v>8.7970000000000006</v>
          </cell>
          <cell r="AH165">
            <v>8.9570000000000007</v>
          </cell>
          <cell r="AI165">
            <v>8.7080000000000002</v>
          </cell>
        </row>
        <row r="166">
          <cell r="Y166">
            <v>2720</v>
          </cell>
          <cell r="Z166">
            <v>9.1999999999999993</v>
          </cell>
          <cell r="AA166">
            <v>9.1999999999999993</v>
          </cell>
          <cell r="AD166">
            <v>8.8070000000000004</v>
          </cell>
          <cell r="AE166">
            <v>8.9589999999999996</v>
          </cell>
          <cell r="AF166">
            <v>8.7520000000000007</v>
          </cell>
          <cell r="AG166">
            <v>8.8070000000000004</v>
          </cell>
          <cell r="AH166">
            <v>8.9689999999999994</v>
          </cell>
          <cell r="AI166">
            <v>8.7520000000000007</v>
          </cell>
        </row>
        <row r="167">
          <cell r="Y167">
            <v>2740</v>
          </cell>
          <cell r="Z167">
            <v>9.3000000000000007</v>
          </cell>
          <cell r="AA167">
            <v>9.1</v>
          </cell>
          <cell r="AD167">
            <v>8.8620000000000001</v>
          </cell>
          <cell r="AE167">
            <v>8.9969999999999999</v>
          </cell>
          <cell r="AF167">
            <v>8.7910000000000004</v>
          </cell>
          <cell r="AG167">
            <v>8.8620000000000001</v>
          </cell>
          <cell r="AH167">
            <v>8.9969999999999999</v>
          </cell>
          <cell r="AI167">
            <v>8.7910000000000004</v>
          </cell>
        </row>
        <row r="168">
          <cell r="Y168">
            <v>2760</v>
          </cell>
          <cell r="Z168">
            <v>9.3000000000000007</v>
          </cell>
          <cell r="AA168">
            <v>9.1999999999999993</v>
          </cell>
          <cell r="AD168">
            <v>8.84</v>
          </cell>
          <cell r="AE168">
            <v>8.9949999999999992</v>
          </cell>
          <cell r="AF168">
            <v>8.8699999999999992</v>
          </cell>
          <cell r="AG168">
            <v>8.84</v>
          </cell>
          <cell r="AH168">
            <v>9.0249999999999986</v>
          </cell>
          <cell r="AI168">
            <v>8.8699999999999992</v>
          </cell>
        </row>
        <row r="169">
          <cell r="Y169">
            <v>2780</v>
          </cell>
          <cell r="Z169">
            <v>9.1999999999999993</v>
          </cell>
          <cell r="AA169">
            <v>9</v>
          </cell>
          <cell r="AD169">
            <v>8.9160000000000004</v>
          </cell>
          <cell r="AE169">
            <v>9.0879999999999992</v>
          </cell>
          <cell r="AF169">
            <v>8.8919999999999995</v>
          </cell>
          <cell r="AG169">
            <v>8.9160000000000004</v>
          </cell>
          <cell r="AH169">
            <v>9.0779999999999994</v>
          </cell>
          <cell r="AI169">
            <v>8.8919999999999995</v>
          </cell>
        </row>
        <row r="170">
          <cell r="Y170">
            <v>2800</v>
          </cell>
          <cell r="Z170">
            <v>9</v>
          </cell>
          <cell r="AA170">
            <v>8.9</v>
          </cell>
          <cell r="AD170">
            <v>8.9239999999999995</v>
          </cell>
          <cell r="AE170">
            <v>9.1129999999999995</v>
          </cell>
          <cell r="AF170">
            <v>8.9770000000000003</v>
          </cell>
          <cell r="AG170">
            <v>8.9239999999999995</v>
          </cell>
          <cell r="AH170">
            <v>9.1329999999999991</v>
          </cell>
          <cell r="AI170">
            <v>8.9770000000000003</v>
          </cell>
        </row>
        <row r="171">
          <cell r="Y171">
            <v>2820</v>
          </cell>
          <cell r="Z171">
            <v>9</v>
          </cell>
          <cell r="AA171">
            <v>8.9</v>
          </cell>
          <cell r="AD171">
            <v>8.9710000000000001</v>
          </cell>
          <cell r="AE171">
            <v>9.202</v>
          </cell>
          <cell r="AF171">
            <v>9.0069999999999997</v>
          </cell>
          <cell r="AG171">
            <v>8.9710000000000001</v>
          </cell>
          <cell r="AH171">
            <v>9.202</v>
          </cell>
          <cell r="AI171">
            <v>9.0069999999999997</v>
          </cell>
        </row>
        <row r="172">
          <cell r="Y172">
            <v>2840</v>
          </cell>
          <cell r="Z172">
            <v>8.9</v>
          </cell>
          <cell r="AA172">
            <v>8.9</v>
          </cell>
          <cell r="AD172">
            <v>9.06</v>
          </cell>
          <cell r="AE172">
            <v>9.282</v>
          </cell>
          <cell r="AF172">
            <v>9.0869999999999997</v>
          </cell>
          <cell r="AG172">
            <v>9.06</v>
          </cell>
          <cell r="AH172">
            <v>9.2720000000000002</v>
          </cell>
          <cell r="AI172">
            <v>9.0869999999999997</v>
          </cell>
        </row>
        <row r="173">
          <cell r="Y173">
            <v>2860</v>
          </cell>
          <cell r="Z173">
            <v>8.9</v>
          </cell>
          <cell r="AA173">
            <v>8.9</v>
          </cell>
          <cell r="AD173">
            <v>9.1479999999999997</v>
          </cell>
          <cell r="AE173">
            <v>9.2620000000000005</v>
          </cell>
          <cell r="AF173">
            <v>9.17</v>
          </cell>
          <cell r="AG173">
            <v>9.1479999999999997</v>
          </cell>
          <cell r="AH173">
            <v>9.322000000000001</v>
          </cell>
          <cell r="AI173">
            <v>9.17</v>
          </cell>
        </row>
        <row r="174">
          <cell r="Y174">
            <v>2880</v>
          </cell>
          <cell r="Z174">
            <v>8.9</v>
          </cell>
          <cell r="AA174">
            <v>9</v>
          </cell>
          <cell r="AD174">
            <v>9.2189999999999994</v>
          </cell>
          <cell r="AE174">
            <v>9.3539999999999992</v>
          </cell>
          <cell r="AF174">
            <v>9.2170000000000005</v>
          </cell>
          <cell r="AG174">
            <v>9.2189999999999994</v>
          </cell>
          <cell r="AH174">
            <v>9.3739999999999988</v>
          </cell>
          <cell r="AI174">
            <v>9.2170000000000005</v>
          </cell>
        </row>
        <row r="175">
          <cell r="Y175">
            <v>2900</v>
          </cell>
          <cell r="Z175">
            <v>8.9</v>
          </cell>
          <cell r="AA175">
            <v>9</v>
          </cell>
          <cell r="AD175">
            <v>9.3049999999999997</v>
          </cell>
          <cell r="AE175">
            <v>9.39</v>
          </cell>
          <cell r="AF175">
            <v>9.2590000000000003</v>
          </cell>
          <cell r="AG175">
            <v>9.3049999999999997</v>
          </cell>
          <cell r="AH175">
            <v>9.43</v>
          </cell>
          <cell r="AI175">
            <v>9.2590000000000003</v>
          </cell>
        </row>
        <row r="176">
          <cell r="Y176">
            <v>2920</v>
          </cell>
          <cell r="Z176">
            <v>8.9</v>
          </cell>
          <cell r="AA176">
            <v>8.9</v>
          </cell>
          <cell r="AD176">
            <v>9.3260000000000005</v>
          </cell>
          <cell r="AE176">
            <v>9.5269999999999992</v>
          </cell>
          <cell r="AF176">
            <v>9.327</v>
          </cell>
          <cell r="AG176">
            <v>9.3260000000000005</v>
          </cell>
          <cell r="AH176">
            <v>9.4870000000000001</v>
          </cell>
          <cell r="AI176">
            <v>9.327</v>
          </cell>
        </row>
        <row r="177">
          <cell r="Y177">
            <v>2940</v>
          </cell>
          <cell r="Z177">
            <v>9</v>
          </cell>
          <cell r="AA177">
            <v>8.9</v>
          </cell>
          <cell r="AD177">
            <v>9.3829999999999991</v>
          </cell>
          <cell r="AE177">
            <v>9.5679999999999996</v>
          </cell>
          <cell r="AF177">
            <v>9.3930000000000007</v>
          </cell>
          <cell r="AG177">
            <v>9.3829999999999991</v>
          </cell>
          <cell r="AH177">
            <v>9.548</v>
          </cell>
          <cell r="AI177">
            <v>9.3930000000000007</v>
          </cell>
        </row>
        <row r="178">
          <cell r="Y178">
            <v>2960</v>
          </cell>
          <cell r="Z178">
            <v>9.1</v>
          </cell>
          <cell r="AA178">
            <v>8.9</v>
          </cell>
          <cell r="AD178">
            <v>9.4749999999999996</v>
          </cell>
          <cell r="AE178">
            <v>9.5220000000000002</v>
          </cell>
          <cell r="AF178">
            <v>9.4489999999999998</v>
          </cell>
          <cell r="AG178">
            <v>9.4749999999999996</v>
          </cell>
          <cell r="AH178">
            <v>9.6120000000000001</v>
          </cell>
          <cell r="AI178">
            <v>9.4489999999999998</v>
          </cell>
        </row>
        <row r="179">
          <cell r="Y179">
            <v>2980</v>
          </cell>
          <cell r="Z179">
            <v>9.1999999999999993</v>
          </cell>
          <cell r="AA179">
            <v>9.1999999999999993</v>
          </cell>
          <cell r="AD179">
            <v>9.5289999999999999</v>
          </cell>
          <cell r="AE179">
            <v>9.6850000000000005</v>
          </cell>
          <cell r="AF179">
            <v>9.4990000000000006</v>
          </cell>
          <cell r="AG179">
            <v>9.5289999999999999</v>
          </cell>
          <cell r="AH179">
            <v>9.6850000000000005</v>
          </cell>
          <cell r="AI179">
            <v>9.4990000000000006</v>
          </cell>
        </row>
        <row r="180">
          <cell r="Y180">
            <v>3000</v>
          </cell>
          <cell r="Z180">
            <v>9.1999999999999993</v>
          </cell>
          <cell r="AA180">
            <v>9.1999999999999993</v>
          </cell>
          <cell r="AD180">
            <v>9.5470000000000006</v>
          </cell>
          <cell r="AE180">
            <v>9.6419999999999995</v>
          </cell>
          <cell r="AF180">
            <v>9.5649999999999995</v>
          </cell>
          <cell r="AG180">
            <v>9.5470000000000006</v>
          </cell>
          <cell r="AH180">
            <v>9.7619999999999987</v>
          </cell>
          <cell r="AI180">
            <v>9.5649999999999995</v>
          </cell>
        </row>
        <row r="181">
          <cell r="Y181">
            <v>3016</v>
          </cell>
          <cell r="Z181">
            <v>19.5</v>
          </cell>
          <cell r="AA181">
            <v>13.4</v>
          </cell>
          <cell r="AD181">
            <v>9.7690000000000001</v>
          </cell>
          <cell r="AE181">
            <v>9.8699999999999992</v>
          </cell>
          <cell r="AF181">
            <v>9.6539999999999999</v>
          </cell>
          <cell r="AG181">
            <v>9.7690000000000001</v>
          </cell>
          <cell r="AH181">
            <v>9.8699999999999992</v>
          </cell>
          <cell r="AI181">
            <v>9.6539999999999999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一"/>
      <sheetName val="資料輸入"/>
      <sheetName val="空白單價"/>
      <sheetName val="空白一"/>
      <sheetName val="空明細表"/>
      <sheetName val="第一明細"/>
      <sheetName val="第二明細"/>
      <sheetName val="預算書封面"/>
      <sheetName val="基本單價一"/>
      <sheetName val="基本單價二"/>
      <sheetName val="基本單價三"/>
      <sheetName val="空白基本單價"/>
      <sheetName val="資料輸入 (2)"/>
      <sheetName val="土方(回填)"/>
      <sheetName val="預算書送審單"/>
      <sheetName val="Sheet6"/>
      <sheetName val="工程決算書"/>
      <sheetName val="工程決算書二"/>
      <sheetName val="預算明細表"/>
      <sheetName val="參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3">
          <cell r="F23">
            <v>6433942.7400000002</v>
          </cell>
        </row>
      </sheetData>
      <sheetData sheetId="17">
        <row r="20">
          <cell r="F20">
            <v>469984</v>
          </cell>
        </row>
      </sheetData>
      <sheetData sheetId="18" refreshError="1"/>
      <sheetData sheetId="19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變更預算書(處)"/>
      <sheetName val="E708-3歷次變更設計預算書"/>
      <sheetName val="變更預算明細"/>
      <sheetName val="變更數量總表"/>
      <sheetName val="171標誌架減作數量"/>
      <sheetName val="增設農路"/>
      <sheetName val="人月展延"/>
      <sheetName val="擋土牆"/>
      <sheetName val="農路高程附表"/>
      <sheetName val="農路高程附表-1"/>
      <sheetName val="擋土牆A"/>
      <sheetName val="擋土牆A1"/>
      <sheetName val="擋土牆B"/>
      <sheetName val="擋土牆C,D"/>
      <sheetName val="主線土石方"/>
      <sheetName val="主線土石方-2"/>
      <sheetName val="西庄連絡道土石方"/>
      <sheetName val="增設農路土石方"/>
      <sheetName val="增設農路土石方-1"/>
      <sheetName val="BOX3-7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基本單價"/>
      <sheetName val="單價數量計算"/>
      <sheetName val="總數量表"/>
      <sheetName val="預算標單"/>
      <sheetName val="標單單價分析表"/>
      <sheetName val="變更預算明細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驗收證明書"/>
      <sheetName val="審核單"/>
      <sheetName val="預算書圖廠商自檢表"/>
      <sheetName val="聯絡人"/>
      <sheetName val="小清單"/>
      <sheetName val="施工綱要規範目錄"/>
      <sheetName val="工程內容概要"/>
      <sheetName val="重點"/>
      <sheetName val="基本資料"/>
      <sheetName val="鋼筋重量"/>
      <sheetName val="地區清單"/>
      <sheetName val="監造紀要"/>
      <sheetName val="材料設備管制及檢（試）驗等抽驗"/>
      <sheetName val="重要事項紀錄"/>
      <sheetName val="放樣自檢表"/>
      <sheetName val="土方自檢表"/>
      <sheetName val="鋼筋自檢表"/>
      <sheetName val="模板自檢表"/>
      <sheetName val="混凝土自檢表"/>
      <sheetName val="預力樁自檢表"/>
      <sheetName val="土石籠自檢表"/>
      <sheetName val="交維自檢表"/>
      <sheetName val="汛期防災自檢表"/>
      <sheetName val="汛期防災作業流程圖"/>
      <sheetName val="圖目錄"/>
      <sheetName val="材料試驗表"/>
      <sheetName val="結算"/>
      <sheetName val="監造報表封面"/>
      <sheetName val="基本單價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B10">
            <v>41068</v>
          </cell>
        </row>
        <row r="13">
          <cell r="B13">
            <v>41070</v>
          </cell>
        </row>
        <row r="20">
          <cell r="B20">
            <v>41143</v>
          </cell>
        </row>
        <row r="21">
          <cell r="B21">
            <v>90</v>
          </cell>
        </row>
        <row r="25">
          <cell r="B25">
            <v>41225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 "/>
      <sheetName val="No.1"/>
      <sheetName val="No.2"/>
      <sheetName val="No34"/>
      <sheetName val="No5"/>
      <sheetName val="估價說明"/>
      <sheetName val="基本單價"/>
      <sheetName val="單價分析"/>
      <sheetName val="數量"/>
      <sheetName val="鋼筋"/>
      <sheetName val="挖填"/>
      <sheetName val="軟岩"/>
      <sheetName val="Sheet1"/>
      <sheetName val="Sheet2"/>
      <sheetName val="Sheet3"/>
      <sheetName val="基本資料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發包預算明細"/>
      <sheetName val="單價分析(包商用)"/>
      <sheetName val="和平標價清單"/>
      <sheetName val="預算明細 "/>
      <sheetName val="數量計算表 "/>
      <sheetName val="單價分析"/>
      <sheetName val="0K+150岩方"/>
      <sheetName val="1K土方"/>
      <sheetName val="碎"/>
      <sheetName val="床"/>
      <sheetName val="床 (2)"/>
      <sheetName val="R"/>
      <sheetName val="模鋼"/>
      <sheetName val="AC標"/>
      <sheetName val="護坡"/>
      <sheetName val="結算明細"/>
      <sheetName val="結算驗收"/>
      <sheetName val="決算明細"/>
      <sheetName val="決算表"/>
      <sheetName val="單價"/>
      <sheetName val="保證金"/>
      <sheetName val="數量計算表"/>
      <sheetName val="數量計算表 (2)"/>
      <sheetName val="竣工數量計算"/>
      <sheetName val="竣工數量明細"/>
      <sheetName val="竣工土石方"/>
      <sheetName val="工程估價單(新增)"/>
      <sheetName val="進度表"/>
      <sheetName val="增減預算表"/>
      <sheetName val="增減明細(包商)"/>
      <sheetName val="增減明細"/>
      <sheetName val="估驗(1)"/>
      <sheetName val="估驗(2)"/>
      <sheetName val="估驗(3)"/>
      <sheetName val="請款單(1)"/>
      <sheetName val="請款單(2)"/>
      <sheetName val="請款單(3)"/>
      <sheetName val="付款表(1)"/>
      <sheetName val="付款表(2)"/>
      <sheetName val="付款表(3)"/>
      <sheetName val="付款表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0">
          <cell r="H10">
            <v>934.74</v>
          </cell>
        </row>
        <row r="16">
          <cell r="H16">
            <v>13.95</v>
          </cell>
        </row>
        <row r="32">
          <cell r="J32">
            <v>43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發包預算明細"/>
      <sheetName val="單價分析(包商用)"/>
      <sheetName val="和平標價清單"/>
      <sheetName val="預算明細 "/>
      <sheetName val="數量計算表 "/>
      <sheetName val="單價分析"/>
      <sheetName val="0K+150岩方"/>
      <sheetName val="1K土方"/>
      <sheetName val="碎"/>
      <sheetName val="床"/>
      <sheetName val="床 (2)"/>
      <sheetName val="R"/>
      <sheetName val="模鋼"/>
      <sheetName val="AC標"/>
      <sheetName val="護坡"/>
      <sheetName val="結算明細"/>
      <sheetName val="結算驗收"/>
      <sheetName val="決算明細"/>
      <sheetName val="決算表"/>
      <sheetName val="單價"/>
      <sheetName val="保證金"/>
      <sheetName val="數量計算表"/>
      <sheetName val="數量計算表 (2)"/>
      <sheetName val="竣工數量計算"/>
      <sheetName val="竣工數量明細"/>
      <sheetName val="竣工土石方"/>
      <sheetName val="工程估價單(新增)"/>
      <sheetName val="進度表"/>
      <sheetName val="增減預算表"/>
      <sheetName val="增減明細(包商)"/>
      <sheetName val="增減明細"/>
      <sheetName val="估驗(1)"/>
      <sheetName val="估驗(2)"/>
      <sheetName val="估驗(3)"/>
      <sheetName val="請款單(1)"/>
      <sheetName val="請款單(2)"/>
      <sheetName val="請款單(3)"/>
      <sheetName val="付款表(1)"/>
      <sheetName val="付款表(2)"/>
      <sheetName val="付款表(3)"/>
      <sheetName val="付款表(4)"/>
      <sheetName val="工程預算書"/>
      <sheetName val="數量表"/>
      <sheetName val="數量(含竣工)"/>
      <sheetName val="基本單價"/>
      <sheetName val="單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>
        <row r="10">
          <cell r="H10">
            <v>934.74</v>
          </cell>
        </row>
        <row r="16">
          <cell r="H16">
            <v>13.95</v>
          </cell>
        </row>
        <row r="32">
          <cell r="J32">
            <v>43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~索引~工程項目"/>
      <sheetName val="A1排水"/>
      <sheetName val="C2連外道路"/>
      <sheetName val="G1水土保持"/>
      <sheetName val="竹崎COR"/>
      <sheetName val="OK竹崎鄉名冊"/>
      <sheetName val="Sheet1"/>
      <sheetName val="基本單價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表(乙)"/>
      <sheetName val="預算書送審單"/>
      <sheetName val="預算書封面"/>
      <sheetName val="資料輸入"/>
      <sheetName val="發包.材料費"/>
      <sheetName val="第一號明細表"/>
      <sheetName val="第二三四號明細表"/>
      <sheetName val="備用"/>
      <sheetName val="工程設計標準"/>
      <sheetName val="單價分析數量輸入"/>
      <sheetName val="單價分析表1"/>
      <sheetName val="單價分析表2"/>
      <sheetName val="單價分析表3"/>
      <sheetName val="單價分析表4"/>
      <sheetName val="單價分析表5"/>
      <sheetName val="單價分析表6"/>
      <sheetName val="單價分析表7"/>
      <sheetName val="備用1"/>
      <sheetName val="備用2"/>
      <sheetName val="備用3"/>
      <sheetName val="備用4"/>
      <sheetName val="工程數量計算表〈丙〉"/>
      <sheetName val="工程數量計算表〈丙〉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標價清單"/>
      <sheetName val="預算明細"/>
      <sheetName val="土石方"/>
      <sheetName val="數量計算表"/>
      <sheetName val="單價分析"/>
      <sheetName val="結算明細"/>
      <sheetName val="竣工數量計算"/>
      <sheetName val="竣工數量明細"/>
      <sheetName val="竣工土石方"/>
      <sheetName val="單價分析(包商用)"/>
      <sheetName val="工程估價單(新增)"/>
      <sheetName val="進度表"/>
      <sheetName val="增減預算表"/>
      <sheetName val="增減明細(包商)"/>
      <sheetName val="增減明細"/>
      <sheetName val="決算明細"/>
      <sheetName val="決算表"/>
      <sheetName val="估驗(1)"/>
      <sheetName val="請款單(1)"/>
      <sheetName val="付款表(1)"/>
      <sheetName val="單價"/>
      <sheetName val="預2"/>
      <sheetName val="接法(估驗)"/>
      <sheetName val="數量表"/>
      <sheetName val="input"/>
      <sheetName val="輸入資料"/>
      <sheetName val="工程預算書 "/>
      <sheetName val="變更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71">
          <cell r="J71">
            <v>425</v>
          </cell>
        </row>
        <row r="90">
          <cell r="J90">
            <v>196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電信"/>
      <sheetName val="預算"/>
      <sheetName val="單價1"/>
      <sheetName val="單價2"/>
      <sheetName val="單價分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營繕決算表"/>
      <sheetName val="基本資料"/>
      <sheetName val="結算明細"/>
      <sheetName val="工程竣工驗收表"/>
      <sheetName val="計算表"/>
      <sheetName val="土方"/>
      <sheetName val="結算證明書"/>
      <sheetName val="驗收紀錄"/>
      <sheetName val="總表"/>
      <sheetName val="監工日報表"/>
      <sheetName val="參數"/>
      <sheetName val="單價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3">
          <cell r="D3">
            <v>37322</v>
          </cell>
          <cell r="E3">
            <v>37323</v>
          </cell>
          <cell r="F3">
            <v>37324</v>
          </cell>
          <cell r="G3">
            <v>37325</v>
          </cell>
          <cell r="H3">
            <v>37326</v>
          </cell>
          <cell r="I3">
            <v>37327</v>
          </cell>
          <cell r="J3">
            <v>37328</v>
          </cell>
          <cell r="K3">
            <v>37329</v>
          </cell>
          <cell r="L3">
            <v>37330</v>
          </cell>
          <cell r="M3">
            <v>37331</v>
          </cell>
          <cell r="N3">
            <v>37332</v>
          </cell>
          <cell r="O3">
            <v>37333</v>
          </cell>
          <cell r="P3">
            <v>37334</v>
          </cell>
          <cell r="Q3">
            <v>37335</v>
          </cell>
          <cell r="R3">
            <v>37336</v>
          </cell>
          <cell r="S3">
            <v>37337</v>
          </cell>
          <cell r="T3">
            <v>37338</v>
          </cell>
          <cell r="U3">
            <v>37339</v>
          </cell>
          <cell r="V3">
            <v>37340</v>
          </cell>
          <cell r="W3">
            <v>37341</v>
          </cell>
          <cell r="X3">
            <v>37342</v>
          </cell>
          <cell r="Y3">
            <v>37343</v>
          </cell>
          <cell r="Z3">
            <v>37344</v>
          </cell>
          <cell r="AA3">
            <v>37345</v>
          </cell>
          <cell r="AB3">
            <v>37346</v>
          </cell>
          <cell r="AC3">
            <v>37347</v>
          </cell>
          <cell r="AD3">
            <v>37348</v>
          </cell>
          <cell r="AE3">
            <v>37349</v>
          </cell>
          <cell r="AF3">
            <v>37350</v>
          </cell>
          <cell r="AG3">
            <v>37351</v>
          </cell>
          <cell r="AH3">
            <v>37352</v>
          </cell>
          <cell r="AI3">
            <v>37353</v>
          </cell>
          <cell r="AJ3">
            <v>37354</v>
          </cell>
          <cell r="AK3">
            <v>37355</v>
          </cell>
          <cell r="AL3">
            <v>37356</v>
          </cell>
          <cell r="AM3">
            <v>37357</v>
          </cell>
          <cell r="AN3">
            <v>37358</v>
          </cell>
          <cell r="AO3">
            <v>37359</v>
          </cell>
          <cell r="AP3">
            <v>37360</v>
          </cell>
          <cell r="AQ3">
            <v>37361</v>
          </cell>
          <cell r="AR3">
            <v>37362</v>
          </cell>
          <cell r="AS3">
            <v>37363</v>
          </cell>
          <cell r="AT3">
            <v>37364</v>
          </cell>
          <cell r="AU3">
            <v>37365</v>
          </cell>
          <cell r="AV3">
            <v>37366</v>
          </cell>
          <cell r="AW3">
            <v>37367</v>
          </cell>
          <cell r="AX3">
            <v>37368</v>
          </cell>
          <cell r="AY3">
            <v>37369</v>
          </cell>
          <cell r="AZ3">
            <v>37370</v>
          </cell>
          <cell r="BA3">
            <v>37371</v>
          </cell>
          <cell r="BB3">
            <v>37372</v>
          </cell>
          <cell r="BC3">
            <v>37373</v>
          </cell>
          <cell r="BD3">
            <v>37374</v>
          </cell>
          <cell r="BE3">
            <v>37375</v>
          </cell>
          <cell r="BF3">
            <v>37376</v>
          </cell>
          <cell r="BG3">
            <v>37377</v>
          </cell>
          <cell r="BH3">
            <v>37378</v>
          </cell>
          <cell r="BI3">
            <v>37379</v>
          </cell>
          <cell r="BJ3">
            <v>37380</v>
          </cell>
          <cell r="BK3">
            <v>37381</v>
          </cell>
          <cell r="BL3">
            <v>37382</v>
          </cell>
          <cell r="BM3">
            <v>37383</v>
          </cell>
          <cell r="BN3">
            <v>37384</v>
          </cell>
          <cell r="BO3">
            <v>37385</v>
          </cell>
          <cell r="BP3">
            <v>37386</v>
          </cell>
          <cell r="BQ3">
            <v>37387</v>
          </cell>
          <cell r="BR3">
            <v>37388</v>
          </cell>
          <cell r="BS3">
            <v>37389</v>
          </cell>
          <cell r="BT3">
            <v>37390</v>
          </cell>
          <cell r="BU3">
            <v>37391</v>
          </cell>
          <cell r="BV3">
            <v>37392</v>
          </cell>
          <cell r="BW3">
            <v>37393</v>
          </cell>
          <cell r="BX3">
            <v>37394</v>
          </cell>
          <cell r="BY3">
            <v>37395</v>
          </cell>
          <cell r="BZ3">
            <v>37396</v>
          </cell>
          <cell r="CA3">
            <v>37397</v>
          </cell>
          <cell r="CB3">
            <v>37398</v>
          </cell>
          <cell r="CC3">
            <v>37399</v>
          </cell>
          <cell r="CD3">
            <v>37400</v>
          </cell>
          <cell r="CE3">
            <v>37401</v>
          </cell>
          <cell r="CF3">
            <v>37402</v>
          </cell>
          <cell r="CG3">
            <v>37403</v>
          </cell>
        </row>
      </sheetData>
      <sheetData sheetId="9"/>
      <sheetData sheetId="10"/>
      <sheetData sheetId="11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電信"/>
      <sheetName val="預算"/>
      <sheetName val="單價1"/>
      <sheetName val="單價2"/>
      <sheetName val="計算表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營繕決算表"/>
      <sheetName val="基本資料"/>
      <sheetName val="結算明細"/>
      <sheetName val="工程竣工驗收表"/>
      <sheetName val="計算表"/>
      <sheetName val="土方"/>
      <sheetName val="結算證明書"/>
      <sheetName val="驗收紀錄"/>
      <sheetName val="總表"/>
      <sheetName val="監工日報表"/>
      <sheetName val="參數"/>
      <sheetName val="工程登記卡"/>
      <sheetName val="封面"/>
      <sheetName val="工程決算明細表"/>
      <sheetName val="監工日報表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4">
          <cell r="B4" t="str">
            <v>機械挖普通土</v>
          </cell>
        </row>
        <row r="5">
          <cell r="B5" t="str">
            <v>機械挖卵礫石</v>
          </cell>
        </row>
        <row r="6">
          <cell r="B6" t="str">
            <v>機械挖軟岩</v>
          </cell>
        </row>
        <row r="7">
          <cell r="B7" t="str">
            <v>機械挖硬岩</v>
          </cell>
        </row>
        <row r="8">
          <cell r="B8" t="str">
            <v>回填方</v>
          </cell>
        </row>
        <row r="9">
          <cell r="B9" t="str">
            <v>利用填方</v>
          </cell>
        </row>
        <row r="10">
          <cell r="B10" t="str">
            <v>廢方棄運</v>
          </cell>
        </row>
        <row r="11">
          <cell r="B11" t="str">
            <v>175 ㎏/㎝2混凝土</v>
          </cell>
        </row>
        <row r="12">
          <cell r="B12" t="str">
            <v>210 ㎏/㎝2混凝土</v>
          </cell>
        </row>
        <row r="13">
          <cell r="B13" t="str">
            <v>鋼筋及彎紮組立</v>
          </cell>
        </row>
        <row r="14">
          <cell r="B14" t="str">
            <v>軀體模板</v>
          </cell>
        </row>
        <row r="15">
          <cell r="B15" t="str">
            <v>河床疏浚費</v>
          </cell>
        </row>
        <row r="16">
          <cell r="B16" t="str">
            <v>4〞ψPVC洩水管及埋設</v>
          </cell>
        </row>
        <row r="17">
          <cell r="B17" t="str">
            <v>播灑草種子</v>
          </cell>
        </row>
        <row r="18">
          <cell r="B18" t="str">
            <v>施工機具搬運費</v>
          </cell>
        </row>
        <row r="19">
          <cell r="B19" t="str">
            <v>原有結構物損壞修護費</v>
          </cell>
        </row>
        <row r="20">
          <cell r="B20" t="str">
            <v>環境衛生維持費</v>
          </cell>
        </row>
        <row r="21">
          <cell r="B21" t="str">
            <v>擋土及移排水費</v>
          </cell>
        </row>
        <row r="22">
          <cell r="B22" t="str">
            <v>施工測量及放樣費</v>
          </cell>
        </row>
        <row r="23">
          <cell r="B23" t="str">
            <v>施工中交通安全設施費</v>
          </cell>
        </row>
        <row r="24">
          <cell r="B24" t="str">
            <v>銜接平順費</v>
          </cell>
        </row>
        <row r="25">
          <cell r="B25" t="str">
            <v>包商利潤</v>
          </cell>
        </row>
        <row r="26">
          <cell r="B26" t="str">
            <v>發包工作費</v>
          </cell>
        </row>
        <row r="27">
          <cell r="B27" t="str">
            <v>勞工安全衛生設備費</v>
          </cell>
        </row>
        <row r="28">
          <cell r="B28" t="str">
            <v>營造業綜合保險費</v>
          </cell>
        </row>
        <row r="29">
          <cell r="B29" t="str">
            <v>包商營業稅</v>
          </cell>
        </row>
        <row r="30">
          <cell r="B30" t="str">
            <v>空氣污染防治費</v>
          </cell>
        </row>
        <row r="31">
          <cell r="B31" t="str">
            <v>試驗費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基礎"/>
      <sheetName val="鋼筋"/>
      <sheetName val="梁"/>
      <sheetName val="單價分析表(1-11)"/>
      <sheetName val="數量表A"/>
    </sheetNames>
    <sheetDataSet>
      <sheetData sheetId="0" refreshError="1">
        <row r="15">
          <cell r="P15">
            <v>2</v>
          </cell>
        </row>
        <row r="16">
          <cell r="P16">
            <v>3</v>
          </cell>
        </row>
        <row r="17">
          <cell r="P17">
            <v>4</v>
          </cell>
        </row>
        <row r="18">
          <cell r="P18">
            <v>5</v>
          </cell>
        </row>
        <row r="19">
          <cell r="P19">
            <v>6</v>
          </cell>
        </row>
        <row r="20">
          <cell r="P20">
            <v>7</v>
          </cell>
        </row>
        <row r="21">
          <cell r="P21">
            <v>8</v>
          </cell>
        </row>
        <row r="22">
          <cell r="P22">
            <v>9</v>
          </cell>
        </row>
        <row r="23">
          <cell r="P23">
            <v>10</v>
          </cell>
        </row>
      </sheetData>
      <sheetData sheetId="1"/>
      <sheetData sheetId="2"/>
      <sheetData sheetId="3" refreshError="1"/>
      <sheetData sheetId="4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證明書"/>
      <sheetName val="明細"/>
      <sheetName val="結計"/>
      <sheetName val="紀錄"/>
      <sheetName val="送審單"/>
      <sheetName val="N"/>
      <sheetName val="工程預算書"/>
      <sheetName val="進度表"/>
      <sheetName val="預算總表"/>
      <sheetName val="預算明細"/>
      <sheetName val="單價分析表"/>
      <sheetName val="計算表"/>
      <sheetName val="土方"/>
      <sheetName val="估價單"/>
      <sheetName val="單價(空)"/>
      <sheetName val="水理及穩定封面"/>
      <sheetName val="空單"/>
      <sheetName val="變明細"/>
      <sheetName val="變計"/>
      <sheetName val="Sheet6"/>
      <sheetName val="Sheet7"/>
      <sheetName val="單價分析表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zoomScaleNormal="115" zoomScaleSheetLayoutView="100" workbookViewId="0">
      <selection activeCell="H13" sqref="H13"/>
    </sheetView>
  </sheetViews>
  <sheetFormatPr defaultColWidth="9" defaultRowHeight="16.5"/>
  <cols>
    <col min="1" max="1" width="5.625" style="40" customWidth="1"/>
    <col min="2" max="2" width="28" style="177" customWidth="1"/>
    <col min="3" max="3" width="26.625" style="178" customWidth="1"/>
    <col min="4" max="4" width="12.625" style="16" customWidth="1"/>
    <col min="5" max="5" width="3.625" style="42" customWidth="1"/>
    <col min="6" max="6" width="12.5" style="179" customWidth="1"/>
    <col min="7" max="7" width="5.625" style="42" customWidth="1"/>
    <col min="8" max="16384" width="9" style="40"/>
  </cols>
  <sheetData>
    <row r="1" spans="1:7" ht="18" customHeight="1">
      <c r="A1" s="235" t="s">
        <v>512</v>
      </c>
      <c r="B1" s="235"/>
      <c r="C1" s="235"/>
      <c r="D1" s="235"/>
      <c r="E1" s="235"/>
      <c r="F1" s="235"/>
      <c r="G1" s="235"/>
    </row>
    <row r="2" spans="1:7" ht="18" customHeight="1">
      <c r="A2" s="235"/>
      <c r="B2" s="235"/>
      <c r="C2" s="235"/>
      <c r="D2" s="235"/>
      <c r="E2" s="235"/>
      <c r="F2" s="235"/>
      <c r="G2" s="235"/>
    </row>
    <row r="3" spans="1:7" ht="21.95" customHeight="1">
      <c r="A3" s="237" t="s">
        <v>81</v>
      </c>
      <c r="B3" s="237"/>
      <c r="C3" s="237"/>
      <c r="D3" s="237"/>
      <c r="E3" s="237"/>
      <c r="F3" s="237"/>
      <c r="G3" s="237"/>
    </row>
    <row r="4" spans="1:7" ht="21.95" customHeight="1">
      <c r="A4" s="238" t="s">
        <v>511</v>
      </c>
      <c r="B4" s="238"/>
      <c r="C4" s="238"/>
      <c r="D4" s="238"/>
      <c r="E4" s="238"/>
      <c r="F4" s="238"/>
      <c r="G4" s="238"/>
    </row>
    <row r="5" spans="1:7" s="147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8" customFormat="1" ht="20.45" customHeight="1">
      <c r="A6" s="20" t="s">
        <v>29</v>
      </c>
      <c r="B6" s="236" t="s">
        <v>224</v>
      </c>
      <c r="C6" s="236"/>
      <c r="D6" s="236"/>
      <c r="E6" s="236"/>
      <c r="F6" s="236"/>
      <c r="G6" s="236"/>
    </row>
    <row r="7" spans="1:7" s="148" customFormat="1" ht="20.45" customHeight="1">
      <c r="A7" s="205">
        <v>1</v>
      </c>
      <c r="B7" s="49" t="s">
        <v>378</v>
      </c>
      <c r="C7" s="48" t="s">
        <v>243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8" customFormat="1" ht="22.5">
      <c r="A8" s="205">
        <f t="shared" ref="A8:A35" si="0">A7+1</f>
        <v>2</v>
      </c>
      <c r="B8" s="49" t="s">
        <v>379</v>
      </c>
      <c r="C8" s="146" t="s">
        <v>244</v>
      </c>
      <c r="D8" s="26">
        <f>表4_土方數量計算表!K34+'表2_道路排水工程數量統計表 '!T22</f>
        <v>1596.35</v>
      </c>
      <c r="E8" s="29" t="s">
        <v>5</v>
      </c>
      <c r="F8" s="27">
        <f t="shared" ref="F8:F31" si="1">ROUND(D8,0)</f>
        <v>1596</v>
      </c>
      <c r="G8" s="20" t="s">
        <v>6</v>
      </c>
    </row>
    <row r="9" spans="1:7" s="148" customFormat="1" ht="20.45" customHeight="1">
      <c r="A9" s="205">
        <f t="shared" si="0"/>
        <v>3</v>
      </c>
      <c r="B9" s="49" t="s">
        <v>380</v>
      </c>
      <c r="C9" s="48" t="s">
        <v>245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8" customFormat="1" ht="20.45" customHeight="1">
      <c r="A10" s="205">
        <f t="shared" si="0"/>
        <v>4</v>
      </c>
      <c r="B10" s="49" t="s">
        <v>82</v>
      </c>
      <c r="C10" s="48" t="s">
        <v>246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8" customFormat="1" ht="20.45" customHeight="1">
      <c r="A11" s="205">
        <f t="shared" si="0"/>
        <v>5</v>
      </c>
      <c r="B11" s="49" t="s">
        <v>397</v>
      </c>
      <c r="C11" s="48" t="s">
        <v>247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8" customFormat="1" ht="20.45" customHeight="1">
      <c r="A12" s="205">
        <f t="shared" si="0"/>
        <v>6</v>
      </c>
      <c r="B12" s="49" t="s">
        <v>74</v>
      </c>
      <c r="C12" s="48" t="s">
        <v>247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8" customFormat="1" ht="28.5">
      <c r="A13" s="205">
        <f t="shared" si="0"/>
        <v>7</v>
      </c>
      <c r="B13" s="49" t="s">
        <v>381</v>
      </c>
      <c r="C13" s="47" t="s">
        <v>248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8" customFormat="1" ht="28.5">
      <c r="A14" s="205">
        <f t="shared" si="0"/>
        <v>8</v>
      </c>
      <c r="B14" s="49" t="s">
        <v>382</v>
      </c>
      <c r="C14" s="47" t="s">
        <v>248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8" customFormat="1" ht="28.5">
      <c r="A15" s="205">
        <f t="shared" si="0"/>
        <v>9</v>
      </c>
      <c r="B15" s="49" t="s">
        <v>383</v>
      </c>
      <c r="C15" s="48" t="s">
        <v>250</v>
      </c>
      <c r="D15" s="54">
        <f>'表2_道路排水工程數量統計表 '!T6</f>
        <v>5943.72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8" customFormat="1" ht="28.5">
      <c r="A16" s="205">
        <f t="shared" si="0"/>
        <v>10</v>
      </c>
      <c r="B16" s="49" t="s">
        <v>68</v>
      </c>
      <c r="C16" s="48" t="s">
        <v>250</v>
      </c>
      <c r="D16" s="54">
        <f>'表2_道路排水工程數量統計表 '!T7</f>
        <v>411.84</v>
      </c>
      <c r="E16" s="29" t="s">
        <v>5</v>
      </c>
      <c r="F16" s="27">
        <f t="shared" si="1"/>
        <v>412</v>
      </c>
      <c r="G16" s="20" t="e">
        <f>'表2_道路排水工程數量統計表 '!C7</f>
        <v>#N/A</v>
      </c>
    </row>
    <row r="17" spans="1:7" s="148" customFormat="1" ht="28.5">
      <c r="A17" s="205">
        <f t="shared" si="0"/>
        <v>11</v>
      </c>
      <c r="B17" s="49" t="s">
        <v>384</v>
      </c>
      <c r="C17" s="48" t="s">
        <v>250</v>
      </c>
      <c r="D17" s="54">
        <f>'表2_道路排水工程數量統計表 '!T8</f>
        <v>70038.880000000005</v>
      </c>
      <c r="E17" s="29" t="s">
        <v>5</v>
      </c>
      <c r="F17" s="27">
        <f t="shared" si="1"/>
        <v>70039</v>
      </c>
      <c r="G17" s="20" t="e">
        <f>'表2_道路排水工程數量統計表 '!C8</f>
        <v>#N/A</v>
      </c>
    </row>
    <row r="18" spans="1:7" s="148" customFormat="1" ht="28.5">
      <c r="A18" s="205">
        <f t="shared" si="0"/>
        <v>12</v>
      </c>
      <c r="B18" s="49" t="s">
        <v>419</v>
      </c>
      <c r="C18" s="48" t="s">
        <v>250</v>
      </c>
      <c r="D18" s="54">
        <f>'表2_道路排水工程數量統計表 '!T9</f>
        <v>292350.2</v>
      </c>
      <c r="E18" s="29" t="s">
        <v>5</v>
      </c>
      <c r="F18" s="27">
        <f t="shared" si="1"/>
        <v>292350</v>
      </c>
      <c r="G18" s="20" t="str">
        <f>'表2_道路排水工程數量統計表 '!C9</f>
        <v>M3</v>
      </c>
    </row>
    <row r="19" spans="1:7" s="148" customFormat="1" ht="28.5">
      <c r="A19" s="205">
        <f t="shared" si="0"/>
        <v>13</v>
      </c>
      <c r="B19" s="49" t="s">
        <v>420</v>
      </c>
      <c r="C19" s="48" t="s">
        <v>250</v>
      </c>
      <c r="D19" s="54">
        <f>'表2_道路排水工程數量統計表 '!T10</f>
        <v>220.32</v>
      </c>
      <c r="E19" s="29" t="s">
        <v>5</v>
      </c>
      <c r="F19" s="27">
        <f t="shared" si="1"/>
        <v>220</v>
      </c>
      <c r="G19" s="20" t="str">
        <f>'表2_道路排水工程數量統計表 '!C10</f>
        <v>M3</v>
      </c>
    </row>
    <row r="20" spans="1:7" s="148" customFormat="1" ht="28.5">
      <c r="A20" s="205">
        <f t="shared" si="0"/>
        <v>14</v>
      </c>
      <c r="B20" s="49" t="s">
        <v>421</v>
      </c>
      <c r="C20" s="48" t="s">
        <v>250</v>
      </c>
      <c r="D20" s="54">
        <f>'表2_道路排水工程數量統計表 '!T11</f>
        <v>723.48</v>
      </c>
      <c r="E20" s="29" t="s">
        <v>5</v>
      </c>
      <c r="F20" s="27">
        <f t="shared" si="1"/>
        <v>723</v>
      </c>
      <c r="G20" s="20" t="str">
        <f>'表2_道路排水工程數量統計表 '!C11</f>
        <v>處</v>
      </c>
    </row>
    <row r="21" spans="1:7" s="148" customFormat="1" ht="28.5" customHeight="1">
      <c r="A21" s="205">
        <f t="shared" si="0"/>
        <v>15</v>
      </c>
      <c r="B21" s="49" t="s">
        <v>425</v>
      </c>
      <c r="C21" s="48" t="s">
        <v>250</v>
      </c>
      <c r="D21" s="54">
        <f>'表2_道路排水工程數量統計表 '!T12</f>
        <v>1497.22</v>
      </c>
      <c r="E21" s="29" t="s">
        <v>5</v>
      </c>
      <c r="F21" s="27">
        <f t="shared" si="1"/>
        <v>1497</v>
      </c>
      <c r="G21" s="20" t="str">
        <f>'表2_道路排水工程數量統計表 '!C12</f>
        <v>組</v>
      </c>
    </row>
    <row r="22" spans="1:7" s="148" customFormat="1" ht="28.5">
      <c r="A22" s="205">
        <f t="shared" si="0"/>
        <v>16</v>
      </c>
      <c r="B22" s="49" t="s">
        <v>385</v>
      </c>
      <c r="C22" s="48" t="s">
        <v>250</v>
      </c>
      <c r="D22" s="54">
        <f>'表2_道路排水工程數量統計表 '!T13</f>
        <v>1764.18</v>
      </c>
      <c r="E22" s="29" t="s">
        <v>5</v>
      </c>
      <c r="F22" s="27">
        <f t="shared" si="1"/>
        <v>1764</v>
      </c>
      <c r="G22" s="20" t="str">
        <f>'表2_道路排水工程數量統計表 '!C13</f>
        <v>M2</v>
      </c>
    </row>
    <row r="23" spans="1:7" s="148" customFormat="1" ht="28.5">
      <c r="A23" s="205">
        <f t="shared" si="0"/>
        <v>17</v>
      </c>
      <c r="B23" s="49" t="s">
        <v>422</v>
      </c>
      <c r="C23" s="48" t="s">
        <v>250</v>
      </c>
      <c r="D23" s="54">
        <f>'表2_道路排水工程數量統計表 '!T14</f>
        <v>94</v>
      </c>
      <c r="E23" s="29" t="s">
        <v>5</v>
      </c>
      <c r="F23" s="27">
        <f t="shared" si="1"/>
        <v>94</v>
      </c>
      <c r="G23" s="20" t="str">
        <f>'表2_道路排水工程數量統計表 '!C14</f>
        <v>M</v>
      </c>
    </row>
    <row r="24" spans="1:7" s="148" customFormat="1" ht="28.5">
      <c r="A24" s="205">
        <f t="shared" si="0"/>
        <v>18</v>
      </c>
      <c r="B24" s="49" t="s">
        <v>423</v>
      </c>
      <c r="C24" s="48" t="s">
        <v>250</v>
      </c>
      <c r="D24" s="54">
        <f>'表2_道路排水工程數量統計表 '!T15</f>
        <v>18</v>
      </c>
      <c r="E24" s="29" t="s">
        <v>5</v>
      </c>
      <c r="F24" s="27">
        <f t="shared" si="1"/>
        <v>18</v>
      </c>
      <c r="G24" s="20" t="str">
        <f>'表2_道路排水工程數量統計表 '!C15</f>
        <v>M3</v>
      </c>
    </row>
    <row r="25" spans="1:7" s="148" customFormat="1" ht="28.5">
      <c r="A25" s="205">
        <f t="shared" si="0"/>
        <v>19</v>
      </c>
      <c r="B25" s="49" t="s">
        <v>426</v>
      </c>
      <c r="C25" s="48" t="s">
        <v>250</v>
      </c>
      <c r="D25" s="54">
        <f>'表2_道路排水工程數量統計表 '!T16</f>
        <v>41.6</v>
      </c>
      <c r="E25" s="29" t="s">
        <v>5</v>
      </c>
      <c r="F25" s="27">
        <f t="shared" si="1"/>
        <v>42</v>
      </c>
      <c r="G25" s="20" t="str">
        <f>'表2_道路排水工程數量統計表 '!C16</f>
        <v>M3</v>
      </c>
    </row>
    <row r="26" spans="1:7" s="148" customFormat="1" ht="28.5">
      <c r="A26" s="205">
        <f t="shared" si="0"/>
        <v>20</v>
      </c>
      <c r="B26" s="49" t="s">
        <v>424</v>
      </c>
      <c r="C26" s="48" t="s">
        <v>250</v>
      </c>
      <c r="D26" s="54">
        <f>'表2_道路排水工程數量統計表 '!T17</f>
        <v>28</v>
      </c>
      <c r="E26" s="29" t="s">
        <v>5</v>
      </c>
      <c r="F26" s="27">
        <f t="shared" si="1"/>
        <v>28</v>
      </c>
      <c r="G26" s="20" t="str">
        <f>'表2_道路排水工程數量統計表 '!C17</f>
        <v>支</v>
      </c>
    </row>
    <row r="27" spans="1:7" s="148" customFormat="1" ht="28.5">
      <c r="A27" s="205">
        <f t="shared" si="0"/>
        <v>21</v>
      </c>
      <c r="B27" s="49" t="s">
        <v>386</v>
      </c>
      <c r="C27" s="48" t="s">
        <v>250</v>
      </c>
      <c r="D27" s="54">
        <f>'表2_道路排水工程數量統計表 '!T18</f>
        <v>74.28</v>
      </c>
      <c r="E27" s="29" t="s">
        <v>5</v>
      </c>
      <c r="F27" s="27">
        <f t="shared" si="1"/>
        <v>74</v>
      </c>
      <c r="G27" s="20" t="str">
        <f>'表2_道路排水工程數量統計表 '!C18</f>
        <v>組</v>
      </c>
    </row>
    <row r="28" spans="1:7" s="148" customFormat="1" ht="28.5">
      <c r="A28" s="205">
        <f t="shared" si="0"/>
        <v>22</v>
      </c>
      <c r="B28" s="49" t="s">
        <v>256</v>
      </c>
      <c r="C28" s="48" t="s">
        <v>250</v>
      </c>
      <c r="D28" s="54">
        <f>'表2_道路排水工程數量統計表 '!T19</f>
        <v>99.2</v>
      </c>
      <c r="E28" s="29" t="s">
        <v>5</v>
      </c>
      <c r="F28" s="27">
        <f t="shared" si="1"/>
        <v>99</v>
      </c>
      <c r="G28" s="20" t="str">
        <f>'表2_道路排水工程數量統計表 '!C19</f>
        <v>M2</v>
      </c>
    </row>
    <row r="29" spans="1:7" s="148" customFormat="1" ht="28.5">
      <c r="A29" s="205">
        <f t="shared" si="0"/>
        <v>23</v>
      </c>
      <c r="B29" s="49" t="s">
        <v>387</v>
      </c>
      <c r="C29" s="48" t="s">
        <v>250</v>
      </c>
      <c r="D29" s="54">
        <f>'表2_道路排水工程數量統計表 '!T20</f>
        <v>288</v>
      </c>
      <c r="E29" s="29" t="s">
        <v>5</v>
      </c>
      <c r="F29" s="27">
        <f t="shared" si="1"/>
        <v>288</v>
      </c>
      <c r="G29" s="20" t="str">
        <f>'表2_道路排水工程數量統計表 '!C20</f>
        <v>處</v>
      </c>
    </row>
    <row r="30" spans="1:7" s="148" customFormat="1" ht="28.5">
      <c r="A30" s="205">
        <f t="shared" si="0"/>
        <v>24</v>
      </c>
      <c r="B30" s="49" t="s">
        <v>388</v>
      </c>
      <c r="C30" s="48" t="s">
        <v>250</v>
      </c>
      <c r="D30" s="54">
        <f>'表2_道路排水工程數量統計表 '!T21</f>
        <v>171</v>
      </c>
      <c r="E30" s="29" t="s">
        <v>5</v>
      </c>
      <c r="F30" s="27">
        <f t="shared" si="1"/>
        <v>171</v>
      </c>
      <c r="G30" s="20" t="str">
        <f>'表2_道路排水工程數量統計表 '!C21</f>
        <v>處</v>
      </c>
    </row>
    <row r="31" spans="1:7" s="148" customFormat="1" ht="156.75">
      <c r="A31" s="205">
        <f t="shared" si="0"/>
        <v>25</v>
      </c>
      <c r="B31" s="49" t="s">
        <v>389</v>
      </c>
      <c r="C31" s="48" t="s">
        <v>470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8" customFormat="1" ht="20.45" customHeight="1">
      <c r="A32" s="205">
        <f t="shared" si="0"/>
        <v>26</v>
      </c>
      <c r="B32" s="49" t="s">
        <v>443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468</v>
      </c>
    </row>
    <row r="33" spans="1:7" s="148" customFormat="1" ht="28.5">
      <c r="A33" s="205">
        <f t="shared" si="0"/>
        <v>27</v>
      </c>
      <c r="B33" s="49" t="s">
        <v>444</v>
      </c>
      <c r="C33" s="48" t="s">
        <v>505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467</v>
      </c>
    </row>
    <row r="34" spans="1:7" s="148" customFormat="1" ht="57">
      <c r="A34" s="205">
        <f t="shared" si="0"/>
        <v>28</v>
      </c>
      <c r="B34" s="49" t="s">
        <v>465</v>
      </c>
      <c r="C34" s="48" t="s">
        <v>469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466</v>
      </c>
    </row>
    <row r="35" spans="1:7" s="148" customFormat="1" ht="15.75">
      <c r="A35" s="205">
        <f t="shared" si="0"/>
        <v>29</v>
      </c>
      <c r="B35" s="49" t="s">
        <v>506</v>
      </c>
      <c r="C35" s="48" t="s">
        <v>508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507</v>
      </c>
    </row>
    <row r="36" spans="1:7" s="147" customFormat="1" ht="20.45" customHeight="1">
      <c r="A36" s="20" t="s">
        <v>39</v>
      </c>
      <c r="B36" s="236" t="s">
        <v>430</v>
      </c>
      <c r="C36" s="236"/>
      <c r="D36" s="236"/>
      <c r="E36" s="236"/>
      <c r="F36" s="236"/>
      <c r="G36" s="236"/>
    </row>
    <row r="37" spans="1:7" s="148" customFormat="1" ht="20.45" customHeight="1">
      <c r="A37" s="205">
        <v>1</v>
      </c>
      <c r="B37" s="49" t="str">
        <f>表1_橋梁工程數量統計表!B6</f>
        <v>構造物開挖,砂土礫石，含抽水</v>
      </c>
      <c r="C37" s="48" t="s">
        <v>260</v>
      </c>
      <c r="D37" s="26">
        <f>表1_橋梁工程數量統計表!O6</f>
        <v>820.08</v>
      </c>
      <c r="E37" s="29" t="s">
        <v>5</v>
      </c>
      <c r="F37" s="27">
        <f t="shared" ref="F37:F66" si="2">ROUND(D37,0)</f>
        <v>820</v>
      </c>
      <c r="G37" s="53" t="str">
        <f>表1_橋梁工程數量統計表!C6</f>
        <v>M3</v>
      </c>
    </row>
    <row r="38" spans="1:7" s="148" customFormat="1" ht="20.45" customHeight="1">
      <c r="A38" s="205">
        <f t="shared" ref="A38:A76" si="3">A37+1</f>
        <v>2</v>
      </c>
      <c r="B38" s="49" t="str">
        <f>表1_橋梁工程數量統計表!B7</f>
        <v>構造物回填</v>
      </c>
      <c r="C38" s="48" t="s">
        <v>260</v>
      </c>
      <c r="D38" s="26">
        <f>表1_橋梁工程數量統計表!O7</f>
        <v>421.08</v>
      </c>
      <c r="E38" s="29" t="s">
        <v>5</v>
      </c>
      <c r="F38" s="27">
        <f t="shared" si="2"/>
        <v>421</v>
      </c>
      <c r="G38" s="53" t="str">
        <f>表1_橋梁工程數量統計表!C7</f>
        <v>M3</v>
      </c>
    </row>
    <row r="39" spans="1:7" s="148" customFormat="1" ht="28.5">
      <c r="A39" s="205">
        <f t="shared" si="3"/>
        <v>3</v>
      </c>
      <c r="B39" s="49" t="s">
        <v>390</v>
      </c>
      <c r="C39" s="48" t="s">
        <v>263</v>
      </c>
      <c r="D39" s="26">
        <f>F37-F38</f>
        <v>399</v>
      </c>
      <c r="E39" s="29" t="s">
        <v>5</v>
      </c>
      <c r="F39" s="27">
        <f t="shared" si="2"/>
        <v>399</v>
      </c>
      <c r="G39" s="53" t="s">
        <v>14</v>
      </c>
    </row>
    <row r="40" spans="1:7" s="148" customFormat="1" ht="99.75">
      <c r="A40" s="205">
        <f t="shared" si="3"/>
        <v>4</v>
      </c>
      <c r="B40" s="49" t="s">
        <v>415</v>
      </c>
      <c r="C40" s="48" t="s">
        <v>429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8" customFormat="1" ht="20.45" customHeight="1">
      <c r="A41" s="205">
        <f t="shared" si="3"/>
        <v>5</v>
      </c>
      <c r="B41" s="49" t="str">
        <f>表1_橋梁工程數量統計表!B8</f>
        <v>普通模板</v>
      </c>
      <c r="C41" s="48" t="s">
        <v>260</v>
      </c>
      <c r="D41" s="26">
        <f>表1_橋梁工程數量統計表!O8</f>
        <v>1272.57</v>
      </c>
      <c r="E41" s="29" t="s">
        <v>5</v>
      </c>
      <c r="F41" s="27">
        <f t="shared" si="2"/>
        <v>1273</v>
      </c>
      <c r="G41" s="53" t="str">
        <f>表1_橋梁工程數量統計表!C8</f>
        <v>M2</v>
      </c>
    </row>
    <row r="42" spans="1:7" s="148" customFormat="1" ht="20.45" customHeight="1">
      <c r="A42" s="205">
        <f t="shared" si="3"/>
        <v>6</v>
      </c>
      <c r="B42" s="49" t="str">
        <f>表1_橋梁工程數量統計表!B9</f>
        <v>普通模板(作業高度超過2公尺)</v>
      </c>
      <c r="C42" s="48" t="s">
        <v>260</v>
      </c>
      <c r="D42" s="26">
        <f>表1_橋梁工程數量統計表!O9</f>
        <v>2414.39</v>
      </c>
      <c r="E42" s="29" t="s">
        <v>5</v>
      </c>
      <c r="F42" s="27">
        <f t="shared" si="2"/>
        <v>2414</v>
      </c>
      <c r="G42" s="53" t="str">
        <f>表1_橋梁工程數量統計表!C9</f>
        <v>M2</v>
      </c>
    </row>
    <row r="43" spans="1:7" s="148" customFormat="1" ht="20.45" customHeight="1">
      <c r="A43" s="205">
        <f t="shared" si="3"/>
        <v>7</v>
      </c>
      <c r="B43" s="49" t="str">
        <f>表1_橋梁工程數量統計表!B10</f>
        <v>鋼模</v>
      </c>
      <c r="C43" s="48" t="s">
        <v>260</v>
      </c>
      <c r="D43" s="26">
        <f>表1_橋梁工程數量統計表!O10</f>
        <v>3248.8</v>
      </c>
      <c r="E43" s="29" t="s">
        <v>5</v>
      </c>
      <c r="F43" s="27">
        <f t="shared" si="2"/>
        <v>3249</v>
      </c>
      <c r="G43" s="53" t="str">
        <f>表1_橋梁工程數量統計表!C10</f>
        <v>M2</v>
      </c>
    </row>
    <row r="44" spans="1:7" s="148" customFormat="1" ht="20.45" customHeight="1">
      <c r="A44" s="205">
        <f t="shared" si="3"/>
        <v>8</v>
      </c>
      <c r="B44" s="49" t="str">
        <f>表1_橋梁工程數量統計表!B11</f>
        <v>鋼筋彎紮及組立SD280(D10~D16)</v>
      </c>
      <c r="C44" s="48" t="s">
        <v>260</v>
      </c>
      <c r="D44" s="26">
        <f>表1_橋梁工程數量統計表!O11</f>
        <v>120758.72</v>
      </c>
      <c r="E44" s="29" t="s">
        <v>5</v>
      </c>
      <c r="F44" s="27">
        <f t="shared" si="2"/>
        <v>120759</v>
      </c>
      <c r="G44" s="53" t="str">
        <f>表1_橋梁工程數量統計表!C11</f>
        <v>KG</v>
      </c>
    </row>
    <row r="45" spans="1:7" s="149" customFormat="1" ht="20.45" customHeight="1">
      <c r="A45" s="205">
        <f t="shared" si="3"/>
        <v>9</v>
      </c>
      <c r="B45" s="49" t="str">
        <f>表1_橋梁工程數量統計表!B12</f>
        <v>鋼筋彎紮及組立SD420(D10~D16)</v>
      </c>
      <c r="C45" s="48" t="s">
        <v>260</v>
      </c>
      <c r="D45" s="26">
        <f>表1_橋梁工程數量統計表!O12</f>
        <v>181912.05</v>
      </c>
      <c r="E45" s="29" t="s">
        <v>5</v>
      </c>
      <c r="F45" s="27">
        <f t="shared" si="2"/>
        <v>181912</v>
      </c>
      <c r="G45" s="53" t="str">
        <f>表1_橋梁工程數量統計表!C12</f>
        <v>KG</v>
      </c>
    </row>
    <row r="46" spans="1:7" s="148" customFormat="1" ht="20.45" customHeight="1">
      <c r="A46" s="205">
        <f t="shared" si="3"/>
        <v>10</v>
      </c>
      <c r="B46" s="49" t="str">
        <f>表1_橋梁工程數量統計表!B13</f>
        <v>140KG/CM2預拌混凝土含澆置</v>
      </c>
      <c r="C46" s="48" t="s">
        <v>260</v>
      </c>
      <c r="D46" s="26">
        <f>表1_橋梁工程數量統計表!O13</f>
        <v>47.64</v>
      </c>
      <c r="E46" s="29" t="s">
        <v>5</v>
      </c>
      <c r="F46" s="27">
        <f t="shared" si="2"/>
        <v>48</v>
      </c>
      <c r="G46" s="53" t="str">
        <f>表1_橋梁工程數量統計表!C13</f>
        <v>M3</v>
      </c>
    </row>
    <row r="47" spans="1:7" s="148" customFormat="1" ht="20.45" customHeight="1">
      <c r="A47" s="205">
        <f t="shared" si="3"/>
        <v>11</v>
      </c>
      <c r="B47" s="49" t="str">
        <f>表1_橋梁工程數量統計表!B14</f>
        <v>210KG/CM2預拌混凝土含澆置</v>
      </c>
      <c r="C47" s="48" t="s">
        <v>260</v>
      </c>
      <c r="D47" s="54">
        <f>表1_橋梁工程數量統計表!O14</f>
        <v>297.22000000000003</v>
      </c>
      <c r="E47" s="29" t="s">
        <v>5</v>
      </c>
      <c r="F47" s="27">
        <f t="shared" si="2"/>
        <v>297</v>
      </c>
      <c r="G47" s="53" t="str">
        <f>表1_橋梁工程數量統計表!C14</f>
        <v>M3</v>
      </c>
    </row>
    <row r="48" spans="1:7" s="148" customFormat="1" ht="20.45" customHeight="1">
      <c r="A48" s="205">
        <f t="shared" si="3"/>
        <v>12</v>
      </c>
      <c r="B48" s="49" t="str">
        <f>表1_橋梁工程數量統計表!B15</f>
        <v>280KG/CM2預拌混凝土含澆置</v>
      </c>
      <c r="C48" s="48" t="s">
        <v>260</v>
      </c>
      <c r="D48" s="26">
        <f>表1_橋梁工程數量統計表!O15</f>
        <v>1427.09</v>
      </c>
      <c r="E48" s="29" t="s">
        <v>5</v>
      </c>
      <c r="F48" s="27">
        <f t="shared" si="2"/>
        <v>1427</v>
      </c>
      <c r="G48" s="53" t="str">
        <f>表1_橋梁工程數量統計表!C15</f>
        <v>M3</v>
      </c>
    </row>
    <row r="49" spans="1:7" s="148" customFormat="1" ht="20.45" customHeight="1">
      <c r="A49" s="205">
        <f t="shared" si="3"/>
        <v>13</v>
      </c>
      <c r="B49" s="49" t="str">
        <f>表1_橋梁工程數量統計表!B16</f>
        <v>350KG/CM2預拌混凝土含澆置</v>
      </c>
      <c r="C49" s="48" t="s">
        <v>260</v>
      </c>
      <c r="D49" s="26">
        <f>表1_橋梁工程數量統計表!O16</f>
        <v>8.58</v>
      </c>
      <c r="E49" s="29" t="s">
        <v>5</v>
      </c>
      <c r="F49" s="27">
        <f t="shared" si="2"/>
        <v>9</v>
      </c>
      <c r="G49" s="53" t="str">
        <f>表1_橋梁工程數量統計表!C16</f>
        <v>M3</v>
      </c>
    </row>
    <row r="50" spans="1:7" s="148" customFormat="1" ht="20.45" customHeight="1">
      <c r="A50" s="205">
        <f t="shared" si="3"/>
        <v>14</v>
      </c>
      <c r="B50" s="49" t="str">
        <f>表1_橋梁工程數量統計表!B17</f>
        <v>420KG/CM2預拌混凝土含澆置</v>
      </c>
      <c r="C50" s="48" t="s">
        <v>260</v>
      </c>
      <c r="D50" s="26">
        <f>表1_橋梁工程數量統計表!O17</f>
        <v>590</v>
      </c>
      <c r="E50" s="29" t="s">
        <v>5</v>
      </c>
      <c r="F50" s="27">
        <f t="shared" si="2"/>
        <v>590</v>
      </c>
      <c r="G50" s="53" t="str">
        <f>表1_橋梁工程數量統計表!C17</f>
        <v>M3</v>
      </c>
    </row>
    <row r="51" spans="1:7" s="148" customFormat="1" ht="20.45" customHeight="1">
      <c r="A51" s="205">
        <f t="shared" si="3"/>
        <v>15</v>
      </c>
      <c r="B51" s="49" t="str">
        <f>表1_橋梁工程數量統計表!B18</f>
        <v>水中混凝土280KG/CM2混凝土</v>
      </c>
      <c r="C51" s="48" t="s">
        <v>260</v>
      </c>
      <c r="D51" s="26">
        <f>表1_橋梁工程數量統計表!O18</f>
        <v>317.88</v>
      </c>
      <c r="E51" s="29" t="s">
        <v>5</v>
      </c>
      <c r="F51" s="27">
        <f t="shared" si="2"/>
        <v>318</v>
      </c>
      <c r="G51" s="53" t="str">
        <f>表1_橋梁工程數量統計表!C18</f>
        <v>M3</v>
      </c>
    </row>
    <row r="52" spans="1:7" s="148" customFormat="1" ht="20.45" customHeight="1">
      <c r="A52" s="205">
        <f t="shared" si="3"/>
        <v>16</v>
      </c>
      <c r="B52" s="49" t="s">
        <v>208</v>
      </c>
      <c r="C52" s="48" t="s">
        <v>445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446</v>
      </c>
    </row>
    <row r="53" spans="1:7" s="148" customFormat="1" ht="20.45" customHeight="1">
      <c r="A53" s="205">
        <f t="shared" si="3"/>
        <v>17</v>
      </c>
      <c r="B53" s="49" t="str">
        <f>表1_橋梁工程數量統計表!B19</f>
        <v>13線-∮12.7㎜鋼鉸線</v>
      </c>
      <c r="C53" s="48" t="s">
        <v>260</v>
      </c>
      <c r="D53" s="26">
        <f>表1_橋梁工程數量統計表!O19</f>
        <v>24206.720000000001</v>
      </c>
      <c r="E53" s="29" t="s">
        <v>5</v>
      </c>
      <c r="F53" s="27">
        <f t="shared" si="2"/>
        <v>24207</v>
      </c>
      <c r="G53" s="53" t="str">
        <f>表1_橋梁工程數量統計表!C19</f>
        <v>KG</v>
      </c>
    </row>
    <row r="54" spans="1:7" s="148" customFormat="1" ht="20.45" customHeight="1">
      <c r="A54" s="205">
        <f t="shared" si="3"/>
        <v>18</v>
      </c>
      <c r="B54" s="49" t="str">
        <f>表1_橋梁工程數量統計表!B20</f>
        <v>17線-∮12.7㎜鋼鉸線</v>
      </c>
      <c r="C54" s="48" t="s">
        <v>260</v>
      </c>
      <c r="D54" s="26">
        <f>表1_橋梁工程數量統計表!O20</f>
        <v>17667.52</v>
      </c>
      <c r="E54" s="29" t="s">
        <v>5</v>
      </c>
      <c r="F54" s="27">
        <f t="shared" si="2"/>
        <v>17668</v>
      </c>
      <c r="G54" s="53" t="str">
        <f>表1_橋梁工程數量統計表!C20</f>
        <v>KG</v>
      </c>
    </row>
    <row r="55" spans="1:7" s="148" customFormat="1" ht="20.45" customHeight="1">
      <c r="A55" s="205">
        <f t="shared" si="3"/>
        <v>19</v>
      </c>
      <c r="B55" s="49" t="str">
        <f>表1_橋梁工程數量統計表!B21</f>
        <v>∮9.0㎝鍍鋅套管</v>
      </c>
      <c r="C55" s="48" t="s">
        <v>260</v>
      </c>
      <c r="D55" s="26">
        <f>表1_橋梁工程數量統計表!O21</f>
        <v>3496.48</v>
      </c>
      <c r="E55" s="29" t="s">
        <v>5</v>
      </c>
      <c r="F55" s="27">
        <f t="shared" si="2"/>
        <v>3496</v>
      </c>
      <c r="G55" s="53" t="str">
        <f>表1_橋梁工程數量統計表!C21</f>
        <v>M</v>
      </c>
    </row>
    <row r="56" spans="1:7" s="148" customFormat="1" ht="20.45" customHeight="1">
      <c r="A56" s="205">
        <f t="shared" si="3"/>
        <v>20</v>
      </c>
      <c r="B56" s="49" t="str">
        <f>表1_橋梁工程數量統計表!B22</f>
        <v>∮9.0㎝套管灌漿</v>
      </c>
      <c r="C56" s="48" t="s">
        <v>260</v>
      </c>
      <c r="D56" s="26">
        <f>表1_橋梁工程數量統計表!O22</f>
        <v>3538.48</v>
      </c>
      <c r="E56" s="29" t="s">
        <v>5</v>
      </c>
      <c r="F56" s="27">
        <f t="shared" si="2"/>
        <v>3538</v>
      </c>
      <c r="G56" s="53" t="str">
        <f>表1_橋梁工程數量統計表!C22</f>
        <v>M</v>
      </c>
    </row>
    <row r="57" spans="1:7" s="148" customFormat="1" ht="20.45" customHeight="1">
      <c r="A57" s="205">
        <f t="shared" si="3"/>
        <v>21</v>
      </c>
      <c r="B57" s="49" t="str">
        <f>表1_橋梁工程數量統計表!B23</f>
        <v>13線-12.7㎜錨錐</v>
      </c>
      <c r="C57" s="48" t="s">
        <v>260</v>
      </c>
      <c r="D57" s="26">
        <f>表1_橋梁工程數量統計表!O23</f>
        <v>112</v>
      </c>
      <c r="E57" s="29" t="s">
        <v>5</v>
      </c>
      <c r="F57" s="27">
        <f t="shared" si="2"/>
        <v>112</v>
      </c>
      <c r="G57" s="53" t="str">
        <f>表1_橋梁工程數量統計表!C23</f>
        <v>組</v>
      </c>
    </row>
    <row r="58" spans="1:7" s="148" customFormat="1" ht="20.45" customHeight="1">
      <c r="A58" s="205">
        <f t="shared" si="3"/>
        <v>22</v>
      </c>
      <c r="B58" s="49" t="str">
        <f>表1_橋梁工程數量統計表!B24</f>
        <v>17線-12.7㎜錨錐</v>
      </c>
      <c r="C58" s="48" t="s">
        <v>260</v>
      </c>
      <c r="D58" s="26">
        <f>表1_橋梁工程數量統計表!O24</f>
        <v>56</v>
      </c>
      <c r="E58" s="29" t="s">
        <v>5</v>
      </c>
      <c r="F58" s="27">
        <f t="shared" si="2"/>
        <v>56</v>
      </c>
      <c r="G58" s="53" t="str">
        <f>表1_橋梁工程數量統計表!C24</f>
        <v>組</v>
      </c>
    </row>
    <row r="59" spans="1:7" s="148" customFormat="1" ht="20.45" customHeight="1">
      <c r="A59" s="205">
        <f t="shared" si="3"/>
        <v>23</v>
      </c>
      <c r="B59" s="49" t="s">
        <v>391</v>
      </c>
      <c r="C59" s="48" t="s">
        <v>260</v>
      </c>
      <c r="D59" s="26">
        <f>表1_橋梁工程數量統計表!O25</f>
        <v>12</v>
      </c>
      <c r="E59" s="29" t="s">
        <v>5</v>
      </c>
      <c r="F59" s="27">
        <f t="shared" si="2"/>
        <v>12</v>
      </c>
      <c r="G59" s="53" t="str">
        <f>表1_橋梁工程數量統計表!C25</f>
        <v>處</v>
      </c>
    </row>
    <row r="60" spans="1:7" s="148" customFormat="1" ht="20.45" customHeight="1">
      <c r="A60" s="205">
        <f t="shared" si="3"/>
        <v>24</v>
      </c>
      <c r="B60" s="49" t="str">
        <f>表1_橋梁工程數量統計表!B26</f>
        <v>支承墊剪力鋼棒處理</v>
      </c>
      <c r="C60" s="48" t="s">
        <v>260</v>
      </c>
      <c r="D60" s="26">
        <f>表1_橋梁工程數量統計表!O26</f>
        <v>16</v>
      </c>
      <c r="E60" s="29" t="s">
        <v>5</v>
      </c>
      <c r="F60" s="27">
        <f t="shared" si="2"/>
        <v>16</v>
      </c>
      <c r="G60" s="53" t="str">
        <f>表1_橋梁工程數量統計表!C26</f>
        <v>組</v>
      </c>
    </row>
    <row r="61" spans="1:7" s="148" customFormat="1" ht="28.5">
      <c r="A61" s="205">
        <f t="shared" si="3"/>
        <v>25</v>
      </c>
      <c r="B61" s="49" t="str">
        <f>表1_橋梁工程數量統計表!B27</f>
        <v>合成橡膠支承墊及安裝(80*60*5.5cm)</v>
      </c>
      <c r="C61" s="48" t="s">
        <v>260</v>
      </c>
      <c r="D61" s="26">
        <f>表1_橋梁工程數量統計表!O27</f>
        <v>24</v>
      </c>
      <c r="E61" s="29" t="s">
        <v>5</v>
      </c>
      <c r="F61" s="27">
        <f t="shared" si="2"/>
        <v>24</v>
      </c>
      <c r="G61" s="53" t="str">
        <f>表1_橋梁工程數量統計表!C27</f>
        <v>組</v>
      </c>
    </row>
    <row r="62" spans="1:7" s="148" customFormat="1" ht="20.45" customHeight="1">
      <c r="A62" s="205">
        <f t="shared" si="3"/>
        <v>26</v>
      </c>
      <c r="B62" s="49" t="s">
        <v>406</v>
      </c>
      <c r="C62" s="48" t="s">
        <v>345</v>
      </c>
      <c r="D62" s="26">
        <f>125*2</f>
        <v>250</v>
      </c>
      <c r="E62" s="29" t="s">
        <v>5</v>
      </c>
      <c r="F62" s="27">
        <f>ROUND(D62,0)</f>
        <v>250</v>
      </c>
      <c r="G62" s="53" t="s">
        <v>407</v>
      </c>
    </row>
    <row r="63" spans="1:7" s="148" customFormat="1" ht="20.45" customHeight="1">
      <c r="A63" s="205">
        <f t="shared" si="3"/>
        <v>27</v>
      </c>
      <c r="B63" s="49" t="str">
        <f>表1_橋梁工程數量統計表!B28</f>
        <v>齒型伸縮縫及安裝</v>
      </c>
      <c r="C63" s="48" t="s">
        <v>260</v>
      </c>
      <c r="D63" s="26">
        <f>表1_橋梁工程數量統計表!O28</f>
        <v>18</v>
      </c>
      <c r="E63" s="29" t="s">
        <v>5</v>
      </c>
      <c r="F63" s="27">
        <f t="shared" si="2"/>
        <v>18</v>
      </c>
      <c r="G63" s="53" t="str">
        <f>表1_橋梁工程數量統計表!C28</f>
        <v>M</v>
      </c>
    </row>
    <row r="64" spans="1:7" s="148" customFormat="1" ht="20.45" customHeight="1">
      <c r="A64" s="205">
        <f t="shared" si="3"/>
        <v>28</v>
      </c>
      <c r="B64" s="49" t="str">
        <f>表1_橋梁工程數量統計表!B29</f>
        <v>橋面排水含金屬柵欄</v>
      </c>
      <c r="C64" s="48" t="s">
        <v>260</v>
      </c>
      <c r="D64" s="26">
        <f>表1_橋梁工程數量統計表!O29</f>
        <v>50</v>
      </c>
      <c r="E64" s="29" t="s">
        <v>5</v>
      </c>
      <c r="F64" s="27">
        <f t="shared" si="2"/>
        <v>50</v>
      </c>
      <c r="G64" s="53" t="str">
        <f>表1_橋梁工程數量統計表!C29</f>
        <v>組</v>
      </c>
    </row>
    <row r="65" spans="1:7" s="148" customFormat="1" ht="20.45" customHeight="1">
      <c r="A65" s="205">
        <f t="shared" si="3"/>
        <v>29</v>
      </c>
      <c r="B65" s="49" t="str">
        <f>表1_橋梁工程數量統計表!B30</f>
        <v>鉸接處理</v>
      </c>
      <c r="C65" s="48" t="s">
        <v>260</v>
      </c>
      <c r="D65" s="26">
        <f>表1_橋梁工程數量統計表!O30</f>
        <v>2</v>
      </c>
      <c r="E65" s="29" t="s">
        <v>5</v>
      </c>
      <c r="F65" s="27">
        <f t="shared" si="2"/>
        <v>2</v>
      </c>
      <c r="G65" s="53" t="str">
        <f>表1_橋梁工程數量統計表!C30</f>
        <v>處</v>
      </c>
    </row>
    <row r="66" spans="1:7" s="148" customFormat="1" ht="20.45" customHeight="1">
      <c r="A66" s="205">
        <f t="shared" si="3"/>
        <v>30</v>
      </c>
      <c r="B66" s="49" t="str">
        <f>表1_橋梁工程數量統計表!B31</f>
        <v>填縫板</v>
      </c>
      <c r="C66" s="48" t="s">
        <v>260</v>
      </c>
      <c r="D66" s="26">
        <f>表1_橋梁工程數量統計表!O31</f>
        <v>6.48</v>
      </c>
      <c r="E66" s="29" t="s">
        <v>5</v>
      </c>
      <c r="F66" s="27">
        <f t="shared" si="2"/>
        <v>6</v>
      </c>
      <c r="G66" s="53" t="str">
        <f>表1_橋梁工程數量統計表!C31</f>
        <v>M2</v>
      </c>
    </row>
    <row r="67" spans="1:7" s="148" customFormat="1" ht="28.5">
      <c r="A67" s="205">
        <f t="shared" si="3"/>
        <v>31</v>
      </c>
      <c r="B67" s="49" t="s">
        <v>408</v>
      </c>
      <c r="C67" s="214" t="s">
        <v>414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8" customFormat="1" ht="28.5">
      <c r="A68" s="205">
        <f t="shared" si="3"/>
        <v>32</v>
      </c>
      <c r="B68" s="49" t="s">
        <v>409</v>
      </c>
      <c r="C68" s="48" t="s">
        <v>432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327</v>
      </c>
    </row>
    <row r="69" spans="1:7" s="148" customFormat="1" ht="28.5">
      <c r="A69" s="205">
        <f t="shared" si="3"/>
        <v>33</v>
      </c>
      <c r="B69" s="49" t="s">
        <v>410</v>
      </c>
      <c r="C69" s="214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327</v>
      </c>
    </row>
    <row r="70" spans="1:7" s="148" customFormat="1" ht="20.45" customHeight="1">
      <c r="A70" s="205">
        <f t="shared" si="3"/>
        <v>34</v>
      </c>
      <c r="B70" s="49" t="s">
        <v>411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8" customFormat="1" ht="20.45" customHeight="1">
      <c r="A71" s="205">
        <f t="shared" si="3"/>
        <v>35</v>
      </c>
      <c r="B71" s="49" t="s">
        <v>412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413</v>
      </c>
    </row>
    <row r="72" spans="1:7" s="148" customFormat="1" ht="20.45" customHeight="1">
      <c r="A72" s="205">
        <f t="shared" si="3"/>
        <v>36</v>
      </c>
      <c r="B72" s="49" t="s">
        <v>453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448</v>
      </c>
    </row>
    <row r="73" spans="1:7" s="148" customFormat="1" ht="39.950000000000003" customHeight="1">
      <c r="A73" s="205">
        <f t="shared" si="3"/>
        <v>37</v>
      </c>
      <c r="B73" s="49" t="s">
        <v>509</v>
      </c>
      <c r="C73" s="48" t="s">
        <v>447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449</v>
      </c>
    </row>
    <row r="74" spans="1:7" s="148" customFormat="1" ht="39.950000000000003" customHeight="1">
      <c r="A74" s="205">
        <f t="shared" si="3"/>
        <v>38</v>
      </c>
      <c r="B74" s="49" t="s">
        <v>452</v>
      </c>
      <c r="C74" s="48" t="s">
        <v>435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434</v>
      </c>
    </row>
    <row r="75" spans="1:7" s="148" customFormat="1" ht="20.45" customHeight="1">
      <c r="A75" s="205">
        <f t="shared" si="3"/>
        <v>39</v>
      </c>
      <c r="B75" s="49" t="s">
        <v>450</v>
      </c>
      <c r="C75" s="48" t="str">
        <f>表1_橋梁工程數量統計表!E13&amp;"+"&amp;+表1_橋梁工程數量統計表!E15</f>
        <v>16.92+502.44</v>
      </c>
      <c r="D75" s="26">
        <f>表1_橋梁工程數量統計表!E13+表1_橋梁工程數量統計表!E15</f>
        <v>519.36</v>
      </c>
      <c r="E75" s="29" t="s">
        <v>5</v>
      </c>
      <c r="F75" s="27">
        <f t="shared" si="4"/>
        <v>519</v>
      </c>
      <c r="G75" s="53" t="s">
        <v>451</v>
      </c>
    </row>
    <row r="76" spans="1:7" s="148" customFormat="1" ht="20.45" customHeight="1">
      <c r="A76" s="205">
        <f t="shared" si="3"/>
        <v>40</v>
      </c>
      <c r="B76" s="49" t="s">
        <v>503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504</v>
      </c>
    </row>
    <row r="77" spans="1:7" s="148" customFormat="1" ht="20.45" customHeight="1">
      <c r="A77" s="20" t="s">
        <v>76</v>
      </c>
      <c r="B77" s="242" t="s">
        <v>275</v>
      </c>
      <c r="C77" s="243"/>
      <c r="D77" s="243"/>
      <c r="E77" s="243"/>
      <c r="F77" s="243"/>
      <c r="G77" s="244"/>
    </row>
    <row r="78" spans="1:7" s="148" customFormat="1" ht="20.45" customHeight="1">
      <c r="A78" s="205">
        <v>1</v>
      </c>
      <c r="B78" s="49" t="s">
        <v>278</v>
      </c>
      <c r="C78" s="204" t="s">
        <v>463</v>
      </c>
      <c r="D78" s="26">
        <f>(30+30+30+10)*4*2</f>
        <v>800</v>
      </c>
      <c r="E78" s="29" t="s">
        <v>5</v>
      </c>
      <c r="F78" s="206">
        <f>ROUND(D78,0)</f>
        <v>800</v>
      </c>
      <c r="G78" s="53" t="s">
        <v>14</v>
      </c>
    </row>
    <row r="79" spans="1:7" s="148" customFormat="1" ht="20.45" customHeight="1">
      <c r="A79" s="205">
        <v>2</v>
      </c>
      <c r="B79" s="49" t="s">
        <v>276</v>
      </c>
      <c r="C79" s="204" t="s">
        <v>464</v>
      </c>
      <c r="D79" s="26">
        <f>(30+30+30+10)*9*1.02</f>
        <v>918</v>
      </c>
      <c r="E79" s="29" t="s">
        <v>5</v>
      </c>
      <c r="F79" s="206">
        <f>ROUND(D79,0)</f>
        <v>918</v>
      </c>
      <c r="G79" s="53" t="s">
        <v>13</v>
      </c>
    </row>
    <row r="80" spans="1:7" s="148" customFormat="1" ht="20.45" customHeight="1">
      <c r="A80" s="20" t="s">
        <v>77</v>
      </c>
      <c r="B80" s="239" t="s">
        <v>459</v>
      </c>
      <c r="C80" s="240"/>
      <c r="D80" s="240"/>
      <c r="E80" s="240"/>
      <c r="F80" s="240"/>
      <c r="G80" s="241"/>
    </row>
    <row r="81" spans="1:7" s="148" customFormat="1" ht="20.45" customHeight="1">
      <c r="A81" s="20">
        <v>1</v>
      </c>
      <c r="B81" s="231" t="s">
        <v>461</v>
      </c>
      <c r="C81" s="145">
        <v>416</v>
      </c>
      <c r="D81" s="26">
        <f>C81</f>
        <v>416</v>
      </c>
      <c r="E81" s="29" t="s">
        <v>5</v>
      </c>
      <c r="F81" s="206">
        <f>ROUND(D81,0)</f>
        <v>416</v>
      </c>
      <c r="G81" s="20" t="s">
        <v>462</v>
      </c>
    </row>
    <row r="82" spans="1:7" s="148" customFormat="1" ht="20.45" customHeight="1">
      <c r="A82" s="20">
        <f>A81+1</f>
        <v>2</v>
      </c>
      <c r="B82" s="231" t="s">
        <v>460</v>
      </c>
      <c r="C82" s="145">
        <v>1</v>
      </c>
      <c r="D82" s="26">
        <f>C82</f>
        <v>1</v>
      </c>
      <c r="E82" s="29" t="s">
        <v>5</v>
      </c>
      <c r="F82" s="206">
        <f>ROUND(D82,0)</f>
        <v>1</v>
      </c>
      <c r="G82" s="20" t="s">
        <v>30</v>
      </c>
    </row>
    <row r="83" spans="1:7" s="148" customFormat="1" ht="20.45" customHeight="1">
      <c r="A83" s="20" t="s">
        <v>292</v>
      </c>
      <c r="B83" s="239" t="s">
        <v>280</v>
      </c>
      <c r="C83" s="240"/>
      <c r="D83" s="240"/>
      <c r="E83" s="240"/>
      <c r="F83" s="240"/>
      <c r="G83" s="241"/>
    </row>
    <row r="84" spans="1:7" s="148" customFormat="1" ht="20.45" customHeight="1">
      <c r="A84" s="20">
        <v>1</v>
      </c>
      <c r="B84" s="231" t="s">
        <v>433</v>
      </c>
      <c r="C84" s="145" t="s">
        <v>427</v>
      </c>
      <c r="D84" s="26">
        <f>26.2+48+39.3+73.9</f>
        <v>187.4</v>
      </c>
      <c r="E84" s="29" t="s">
        <v>5</v>
      </c>
      <c r="F84" s="206">
        <f>ROUND(D84,0)</f>
        <v>187</v>
      </c>
      <c r="G84" s="20" t="s">
        <v>57</v>
      </c>
    </row>
    <row r="85" spans="1:7" s="148" customFormat="1" ht="20.45" customHeight="1">
      <c r="A85" s="20">
        <v>2</v>
      </c>
      <c r="B85" s="231" t="s">
        <v>326</v>
      </c>
      <c r="C85" s="145" t="s">
        <v>428</v>
      </c>
      <c r="D85" s="26">
        <f>((10.4+12.4)*2+(12.4+14.4)*2)*2</f>
        <v>198.4</v>
      </c>
      <c r="E85" s="29" t="s">
        <v>5</v>
      </c>
      <c r="F85" s="206">
        <f>ROUND(D85,0)</f>
        <v>198</v>
      </c>
      <c r="G85" s="20" t="s">
        <v>328</v>
      </c>
    </row>
    <row r="86" spans="1:7" s="148" customFormat="1" ht="200.1" customHeight="1">
      <c r="A86" s="20">
        <v>3</v>
      </c>
      <c r="B86" s="231" t="s">
        <v>325</v>
      </c>
      <c r="C86" s="48" t="s">
        <v>499</v>
      </c>
      <c r="D86" s="26">
        <f>(14726.8+20951.2+25033.6+32712.4)/1000</f>
        <v>93.424000000000007</v>
      </c>
      <c r="E86" s="29" t="s">
        <v>5</v>
      </c>
      <c r="F86" s="206">
        <f>ROUND(D86,2)</f>
        <v>93.42</v>
      </c>
      <c r="G86" s="20" t="s">
        <v>500</v>
      </c>
    </row>
    <row r="87" spans="1:7" s="148" customFormat="1" ht="39.950000000000003" customHeight="1">
      <c r="A87" s="20">
        <v>4</v>
      </c>
      <c r="B87" s="49" t="s">
        <v>454</v>
      </c>
      <c r="C87" s="48" t="s">
        <v>501</v>
      </c>
      <c r="D87" s="26">
        <f>9*2*2*93/1000</f>
        <v>3.3479999999999999</v>
      </c>
      <c r="E87" s="29" t="s">
        <v>5</v>
      </c>
      <c r="F87" s="206">
        <f>ROUND(D87,2)</f>
        <v>3.35</v>
      </c>
      <c r="G87" s="20" t="s">
        <v>456</v>
      </c>
    </row>
    <row r="88" spans="1:7" s="148" customFormat="1" ht="39.950000000000003" customHeight="1">
      <c r="A88" s="20">
        <v>5</v>
      </c>
      <c r="B88" s="49" t="s">
        <v>455</v>
      </c>
      <c r="C88" s="145" t="s">
        <v>502</v>
      </c>
      <c r="D88" s="26">
        <f>16*4*2*135/1000</f>
        <v>17.28</v>
      </c>
      <c r="E88" s="29" t="s">
        <v>5</v>
      </c>
      <c r="F88" s="206">
        <f>ROUND(D88,2)</f>
        <v>17.28</v>
      </c>
      <c r="G88" s="20" t="s">
        <v>457</v>
      </c>
    </row>
    <row r="89" spans="1:7" s="148" customFormat="1" ht="20.45" customHeight="1">
      <c r="A89" s="20">
        <v>6</v>
      </c>
      <c r="B89" s="231" t="s">
        <v>324</v>
      </c>
      <c r="C89" s="145">
        <v>1</v>
      </c>
      <c r="D89" s="26">
        <f>C89</f>
        <v>1</v>
      </c>
      <c r="E89" s="29" t="s">
        <v>5</v>
      </c>
      <c r="F89" s="206">
        <f>ROUND(D89,0)</f>
        <v>1</v>
      </c>
      <c r="G89" s="20" t="s">
        <v>61</v>
      </c>
    </row>
    <row r="90" spans="1:7" s="148" customFormat="1" ht="20.45" customHeight="1">
      <c r="A90" s="20">
        <v>7</v>
      </c>
      <c r="B90" s="231" t="s">
        <v>323</v>
      </c>
      <c r="C90" s="145">
        <v>20000</v>
      </c>
      <c r="D90" s="26">
        <f>C90</f>
        <v>20000</v>
      </c>
      <c r="E90" s="29" t="s">
        <v>5</v>
      </c>
      <c r="F90" s="206">
        <f>ROUND(D90,0)</f>
        <v>20000</v>
      </c>
      <c r="G90" s="20" t="s">
        <v>329</v>
      </c>
    </row>
    <row r="91" spans="1:7" s="148" customFormat="1" ht="20.45" customHeight="1">
      <c r="A91" s="20" t="s">
        <v>90</v>
      </c>
      <c r="B91" s="239" t="s">
        <v>84</v>
      </c>
      <c r="C91" s="240"/>
      <c r="D91" s="240"/>
      <c r="E91" s="240"/>
      <c r="F91" s="240"/>
      <c r="G91" s="241"/>
    </row>
    <row r="92" spans="1:7" s="148" customFormat="1" ht="20.45" customHeight="1">
      <c r="A92" s="20">
        <v>1</v>
      </c>
      <c r="B92" s="231" t="s">
        <v>125</v>
      </c>
      <c r="C92" s="145">
        <v>1</v>
      </c>
      <c r="D92" s="26">
        <f>C92</f>
        <v>1</v>
      </c>
      <c r="E92" s="29" t="s">
        <v>5</v>
      </c>
      <c r="F92" s="206">
        <f>ROUND(D92,0)</f>
        <v>1</v>
      </c>
      <c r="G92" s="20" t="s">
        <v>30</v>
      </c>
    </row>
    <row r="93" spans="1:7" s="148" customFormat="1" ht="20.45" customHeight="1">
      <c r="A93" s="20">
        <f>A92+1</f>
        <v>2</v>
      </c>
      <c r="B93" s="231" t="s">
        <v>100</v>
      </c>
      <c r="C93" s="145">
        <v>6</v>
      </c>
      <c r="D93" s="26">
        <f>C93</f>
        <v>6</v>
      </c>
      <c r="E93" s="29" t="s">
        <v>5</v>
      </c>
      <c r="F93" s="206">
        <f>ROUND(D93,0)</f>
        <v>6</v>
      </c>
      <c r="G93" s="20" t="s">
        <v>30</v>
      </c>
    </row>
    <row r="94" spans="1:7" s="148" customFormat="1" ht="20.45" customHeight="1">
      <c r="A94" s="20">
        <f>A93+1</f>
        <v>3</v>
      </c>
      <c r="B94" s="231" t="s">
        <v>398</v>
      </c>
      <c r="C94" s="145">
        <v>325</v>
      </c>
      <c r="D94" s="26">
        <f>C94</f>
        <v>325</v>
      </c>
      <c r="E94" s="29" t="s">
        <v>5</v>
      </c>
      <c r="F94" s="206">
        <f>ROUND(D94,0)</f>
        <v>325</v>
      </c>
      <c r="G94" s="20" t="s">
        <v>327</v>
      </c>
    </row>
    <row r="95" spans="1:7" s="148" customFormat="1" ht="20.45" customHeight="1">
      <c r="A95" s="20">
        <f>A94+1</f>
        <v>4</v>
      </c>
      <c r="B95" s="231" t="s">
        <v>399</v>
      </c>
      <c r="C95" s="145">
        <v>325</v>
      </c>
      <c r="D95" s="26">
        <f>C95</f>
        <v>325</v>
      </c>
      <c r="E95" s="29" t="s">
        <v>5</v>
      </c>
      <c r="F95" s="206">
        <f>ROUND(D95,0)</f>
        <v>325</v>
      </c>
      <c r="G95" s="20" t="s">
        <v>327</v>
      </c>
    </row>
    <row r="96" spans="1:7" s="148" customFormat="1" ht="20.45" customHeight="1">
      <c r="A96" s="20" t="s">
        <v>458</v>
      </c>
      <c r="B96" s="239" t="s">
        <v>111</v>
      </c>
      <c r="C96" s="240"/>
      <c r="D96" s="240"/>
      <c r="E96" s="240"/>
      <c r="F96" s="240"/>
      <c r="G96" s="241"/>
    </row>
    <row r="97" spans="1:7" s="148" customFormat="1" ht="20.45" customHeight="1">
      <c r="A97" s="20">
        <v>1</v>
      </c>
      <c r="B97" s="231" t="s">
        <v>319</v>
      </c>
      <c r="C97" s="145">
        <v>4</v>
      </c>
      <c r="D97" s="26">
        <f>C97</f>
        <v>4</v>
      </c>
      <c r="E97" s="29" t="s">
        <v>5</v>
      </c>
      <c r="F97" s="206">
        <f>ROUND(D97,0)</f>
        <v>4</v>
      </c>
      <c r="G97" s="20" t="s">
        <v>321</v>
      </c>
    </row>
    <row r="98" spans="1:7" s="148" customFormat="1" ht="20.45" customHeight="1">
      <c r="A98" s="20">
        <f>A97+1</f>
        <v>2</v>
      </c>
      <c r="B98" s="231" t="s">
        <v>320</v>
      </c>
      <c r="C98" s="145">
        <v>46</v>
      </c>
      <c r="D98" s="26">
        <f>C98</f>
        <v>46</v>
      </c>
      <c r="E98" s="29" t="s">
        <v>5</v>
      </c>
      <c r="F98" s="206">
        <f>ROUND(D98,0)</f>
        <v>46</v>
      </c>
      <c r="G98" s="20" t="s">
        <v>322</v>
      </c>
    </row>
    <row r="99" spans="1:7" s="148" customFormat="1" ht="18" customHeight="1">
      <c r="A99" s="20"/>
      <c r="B99" s="145"/>
      <c r="C99" s="145"/>
      <c r="D99" s="26"/>
      <c r="E99" s="29"/>
      <c r="F99" s="27"/>
      <c r="G99" s="20"/>
    </row>
    <row r="100" spans="1:7" s="148" customFormat="1" ht="18" customHeight="1">
      <c r="A100" s="20" t="s">
        <v>91</v>
      </c>
      <c r="B100" s="236" t="s">
        <v>65</v>
      </c>
      <c r="C100" s="236"/>
      <c r="D100" s="236"/>
      <c r="E100" s="236"/>
      <c r="F100" s="236"/>
      <c r="G100" s="236"/>
    </row>
    <row r="101" spans="1:7" s="148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8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8" customFormat="1" ht="15.75">
      <c r="A103" s="20">
        <f t="shared" si="5"/>
        <v>3</v>
      </c>
      <c r="B103" s="28" t="s">
        <v>98</v>
      </c>
      <c r="C103" s="145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8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8" customFormat="1" ht="15.75">
      <c r="A105" s="20">
        <f t="shared" si="5"/>
        <v>5</v>
      </c>
      <c r="B105" s="28" t="s">
        <v>138</v>
      </c>
      <c r="C105" s="145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8" customFormat="1" ht="15.75">
      <c r="A106" s="20">
        <f t="shared" si="5"/>
        <v>6</v>
      </c>
      <c r="B106" s="28" t="s">
        <v>139</v>
      </c>
      <c r="C106" s="145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8" customFormat="1" ht="15.75">
      <c r="A107" s="20">
        <f t="shared" si="5"/>
        <v>7</v>
      </c>
      <c r="B107" s="28" t="s">
        <v>143</v>
      </c>
      <c r="C107" s="145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8" customFormat="1" ht="15.75">
      <c r="A108" s="20">
        <f t="shared" si="5"/>
        <v>8</v>
      </c>
      <c r="B108" s="28" t="s">
        <v>144</v>
      </c>
      <c r="C108" s="145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8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8" customFormat="1" ht="15.75">
      <c r="A110" s="20">
        <f t="shared" si="5"/>
        <v>10</v>
      </c>
      <c r="B110" s="28" t="s">
        <v>148</v>
      </c>
      <c r="C110" s="145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8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8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8" customFormat="1" ht="15.75">
      <c r="A113" s="20">
        <f t="shared" si="5"/>
        <v>13</v>
      </c>
      <c r="B113" s="28" t="s">
        <v>151</v>
      </c>
      <c r="C113" s="145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8" customFormat="1" ht="15.75">
      <c r="A114" s="20">
        <f t="shared" si="5"/>
        <v>14</v>
      </c>
      <c r="B114" s="28" t="s">
        <v>156</v>
      </c>
      <c r="C114" s="145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8" customFormat="1" ht="15.75">
      <c r="A115" s="20">
        <f t="shared" si="5"/>
        <v>15</v>
      </c>
      <c r="B115" s="28" t="s">
        <v>152</v>
      </c>
      <c r="C115" s="145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8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8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8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8" customFormat="1" ht="18" customHeight="1">
      <c r="A119" s="20">
        <f t="shared" si="5"/>
        <v>19</v>
      </c>
      <c r="B119" s="28" t="s">
        <v>93</v>
      </c>
      <c r="C119" s="145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8" customFormat="1" ht="18" customHeight="1">
      <c r="A120" s="20"/>
      <c r="B120" s="28"/>
      <c r="C120" s="145"/>
      <c r="D120" s="26"/>
      <c r="E120" s="29"/>
      <c r="F120" s="27"/>
      <c r="G120" s="20"/>
    </row>
    <row r="121" spans="1:7" s="148" customFormat="1" ht="18" customHeight="1">
      <c r="A121" s="20" t="s">
        <v>115</v>
      </c>
      <c r="B121" s="236" t="s">
        <v>59</v>
      </c>
      <c r="C121" s="236"/>
      <c r="D121" s="236"/>
      <c r="E121" s="236"/>
      <c r="F121" s="236"/>
      <c r="G121" s="236"/>
    </row>
    <row r="122" spans="1:7" s="148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8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8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8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8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8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8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8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8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8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8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8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8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8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8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8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8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8" customFormat="1" ht="18" customHeight="1">
      <c r="A139" s="20"/>
      <c r="B139" s="28"/>
      <c r="C139" s="25"/>
      <c r="D139" s="26"/>
      <c r="E139" s="29"/>
      <c r="F139" s="27"/>
      <c r="G139" s="20"/>
    </row>
    <row r="140" spans="1:7" s="148" customFormat="1" ht="18" customHeight="1">
      <c r="A140" s="151" t="s">
        <v>39</v>
      </c>
      <c r="B140" s="152" t="s">
        <v>48</v>
      </c>
      <c r="C140" s="153"/>
      <c r="D140" s="154"/>
      <c r="E140" s="155"/>
      <c r="F140" s="156"/>
      <c r="G140" s="151"/>
    </row>
    <row r="141" spans="1:7" s="148" customFormat="1" ht="18" customHeight="1">
      <c r="A141" s="151" t="s">
        <v>32</v>
      </c>
      <c r="B141" s="152" t="s">
        <v>49</v>
      </c>
      <c r="C141" s="157">
        <v>1</v>
      </c>
      <c r="D141" s="154">
        <v>1</v>
      </c>
      <c r="E141" s="155" t="s">
        <v>5</v>
      </c>
      <c r="F141" s="156">
        <f>D141</f>
        <v>1</v>
      </c>
      <c r="G141" s="151" t="s">
        <v>30</v>
      </c>
    </row>
    <row r="142" spans="1:7" s="148" customFormat="1" ht="18" customHeight="1">
      <c r="A142" s="151">
        <f>A141+1</f>
        <v>2</v>
      </c>
      <c r="B142" s="152" t="s">
        <v>50</v>
      </c>
      <c r="C142" s="157">
        <v>1</v>
      </c>
      <c r="D142" s="154">
        <v>1</v>
      </c>
      <c r="E142" s="155" t="s">
        <v>5</v>
      </c>
      <c r="F142" s="156">
        <f>D142</f>
        <v>1</v>
      </c>
      <c r="G142" s="151" t="s">
        <v>30</v>
      </c>
    </row>
    <row r="143" spans="1:7" s="148" customFormat="1" ht="18" customHeight="1">
      <c r="A143" s="151">
        <f t="shared" ref="A143:A151" si="9">A142+1</f>
        <v>3</v>
      </c>
      <c r="B143" s="152" t="s">
        <v>51</v>
      </c>
      <c r="C143" s="157">
        <v>1</v>
      </c>
      <c r="D143" s="154">
        <v>1</v>
      </c>
      <c r="E143" s="155" t="s">
        <v>52</v>
      </c>
      <c r="F143" s="156">
        <v>1</v>
      </c>
      <c r="G143" s="151" t="s">
        <v>30</v>
      </c>
    </row>
    <row r="144" spans="1:7" s="148" customFormat="1" ht="18" customHeight="1">
      <c r="A144" s="151">
        <f t="shared" si="9"/>
        <v>4</v>
      </c>
      <c r="B144" s="152" t="s">
        <v>58</v>
      </c>
      <c r="C144" s="157">
        <v>4</v>
      </c>
      <c r="D144" s="154">
        <f>((413-120)+120)/120</f>
        <v>3.4416666666666669</v>
      </c>
      <c r="E144" s="155" t="s">
        <v>5</v>
      </c>
      <c r="F144" s="156">
        <v>4</v>
      </c>
      <c r="G144" s="151" t="s">
        <v>53</v>
      </c>
    </row>
    <row r="145" spans="1:7" s="148" customFormat="1" ht="20.25" customHeight="1">
      <c r="A145" s="151">
        <f t="shared" si="9"/>
        <v>5</v>
      </c>
      <c r="B145" s="152" t="s">
        <v>46</v>
      </c>
      <c r="C145" s="157" t="s">
        <v>109</v>
      </c>
      <c r="D145" s="154">
        <v>2</v>
      </c>
      <c r="E145" s="155" t="s">
        <v>5</v>
      </c>
      <c r="F145" s="156">
        <f>D145</f>
        <v>2</v>
      </c>
      <c r="G145" s="151" t="s">
        <v>44</v>
      </c>
    </row>
    <row r="146" spans="1:7" s="148" customFormat="1" ht="20.25" customHeight="1">
      <c r="A146" s="151">
        <f t="shared" si="9"/>
        <v>6</v>
      </c>
      <c r="B146" s="152" t="s">
        <v>47</v>
      </c>
      <c r="C146" s="157">
        <v>2</v>
      </c>
      <c r="D146" s="154">
        <v>2</v>
      </c>
      <c r="E146" s="155" t="s">
        <v>5</v>
      </c>
      <c r="F146" s="156">
        <f>D146</f>
        <v>2</v>
      </c>
      <c r="G146" s="151" t="s">
        <v>45</v>
      </c>
    </row>
    <row r="147" spans="1:7" s="148" customFormat="1" ht="20.25" customHeight="1">
      <c r="A147" s="151">
        <f t="shared" si="9"/>
        <v>7</v>
      </c>
      <c r="B147" s="152" t="s">
        <v>33</v>
      </c>
      <c r="C147" s="159">
        <v>1</v>
      </c>
      <c r="D147" s="154">
        <f>C147</f>
        <v>1</v>
      </c>
      <c r="E147" s="155" t="s">
        <v>5</v>
      </c>
      <c r="F147" s="156">
        <f>D147</f>
        <v>1</v>
      </c>
      <c r="G147" s="151" t="s">
        <v>34</v>
      </c>
    </row>
    <row r="148" spans="1:7" s="148" customFormat="1" ht="20.25" customHeight="1">
      <c r="A148" s="151">
        <f t="shared" si="9"/>
        <v>8</v>
      </c>
      <c r="B148" s="152" t="s">
        <v>35</v>
      </c>
      <c r="C148" s="159" t="s">
        <v>41</v>
      </c>
      <c r="D148" s="154">
        <v>1</v>
      </c>
      <c r="E148" s="155" t="s">
        <v>40</v>
      </c>
      <c r="F148" s="156">
        <f>ROUND(D148,0)</f>
        <v>1</v>
      </c>
      <c r="G148" s="151" t="s">
        <v>34</v>
      </c>
    </row>
    <row r="149" spans="1:7" s="148" customFormat="1" ht="20.25" customHeight="1">
      <c r="A149" s="151">
        <f t="shared" si="9"/>
        <v>9</v>
      </c>
      <c r="B149" s="152" t="s">
        <v>36</v>
      </c>
      <c r="C149" s="159" t="s">
        <v>42</v>
      </c>
      <c r="D149" s="154">
        <v>1</v>
      </c>
      <c r="E149" s="155" t="s">
        <v>5</v>
      </c>
      <c r="F149" s="156">
        <v>1</v>
      </c>
      <c r="G149" s="151" t="s">
        <v>37</v>
      </c>
    </row>
    <row r="150" spans="1:7" s="148" customFormat="1" ht="20.25" customHeight="1">
      <c r="A150" s="151">
        <f t="shared" si="9"/>
        <v>10</v>
      </c>
      <c r="B150" s="152" t="s">
        <v>38</v>
      </c>
      <c r="C150" s="159" t="s">
        <v>43</v>
      </c>
      <c r="D150" s="154">
        <v>1</v>
      </c>
      <c r="E150" s="155" t="s">
        <v>5</v>
      </c>
      <c r="F150" s="156">
        <v>1</v>
      </c>
      <c r="G150" s="151" t="s">
        <v>37</v>
      </c>
    </row>
    <row r="151" spans="1:7" s="148" customFormat="1" ht="20.25" customHeight="1">
      <c r="A151" s="151">
        <f t="shared" si="9"/>
        <v>11</v>
      </c>
      <c r="B151" s="152" t="s">
        <v>54</v>
      </c>
      <c r="C151" s="159" t="s">
        <v>56</v>
      </c>
      <c r="D151" s="154">
        <v>1</v>
      </c>
      <c r="E151" s="155" t="s">
        <v>55</v>
      </c>
      <c r="F151" s="156">
        <v>1</v>
      </c>
      <c r="G151" s="151" t="s">
        <v>30</v>
      </c>
    </row>
    <row r="152" spans="1:7" s="148" customFormat="1" ht="20.25" customHeight="1">
      <c r="A152" s="151"/>
      <c r="B152" s="152"/>
      <c r="C152" s="153"/>
      <c r="D152" s="160"/>
      <c r="E152" s="155"/>
      <c r="F152" s="156"/>
      <c r="G152" s="151"/>
    </row>
    <row r="153" spans="1:7" s="148" customFormat="1" ht="20.25" customHeight="1">
      <c r="A153" s="150"/>
      <c r="B153" s="161" t="s">
        <v>123</v>
      </c>
      <c r="C153" s="162" t="e">
        <f>F42*#REF!+#REF!+#REF!*72.4</f>
        <v>#REF!</v>
      </c>
      <c r="D153" s="163" t="e">
        <f>C153/1000</f>
        <v>#REF!</v>
      </c>
      <c r="E153" s="164"/>
      <c r="F153" s="165"/>
      <c r="G153" s="150"/>
    </row>
    <row r="154" spans="1:7" s="148" customFormat="1" ht="20.25" customHeight="1">
      <c r="A154" s="150"/>
      <c r="B154" s="158" t="s">
        <v>157</v>
      </c>
      <c r="C154" s="166" t="e">
        <f>#REF!*0.05*2.3</f>
        <v>#REF!</v>
      </c>
      <c r="D154" s="158"/>
      <c r="E154" s="150"/>
      <c r="F154" s="158"/>
      <c r="G154" s="158"/>
    </row>
    <row r="155" spans="1:7" s="148" customFormat="1" ht="20.25" customHeight="1">
      <c r="B155" s="158" t="s">
        <v>15</v>
      </c>
      <c r="C155" s="167" t="e">
        <f>#REF!</f>
        <v>#REF!</v>
      </c>
      <c r="D155" s="167" t="e">
        <f>C155</f>
        <v>#REF!</v>
      </c>
      <c r="E155" s="168"/>
    </row>
    <row r="156" spans="1:7" s="148" customFormat="1" ht="20.25" customHeight="1">
      <c r="B156" s="158" t="s">
        <v>16</v>
      </c>
      <c r="C156" s="167" t="e">
        <f>C155*1%</f>
        <v>#REF!</v>
      </c>
      <c r="D156" s="167">
        <v>61000</v>
      </c>
      <c r="E156" s="168"/>
    </row>
    <row r="157" spans="1:7" s="148" customFormat="1" ht="20.25" customHeight="1">
      <c r="B157" s="158" t="s">
        <v>25</v>
      </c>
      <c r="C157" s="167" t="e">
        <f>C155*1%</f>
        <v>#REF!</v>
      </c>
      <c r="D157" s="167">
        <v>50000</v>
      </c>
      <c r="E157" s="168"/>
    </row>
    <row r="158" spans="1:7" s="148" customFormat="1" ht="20.25" customHeight="1">
      <c r="B158" s="158" t="s">
        <v>26</v>
      </c>
      <c r="C158" s="167" t="e">
        <f>C155*1%</f>
        <v>#REF!</v>
      </c>
      <c r="D158" s="167">
        <v>160000</v>
      </c>
      <c r="E158" s="168"/>
    </row>
    <row r="159" spans="1:7" s="148" customFormat="1" ht="20.25" customHeight="1">
      <c r="B159" s="158" t="s">
        <v>27</v>
      </c>
      <c r="C159" s="167" t="e">
        <f>C155*1%</f>
        <v>#REF!</v>
      </c>
      <c r="D159" s="167">
        <v>61000</v>
      </c>
      <c r="E159" s="168"/>
    </row>
    <row r="160" spans="1:7" s="148" customFormat="1" ht="20.25" customHeight="1">
      <c r="B160" s="158" t="s">
        <v>28</v>
      </c>
      <c r="C160" s="167" t="e">
        <f>C155*8%</f>
        <v>#REF!</v>
      </c>
      <c r="D160" s="167">
        <v>453920</v>
      </c>
      <c r="E160" s="168"/>
      <c r="F160" s="167" t="e">
        <f>ROUND(D155*1%,0)</f>
        <v>#REF!</v>
      </c>
    </row>
    <row r="161" spans="2:5" s="148" customFormat="1" ht="20.25" customHeight="1">
      <c r="B161" s="158" t="s">
        <v>17</v>
      </c>
      <c r="C161" s="167" t="e">
        <f>(C155+C156+C157+C158+C159+C160)*5%</f>
        <v>#REF!</v>
      </c>
      <c r="D161" s="167">
        <v>322996</v>
      </c>
      <c r="E161" s="168"/>
    </row>
    <row r="162" spans="2:5" s="148" customFormat="1" ht="20.25" customHeight="1">
      <c r="B162" s="158" t="s">
        <v>18</v>
      </c>
      <c r="C162" s="167" t="e">
        <f>SUM(C155:C161)</f>
        <v>#REF!</v>
      </c>
      <c r="D162" s="167" t="e">
        <f>SUM(D155:D161)</f>
        <v>#REF!</v>
      </c>
      <c r="E162" s="168"/>
    </row>
    <row r="163" spans="2:5" s="148" customFormat="1" ht="20.25" customHeight="1">
      <c r="B163" s="158" t="s">
        <v>19</v>
      </c>
      <c r="C163" s="167">
        <v>27717</v>
      </c>
      <c r="E163" s="168"/>
    </row>
    <row r="164" spans="2:5" s="148" customFormat="1" ht="20.25" customHeight="1">
      <c r="B164" s="158" t="s">
        <v>20</v>
      </c>
      <c r="C164" s="167">
        <v>18088</v>
      </c>
      <c r="E164" s="168"/>
    </row>
    <row r="165" spans="2:5" s="148" customFormat="1" ht="20.25" customHeight="1">
      <c r="B165" s="158" t="s">
        <v>21</v>
      </c>
      <c r="C165" s="167" t="e">
        <f>5000000*3%+(D162-D161-F160-5000000)*1.5%</f>
        <v>#REF!</v>
      </c>
      <c r="E165" s="168"/>
    </row>
    <row r="166" spans="2:5" s="148" customFormat="1" ht="20.25" customHeight="1">
      <c r="B166" s="158" t="s">
        <v>22</v>
      </c>
      <c r="C166" s="167" t="e">
        <f>5000000*4.72%*94%+(D162-D161-F160-5000000)*4.48%*94%</f>
        <v>#REF!</v>
      </c>
      <c r="E166" s="168"/>
    </row>
    <row r="167" spans="2:5" s="148" customFormat="1" ht="20.25" customHeight="1">
      <c r="B167" s="158" t="s">
        <v>23</v>
      </c>
      <c r="C167" s="167" t="e">
        <f>5000000*3.68%*94%+(D162-D161-F160-5000000)*3.52%*94%</f>
        <v>#REF!</v>
      </c>
      <c r="E167" s="168"/>
    </row>
    <row r="168" spans="2:5" s="148" customFormat="1" ht="20.25" customHeight="1">
      <c r="B168" s="158" t="s">
        <v>24</v>
      </c>
      <c r="C168" s="167" t="e">
        <f>D162+C163+C164+C165+C166+C167</f>
        <v>#REF!</v>
      </c>
      <c r="E168" s="168"/>
    </row>
    <row r="169" spans="2:5" s="148" customFormat="1" ht="20.25" customHeight="1">
      <c r="E169" s="168"/>
    </row>
    <row r="170" spans="2:5" s="148" customFormat="1" ht="20.25" customHeight="1">
      <c r="E170" s="168"/>
    </row>
    <row r="171" spans="2:5" s="148" customFormat="1" ht="20.25" customHeight="1">
      <c r="E171" s="168"/>
    </row>
    <row r="172" spans="2:5" s="148" customFormat="1" ht="20.25" customHeight="1">
      <c r="E172" s="168"/>
    </row>
    <row r="173" spans="2:5" s="148" customFormat="1" ht="20.25" customHeight="1">
      <c r="E173" s="168"/>
    </row>
    <row r="174" spans="2:5" s="148" customFormat="1" ht="20.25" customHeight="1">
      <c r="E174" s="168"/>
    </row>
    <row r="175" spans="2:5" s="148" customFormat="1" ht="20.25" customHeight="1">
      <c r="E175" s="168"/>
    </row>
    <row r="176" spans="2:5" s="148" customFormat="1" ht="20.25" customHeight="1">
      <c r="E176" s="168"/>
    </row>
    <row r="177" spans="5:5" s="148" customFormat="1" ht="20.25" customHeight="1">
      <c r="E177" s="168"/>
    </row>
    <row r="178" spans="5:5" s="148" customFormat="1" ht="20.25" customHeight="1">
      <c r="E178" s="168"/>
    </row>
    <row r="179" spans="5:5" s="148" customFormat="1" ht="20.25" customHeight="1">
      <c r="E179" s="168"/>
    </row>
    <row r="180" spans="5:5" s="148" customFormat="1" ht="20.25" customHeight="1">
      <c r="E180" s="168"/>
    </row>
    <row r="181" spans="5:5" s="148" customFormat="1" ht="20.25" customHeight="1">
      <c r="E181" s="168"/>
    </row>
    <row r="182" spans="5:5" s="148" customFormat="1" ht="20.25" customHeight="1">
      <c r="E182" s="168"/>
    </row>
    <row r="183" spans="5:5" s="148" customFormat="1" ht="20.25" customHeight="1">
      <c r="E183" s="168"/>
    </row>
    <row r="184" spans="5:5" s="148" customFormat="1" ht="20.25" customHeight="1">
      <c r="E184" s="168"/>
    </row>
    <row r="185" spans="5:5" s="148" customFormat="1" ht="20.25" customHeight="1">
      <c r="E185" s="168"/>
    </row>
    <row r="186" spans="5:5" s="148" customFormat="1" ht="20.25" customHeight="1">
      <c r="E186" s="168"/>
    </row>
    <row r="187" spans="5:5" s="148" customFormat="1" ht="20.25" customHeight="1">
      <c r="E187" s="168"/>
    </row>
    <row r="188" spans="5:5" s="148" customFormat="1" ht="20.25" customHeight="1">
      <c r="E188" s="168"/>
    </row>
    <row r="189" spans="5:5" s="148" customFormat="1" ht="20.25" customHeight="1">
      <c r="E189" s="168"/>
    </row>
    <row r="190" spans="5:5" s="148" customFormat="1" ht="20.25" customHeight="1">
      <c r="E190" s="168"/>
    </row>
    <row r="191" spans="5:5" s="148" customFormat="1" ht="20.25" customHeight="1">
      <c r="E191" s="168"/>
    </row>
    <row r="192" spans="5:5" s="148" customFormat="1" ht="20.25" customHeight="1">
      <c r="E192" s="168"/>
    </row>
    <row r="193" spans="5:5" s="148" customFormat="1" ht="20.25" customHeight="1">
      <c r="E193" s="168"/>
    </row>
    <row r="194" spans="5:5" s="148" customFormat="1" ht="20.25" customHeight="1">
      <c r="E194" s="168"/>
    </row>
    <row r="195" spans="5:5" s="148" customFormat="1" ht="20.25" customHeight="1">
      <c r="E195" s="168"/>
    </row>
    <row r="196" spans="5:5" s="148" customFormat="1" ht="20.25" customHeight="1">
      <c r="E196" s="168"/>
    </row>
    <row r="197" spans="5:5" s="148" customFormat="1" ht="20.25" customHeight="1">
      <c r="E197" s="168"/>
    </row>
    <row r="198" spans="5:5" s="148" customFormat="1" ht="20.25" customHeight="1">
      <c r="E198" s="168"/>
    </row>
    <row r="199" spans="5:5" s="148" customFormat="1" ht="20.25" customHeight="1">
      <c r="E199" s="168"/>
    </row>
    <row r="200" spans="5:5" s="148" customFormat="1" ht="20.25" customHeight="1">
      <c r="E200" s="168"/>
    </row>
    <row r="201" spans="5:5" s="148" customFormat="1" ht="20.25" customHeight="1">
      <c r="E201" s="168"/>
    </row>
    <row r="202" spans="5:5" s="148" customFormat="1" ht="20.25" customHeight="1">
      <c r="E202" s="168"/>
    </row>
    <row r="203" spans="5:5" s="148" customFormat="1" ht="20.25" customHeight="1">
      <c r="E203" s="168"/>
    </row>
    <row r="204" spans="5:5" s="148" customFormat="1" ht="20.25" customHeight="1">
      <c r="E204" s="168"/>
    </row>
    <row r="205" spans="5:5" s="148" customFormat="1" ht="20.25" customHeight="1">
      <c r="E205" s="168"/>
    </row>
    <row r="206" spans="5:5" s="148" customFormat="1" ht="20.25" customHeight="1">
      <c r="E206" s="168"/>
    </row>
    <row r="207" spans="5:5" s="148" customFormat="1" ht="20.25" customHeight="1">
      <c r="E207" s="168"/>
    </row>
    <row r="208" spans="5:5" s="148" customFormat="1" ht="20.25" customHeight="1">
      <c r="E208" s="168"/>
    </row>
    <row r="209" spans="5:5" s="148" customFormat="1" ht="20.25" customHeight="1">
      <c r="E209" s="168"/>
    </row>
    <row r="210" spans="5:5" s="148" customFormat="1" ht="20.25" customHeight="1">
      <c r="E210" s="168"/>
    </row>
    <row r="211" spans="5:5" s="148" customFormat="1" ht="20.25" customHeight="1">
      <c r="E211" s="168"/>
    </row>
    <row r="212" spans="5:5" s="148" customFormat="1" ht="20.25" customHeight="1">
      <c r="E212" s="168"/>
    </row>
    <row r="213" spans="5:5" s="148" customFormat="1" ht="20.25" customHeight="1">
      <c r="E213" s="168"/>
    </row>
    <row r="214" spans="5:5" s="148" customFormat="1" ht="20.25" customHeight="1">
      <c r="E214" s="168"/>
    </row>
    <row r="215" spans="5:5" s="148" customFormat="1" ht="20.25" customHeight="1">
      <c r="E215" s="168"/>
    </row>
    <row r="216" spans="5:5" s="148" customFormat="1" ht="20.25" customHeight="1">
      <c r="E216" s="168"/>
    </row>
    <row r="217" spans="5:5" s="148" customFormat="1" ht="20.25" customHeight="1">
      <c r="E217" s="168"/>
    </row>
    <row r="218" spans="5:5" s="148" customFormat="1" ht="20.25" customHeight="1">
      <c r="E218" s="168"/>
    </row>
    <row r="219" spans="5:5" s="148" customFormat="1" ht="20.25" customHeight="1">
      <c r="E219" s="168"/>
    </row>
    <row r="220" spans="5:5" s="148" customFormat="1" ht="20.25" customHeight="1">
      <c r="E220" s="168"/>
    </row>
    <row r="221" spans="5:5" s="148" customFormat="1" ht="20.25" customHeight="1">
      <c r="E221" s="168"/>
    </row>
    <row r="222" spans="5:5" s="148" customFormat="1" ht="20.25" customHeight="1">
      <c r="E222" s="168"/>
    </row>
    <row r="223" spans="5:5" s="148" customFormat="1" ht="20.25" customHeight="1">
      <c r="E223" s="168"/>
    </row>
    <row r="224" spans="5:5" s="148" customFormat="1" ht="20.25" customHeight="1">
      <c r="E224" s="168"/>
    </row>
    <row r="225" spans="1:7" s="147" customFormat="1" ht="20.25" customHeight="1">
      <c r="A225" s="148"/>
      <c r="B225" s="148"/>
      <c r="C225" s="148"/>
      <c r="D225" s="148"/>
      <c r="E225" s="168"/>
      <c r="F225" s="148"/>
      <c r="G225" s="148"/>
    </row>
    <row r="226" spans="1:7" s="147" customFormat="1" ht="20.25" customHeight="1">
      <c r="A226" s="148"/>
      <c r="B226" s="148"/>
      <c r="C226" s="148"/>
      <c r="D226" s="148"/>
      <c r="E226" s="168"/>
      <c r="F226" s="148"/>
      <c r="G226" s="148"/>
    </row>
    <row r="227" spans="1:7" ht="20.25" customHeight="1">
      <c r="A227" s="148"/>
      <c r="B227" s="148"/>
      <c r="C227" s="148"/>
      <c r="D227" s="148"/>
      <c r="E227" s="168"/>
      <c r="F227" s="148"/>
      <c r="G227" s="148"/>
    </row>
    <row r="228" spans="1:7" ht="20.25" customHeight="1">
      <c r="A228" s="148"/>
      <c r="B228" s="148"/>
      <c r="C228" s="148"/>
      <c r="D228" s="148"/>
      <c r="E228" s="168"/>
      <c r="F228" s="148"/>
      <c r="G228" s="148"/>
    </row>
    <row r="229" spans="1:7" ht="20.25" customHeight="1">
      <c r="A229" s="148"/>
      <c r="B229" s="148"/>
      <c r="C229" s="148"/>
      <c r="D229" s="148"/>
      <c r="E229" s="168"/>
      <c r="F229" s="148"/>
      <c r="G229" s="148"/>
    </row>
    <row r="230" spans="1:7" ht="20.25" customHeight="1">
      <c r="A230" s="148"/>
      <c r="B230" s="148"/>
      <c r="C230" s="148"/>
      <c r="D230" s="148"/>
      <c r="E230" s="168"/>
      <c r="F230" s="148"/>
      <c r="G230" s="148"/>
    </row>
    <row r="231" spans="1:7" ht="20.25" customHeight="1">
      <c r="A231" s="148"/>
      <c r="B231" s="40"/>
      <c r="C231" s="40"/>
      <c r="D231" s="13"/>
      <c r="E231" s="17"/>
      <c r="F231" s="13"/>
      <c r="G231" s="40"/>
    </row>
    <row r="232" spans="1:7" ht="20.25" customHeight="1">
      <c r="A232" s="148"/>
      <c r="B232" s="40"/>
      <c r="C232" s="40"/>
      <c r="D232" s="13"/>
      <c r="E232" s="17"/>
      <c r="F232" s="13"/>
      <c r="G232" s="40"/>
    </row>
    <row r="233" spans="1:7" ht="20.25" customHeight="1">
      <c r="A233" s="148"/>
      <c r="B233" s="40"/>
      <c r="C233" s="40"/>
      <c r="D233" s="169"/>
      <c r="E233" s="170"/>
      <c r="F233" s="169"/>
      <c r="G233" s="40"/>
    </row>
    <row r="234" spans="1:7" ht="20.25" customHeight="1">
      <c r="A234" s="148"/>
      <c r="B234" s="40"/>
      <c r="C234" s="40"/>
      <c r="D234" s="171"/>
      <c r="E234" s="172"/>
      <c r="F234" s="171"/>
      <c r="G234" s="40"/>
    </row>
    <row r="235" spans="1:7" ht="20.25" customHeight="1">
      <c r="A235" s="147"/>
      <c r="B235" s="40"/>
      <c r="C235" s="40"/>
      <c r="D235" s="173"/>
      <c r="E235" s="174"/>
      <c r="F235" s="173"/>
      <c r="G235" s="40"/>
    </row>
    <row r="236" spans="1:7" ht="20.25" customHeight="1">
      <c r="A236" s="147"/>
      <c r="B236" s="40"/>
      <c r="C236" s="40"/>
      <c r="D236" s="173"/>
      <c r="E236" s="174"/>
      <c r="F236" s="173"/>
      <c r="G236" s="40"/>
    </row>
    <row r="237" spans="1:7" ht="20.25" customHeight="1">
      <c r="B237" s="40"/>
      <c r="C237" s="40"/>
      <c r="D237" s="173"/>
      <c r="E237" s="174"/>
      <c r="F237" s="173"/>
      <c r="G237" s="40"/>
    </row>
    <row r="238" spans="1:7" ht="20.25" customHeight="1">
      <c r="B238" s="40"/>
      <c r="C238" s="40"/>
      <c r="D238" s="173"/>
      <c r="E238" s="174"/>
      <c r="F238" s="173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9"/>
      <c r="E241" s="170"/>
      <c r="F241" s="169"/>
      <c r="G241" s="40"/>
    </row>
    <row r="242" spans="2:7" ht="20.25" customHeight="1">
      <c r="B242" s="40"/>
      <c r="C242" s="40"/>
      <c r="D242" s="171"/>
      <c r="E242" s="172"/>
      <c r="F242" s="171"/>
      <c r="G242" s="40"/>
    </row>
    <row r="243" spans="2:7" ht="20.25" customHeight="1">
      <c r="B243" s="40"/>
      <c r="C243" s="40"/>
      <c r="D243" s="173"/>
      <c r="E243" s="174"/>
      <c r="F243" s="173"/>
      <c r="G243" s="40"/>
    </row>
    <row r="244" spans="2:7" ht="20.25" customHeight="1">
      <c r="B244" s="40"/>
      <c r="C244" s="40"/>
      <c r="D244" s="173"/>
      <c r="E244" s="174"/>
      <c r="F244" s="173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5"/>
      <c r="E246" s="176"/>
      <c r="F246" s="175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5"/>
      <c r="E251" s="176"/>
      <c r="F251" s="175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9"/>
      <c r="E256" s="170"/>
      <c r="F256" s="169"/>
      <c r="G256" s="40"/>
    </row>
    <row r="257" spans="2:7" ht="20.25" customHeight="1">
      <c r="B257" s="40"/>
      <c r="C257" s="40"/>
      <c r="D257" s="173"/>
      <c r="E257" s="174"/>
      <c r="F257" s="173"/>
      <c r="G257" s="40"/>
    </row>
    <row r="258" spans="2:7" ht="20.25" customHeight="1">
      <c r="B258" s="40"/>
      <c r="C258" s="40"/>
      <c r="D258" s="173"/>
      <c r="E258" s="174"/>
      <c r="F258" s="173"/>
      <c r="G258" s="40"/>
    </row>
    <row r="259" spans="2:7" ht="20.25" customHeight="1">
      <c r="B259" s="40"/>
      <c r="C259" s="40"/>
      <c r="D259" s="173"/>
      <c r="E259" s="174"/>
      <c r="F259" s="173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1"/>
  <sheetViews>
    <sheetView view="pageBreakPreview" zoomScaleNormal="100" zoomScaleSheetLayoutView="100" workbookViewId="0">
      <selection activeCell="B32" sqref="B32"/>
    </sheetView>
  </sheetViews>
  <sheetFormatPr defaultRowHeight="15.75"/>
  <cols>
    <col min="1" max="1" width="5.625" style="128" customWidth="1"/>
    <col min="2" max="2" width="31.625" style="128" customWidth="1"/>
    <col min="3" max="3" width="5.625" style="128" customWidth="1"/>
    <col min="4" max="15" width="15.625" style="128" customWidth="1"/>
    <col min="16" max="16" width="10.625" style="128" customWidth="1"/>
    <col min="17" max="17" width="26.375" style="128" bestFit="1" customWidth="1"/>
    <col min="18" max="18" width="11.375" style="128" customWidth="1"/>
    <col min="19" max="19" width="13.25" style="128" customWidth="1"/>
    <col min="20" max="259" width="9" style="128"/>
    <col min="260" max="260" width="6.625" style="128" customWidth="1"/>
    <col min="261" max="261" width="31.625" style="128" customWidth="1"/>
    <col min="262" max="262" width="6.625" style="128" customWidth="1"/>
    <col min="263" max="268" width="16.625" style="128" customWidth="1"/>
    <col min="269" max="269" width="21.875" style="128" bestFit="1" customWidth="1"/>
    <col min="270" max="270" width="15.625" style="128" customWidth="1"/>
    <col min="271" max="271" width="16.625" style="128" customWidth="1"/>
    <col min="272" max="272" width="10.625" style="128" customWidth="1"/>
    <col min="273" max="273" width="26.375" style="128" bestFit="1" customWidth="1"/>
    <col min="274" max="274" width="11.375" style="128" customWidth="1"/>
    <col min="275" max="275" width="13.25" style="128" customWidth="1"/>
    <col min="276" max="515" width="9" style="128"/>
    <col min="516" max="516" width="6.625" style="128" customWidth="1"/>
    <col min="517" max="517" width="31.625" style="128" customWidth="1"/>
    <col min="518" max="518" width="6.625" style="128" customWidth="1"/>
    <col min="519" max="524" width="16.625" style="128" customWidth="1"/>
    <col min="525" max="525" width="21.875" style="128" bestFit="1" customWidth="1"/>
    <col min="526" max="526" width="15.625" style="128" customWidth="1"/>
    <col min="527" max="527" width="16.625" style="128" customWidth="1"/>
    <col min="528" max="528" width="10.625" style="128" customWidth="1"/>
    <col min="529" max="529" width="26.375" style="128" bestFit="1" customWidth="1"/>
    <col min="530" max="530" width="11.375" style="128" customWidth="1"/>
    <col min="531" max="531" width="13.25" style="128" customWidth="1"/>
    <col min="532" max="771" width="9" style="128"/>
    <col min="772" max="772" width="6.625" style="128" customWidth="1"/>
    <col min="773" max="773" width="31.625" style="128" customWidth="1"/>
    <col min="774" max="774" width="6.625" style="128" customWidth="1"/>
    <col min="775" max="780" width="16.625" style="128" customWidth="1"/>
    <col min="781" max="781" width="21.875" style="128" bestFit="1" customWidth="1"/>
    <col min="782" max="782" width="15.625" style="128" customWidth="1"/>
    <col min="783" max="783" width="16.625" style="128" customWidth="1"/>
    <col min="784" max="784" width="10.625" style="128" customWidth="1"/>
    <col min="785" max="785" width="26.375" style="128" bestFit="1" customWidth="1"/>
    <col min="786" max="786" width="11.375" style="128" customWidth="1"/>
    <col min="787" max="787" width="13.25" style="128" customWidth="1"/>
    <col min="788" max="1027" width="9" style="128"/>
    <col min="1028" max="1028" width="6.625" style="128" customWidth="1"/>
    <col min="1029" max="1029" width="31.625" style="128" customWidth="1"/>
    <col min="1030" max="1030" width="6.625" style="128" customWidth="1"/>
    <col min="1031" max="1036" width="16.625" style="128" customWidth="1"/>
    <col min="1037" max="1037" width="21.875" style="128" bestFit="1" customWidth="1"/>
    <col min="1038" max="1038" width="15.625" style="128" customWidth="1"/>
    <col min="1039" max="1039" width="16.625" style="128" customWidth="1"/>
    <col min="1040" max="1040" width="10.625" style="128" customWidth="1"/>
    <col min="1041" max="1041" width="26.375" style="128" bestFit="1" customWidth="1"/>
    <col min="1042" max="1042" width="11.375" style="128" customWidth="1"/>
    <col min="1043" max="1043" width="13.25" style="128" customWidth="1"/>
    <col min="1044" max="1283" width="9" style="128"/>
    <col min="1284" max="1284" width="6.625" style="128" customWidth="1"/>
    <col min="1285" max="1285" width="31.625" style="128" customWidth="1"/>
    <col min="1286" max="1286" width="6.625" style="128" customWidth="1"/>
    <col min="1287" max="1292" width="16.625" style="128" customWidth="1"/>
    <col min="1293" max="1293" width="21.875" style="128" bestFit="1" customWidth="1"/>
    <col min="1294" max="1294" width="15.625" style="128" customWidth="1"/>
    <col min="1295" max="1295" width="16.625" style="128" customWidth="1"/>
    <col min="1296" max="1296" width="10.625" style="128" customWidth="1"/>
    <col min="1297" max="1297" width="26.375" style="128" bestFit="1" customWidth="1"/>
    <col min="1298" max="1298" width="11.375" style="128" customWidth="1"/>
    <col min="1299" max="1299" width="13.25" style="128" customWidth="1"/>
    <col min="1300" max="1539" width="9" style="128"/>
    <col min="1540" max="1540" width="6.625" style="128" customWidth="1"/>
    <col min="1541" max="1541" width="31.625" style="128" customWidth="1"/>
    <col min="1542" max="1542" width="6.625" style="128" customWidth="1"/>
    <col min="1543" max="1548" width="16.625" style="128" customWidth="1"/>
    <col min="1549" max="1549" width="21.875" style="128" bestFit="1" customWidth="1"/>
    <col min="1550" max="1550" width="15.625" style="128" customWidth="1"/>
    <col min="1551" max="1551" width="16.625" style="128" customWidth="1"/>
    <col min="1552" max="1552" width="10.625" style="128" customWidth="1"/>
    <col min="1553" max="1553" width="26.375" style="128" bestFit="1" customWidth="1"/>
    <col min="1554" max="1554" width="11.375" style="128" customWidth="1"/>
    <col min="1555" max="1555" width="13.25" style="128" customWidth="1"/>
    <col min="1556" max="1795" width="9" style="128"/>
    <col min="1796" max="1796" width="6.625" style="128" customWidth="1"/>
    <col min="1797" max="1797" width="31.625" style="128" customWidth="1"/>
    <col min="1798" max="1798" width="6.625" style="128" customWidth="1"/>
    <col min="1799" max="1804" width="16.625" style="128" customWidth="1"/>
    <col min="1805" max="1805" width="21.875" style="128" bestFit="1" customWidth="1"/>
    <col min="1806" max="1806" width="15.625" style="128" customWidth="1"/>
    <col min="1807" max="1807" width="16.625" style="128" customWidth="1"/>
    <col min="1808" max="1808" width="10.625" style="128" customWidth="1"/>
    <col min="1809" max="1809" width="26.375" style="128" bestFit="1" customWidth="1"/>
    <col min="1810" max="1810" width="11.375" style="128" customWidth="1"/>
    <col min="1811" max="1811" width="13.25" style="128" customWidth="1"/>
    <col min="1812" max="2051" width="9" style="128"/>
    <col min="2052" max="2052" width="6.625" style="128" customWidth="1"/>
    <col min="2053" max="2053" width="31.625" style="128" customWidth="1"/>
    <col min="2054" max="2054" width="6.625" style="128" customWidth="1"/>
    <col min="2055" max="2060" width="16.625" style="128" customWidth="1"/>
    <col min="2061" max="2061" width="21.875" style="128" bestFit="1" customWidth="1"/>
    <col min="2062" max="2062" width="15.625" style="128" customWidth="1"/>
    <col min="2063" max="2063" width="16.625" style="128" customWidth="1"/>
    <col min="2064" max="2064" width="10.625" style="128" customWidth="1"/>
    <col min="2065" max="2065" width="26.375" style="128" bestFit="1" customWidth="1"/>
    <col min="2066" max="2066" width="11.375" style="128" customWidth="1"/>
    <col min="2067" max="2067" width="13.25" style="128" customWidth="1"/>
    <col min="2068" max="2307" width="9" style="128"/>
    <col min="2308" max="2308" width="6.625" style="128" customWidth="1"/>
    <col min="2309" max="2309" width="31.625" style="128" customWidth="1"/>
    <col min="2310" max="2310" width="6.625" style="128" customWidth="1"/>
    <col min="2311" max="2316" width="16.625" style="128" customWidth="1"/>
    <col min="2317" max="2317" width="21.875" style="128" bestFit="1" customWidth="1"/>
    <col min="2318" max="2318" width="15.625" style="128" customWidth="1"/>
    <col min="2319" max="2319" width="16.625" style="128" customWidth="1"/>
    <col min="2320" max="2320" width="10.625" style="128" customWidth="1"/>
    <col min="2321" max="2321" width="26.375" style="128" bestFit="1" customWidth="1"/>
    <col min="2322" max="2322" width="11.375" style="128" customWidth="1"/>
    <col min="2323" max="2323" width="13.25" style="128" customWidth="1"/>
    <col min="2324" max="2563" width="9" style="128"/>
    <col min="2564" max="2564" width="6.625" style="128" customWidth="1"/>
    <col min="2565" max="2565" width="31.625" style="128" customWidth="1"/>
    <col min="2566" max="2566" width="6.625" style="128" customWidth="1"/>
    <col min="2567" max="2572" width="16.625" style="128" customWidth="1"/>
    <col min="2573" max="2573" width="21.875" style="128" bestFit="1" customWidth="1"/>
    <col min="2574" max="2574" width="15.625" style="128" customWidth="1"/>
    <col min="2575" max="2575" width="16.625" style="128" customWidth="1"/>
    <col min="2576" max="2576" width="10.625" style="128" customWidth="1"/>
    <col min="2577" max="2577" width="26.375" style="128" bestFit="1" customWidth="1"/>
    <col min="2578" max="2578" width="11.375" style="128" customWidth="1"/>
    <col min="2579" max="2579" width="13.25" style="128" customWidth="1"/>
    <col min="2580" max="2819" width="9" style="128"/>
    <col min="2820" max="2820" width="6.625" style="128" customWidth="1"/>
    <col min="2821" max="2821" width="31.625" style="128" customWidth="1"/>
    <col min="2822" max="2822" width="6.625" style="128" customWidth="1"/>
    <col min="2823" max="2828" width="16.625" style="128" customWidth="1"/>
    <col min="2829" max="2829" width="21.875" style="128" bestFit="1" customWidth="1"/>
    <col min="2830" max="2830" width="15.625" style="128" customWidth="1"/>
    <col min="2831" max="2831" width="16.625" style="128" customWidth="1"/>
    <col min="2832" max="2832" width="10.625" style="128" customWidth="1"/>
    <col min="2833" max="2833" width="26.375" style="128" bestFit="1" customWidth="1"/>
    <col min="2834" max="2834" width="11.375" style="128" customWidth="1"/>
    <col min="2835" max="2835" width="13.25" style="128" customWidth="1"/>
    <col min="2836" max="3075" width="9" style="128"/>
    <col min="3076" max="3076" width="6.625" style="128" customWidth="1"/>
    <col min="3077" max="3077" width="31.625" style="128" customWidth="1"/>
    <col min="3078" max="3078" width="6.625" style="128" customWidth="1"/>
    <col min="3079" max="3084" width="16.625" style="128" customWidth="1"/>
    <col min="3085" max="3085" width="21.875" style="128" bestFit="1" customWidth="1"/>
    <col min="3086" max="3086" width="15.625" style="128" customWidth="1"/>
    <col min="3087" max="3087" width="16.625" style="128" customWidth="1"/>
    <col min="3088" max="3088" width="10.625" style="128" customWidth="1"/>
    <col min="3089" max="3089" width="26.375" style="128" bestFit="1" customWidth="1"/>
    <col min="3090" max="3090" width="11.375" style="128" customWidth="1"/>
    <col min="3091" max="3091" width="13.25" style="128" customWidth="1"/>
    <col min="3092" max="3331" width="9" style="128"/>
    <col min="3332" max="3332" width="6.625" style="128" customWidth="1"/>
    <col min="3333" max="3333" width="31.625" style="128" customWidth="1"/>
    <col min="3334" max="3334" width="6.625" style="128" customWidth="1"/>
    <col min="3335" max="3340" width="16.625" style="128" customWidth="1"/>
    <col min="3341" max="3341" width="21.875" style="128" bestFit="1" customWidth="1"/>
    <col min="3342" max="3342" width="15.625" style="128" customWidth="1"/>
    <col min="3343" max="3343" width="16.625" style="128" customWidth="1"/>
    <col min="3344" max="3344" width="10.625" style="128" customWidth="1"/>
    <col min="3345" max="3345" width="26.375" style="128" bestFit="1" customWidth="1"/>
    <col min="3346" max="3346" width="11.375" style="128" customWidth="1"/>
    <col min="3347" max="3347" width="13.25" style="128" customWidth="1"/>
    <col min="3348" max="3587" width="9" style="128"/>
    <col min="3588" max="3588" width="6.625" style="128" customWidth="1"/>
    <col min="3589" max="3589" width="31.625" style="128" customWidth="1"/>
    <col min="3590" max="3590" width="6.625" style="128" customWidth="1"/>
    <col min="3591" max="3596" width="16.625" style="128" customWidth="1"/>
    <col min="3597" max="3597" width="21.875" style="128" bestFit="1" customWidth="1"/>
    <col min="3598" max="3598" width="15.625" style="128" customWidth="1"/>
    <col min="3599" max="3599" width="16.625" style="128" customWidth="1"/>
    <col min="3600" max="3600" width="10.625" style="128" customWidth="1"/>
    <col min="3601" max="3601" width="26.375" style="128" bestFit="1" customWidth="1"/>
    <col min="3602" max="3602" width="11.375" style="128" customWidth="1"/>
    <col min="3603" max="3603" width="13.25" style="128" customWidth="1"/>
    <col min="3604" max="3843" width="9" style="128"/>
    <col min="3844" max="3844" width="6.625" style="128" customWidth="1"/>
    <col min="3845" max="3845" width="31.625" style="128" customWidth="1"/>
    <col min="3846" max="3846" width="6.625" style="128" customWidth="1"/>
    <col min="3847" max="3852" width="16.625" style="128" customWidth="1"/>
    <col min="3853" max="3853" width="21.875" style="128" bestFit="1" customWidth="1"/>
    <col min="3854" max="3854" width="15.625" style="128" customWidth="1"/>
    <col min="3855" max="3855" width="16.625" style="128" customWidth="1"/>
    <col min="3856" max="3856" width="10.625" style="128" customWidth="1"/>
    <col min="3857" max="3857" width="26.375" style="128" bestFit="1" customWidth="1"/>
    <col min="3858" max="3858" width="11.375" style="128" customWidth="1"/>
    <col min="3859" max="3859" width="13.25" style="128" customWidth="1"/>
    <col min="3860" max="4099" width="9" style="128"/>
    <col min="4100" max="4100" width="6.625" style="128" customWidth="1"/>
    <col min="4101" max="4101" width="31.625" style="128" customWidth="1"/>
    <col min="4102" max="4102" width="6.625" style="128" customWidth="1"/>
    <col min="4103" max="4108" width="16.625" style="128" customWidth="1"/>
    <col min="4109" max="4109" width="21.875" style="128" bestFit="1" customWidth="1"/>
    <col min="4110" max="4110" width="15.625" style="128" customWidth="1"/>
    <col min="4111" max="4111" width="16.625" style="128" customWidth="1"/>
    <col min="4112" max="4112" width="10.625" style="128" customWidth="1"/>
    <col min="4113" max="4113" width="26.375" style="128" bestFit="1" customWidth="1"/>
    <col min="4114" max="4114" width="11.375" style="128" customWidth="1"/>
    <col min="4115" max="4115" width="13.25" style="128" customWidth="1"/>
    <col min="4116" max="4355" width="9" style="128"/>
    <col min="4356" max="4356" width="6.625" style="128" customWidth="1"/>
    <col min="4357" max="4357" width="31.625" style="128" customWidth="1"/>
    <col min="4358" max="4358" width="6.625" style="128" customWidth="1"/>
    <col min="4359" max="4364" width="16.625" style="128" customWidth="1"/>
    <col min="4365" max="4365" width="21.875" style="128" bestFit="1" customWidth="1"/>
    <col min="4366" max="4366" width="15.625" style="128" customWidth="1"/>
    <col min="4367" max="4367" width="16.625" style="128" customWidth="1"/>
    <col min="4368" max="4368" width="10.625" style="128" customWidth="1"/>
    <col min="4369" max="4369" width="26.375" style="128" bestFit="1" customWidth="1"/>
    <col min="4370" max="4370" width="11.375" style="128" customWidth="1"/>
    <col min="4371" max="4371" width="13.25" style="128" customWidth="1"/>
    <col min="4372" max="4611" width="9" style="128"/>
    <col min="4612" max="4612" width="6.625" style="128" customWidth="1"/>
    <col min="4613" max="4613" width="31.625" style="128" customWidth="1"/>
    <col min="4614" max="4614" width="6.625" style="128" customWidth="1"/>
    <col min="4615" max="4620" width="16.625" style="128" customWidth="1"/>
    <col min="4621" max="4621" width="21.875" style="128" bestFit="1" customWidth="1"/>
    <col min="4622" max="4622" width="15.625" style="128" customWidth="1"/>
    <col min="4623" max="4623" width="16.625" style="128" customWidth="1"/>
    <col min="4624" max="4624" width="10.625" style="128" customWidth="1"/>
    <col min="4625" max="4625" width="26.375" style="128" bestFit="1" customWidth="1"/>
    <col min="4626" max="4626" width="11.375" style="128" customWidth="1"/>
    <col min="4627" max="4627" width="13.25" style="128" customWidth="1"/>
    <col min="4628" max="4867" width="9" style="128"/>
    <col min="4868" max="4868" width="6.625" style="128" customWidth="1"/>
    <col min="4869" max="4869" width="31.625" style="128" customWidth="1"/>
    <col min="4870" max="4870" width="6.625" style="128" customWidth="1"/>
    <col min="4871" max="4876" width="16.625" style="128" customWidth="1"/>
    <col min="4877" max="4877" width="21.875" style="128" bestFit="1" customWidth="1"/>
    <col min="4878" max="4878" width="15.625" style="128" customWidth="1"/>
    <col min="4879" max="4879" width="16.625" style="128" customWidth="1"/>
    <col min="4880" max="4880" width="10.625" style="128" customWidth="1"/>
    <col min="4881" max="4881" width="26.375" style="128" bestFit="1" customWidth="1"/>
    <col min="4882" max="4882" width="11.375" style="128" customWidth="1"/>
    <col min="4883" max="4883" width="13.25" style="128" customWidth="1"/>
    <col min="4884" max="5123" width="9" style="128"/>
    <col min="5124" max="5124" width="6.625" style="128" customWidth="1"/>
    <col min="5125" max="5125" width="31.625" style="128" customWidth="1"/>
    <col min="5126" max="5126" width="6.625" style="128" customWidth="1"/>
    <col min="5127" max="5132" width="16.625" style="128" customWidth="1"/>
    <col min="5133" max="5133" width="21.875" style="128" bestFit="1" customWidth="1"/>
    <col min="5134" max="5134" width="15.625" style="128" customWidth="1"/>
    <col min="5135" max="5135" width="16.625" style="128" customWidth="1"/>
    <col min="5136" max="5136" width="10.625" style="128" customWidth="1"/>
    <col min="5137" max="5137" width="26.375" style="128" bestFit="1" customWidth="1"/>
    <col min="5138" max="5138" width="11.375" style="128" customWidth="1"/>
    <col min="5139" max="5139" width="13.25" style="128" customWidth="1"/>
    <col min="5140" max="5379" width="9" style="128"/>
    <col min="5380" max="5380" width="6.625" style="128" customWidth="1"/>
    <col min="5381" max="5381" width="31.625" style="128" customWidth="1"/>
    <col min="5382" max="5382" width="6.625" style="128" customWidth="1"/>
    <col min="5383" max="5388" width="16.625" style="128" customWidth="1"/>
    <col min="5389" max="5389" width="21.875" style="128" bestFit="1" customWidth="1"/>
    <col min="5390" max="5390" width="15.625" style="128" customWidth="1"/>
    <col min="5391" max="5391" width="16.625" style="128" customWidth="1"/>
    <col min="5392" max="5392" width="10.625" style="128" customWidth="1"/>
    <col min="5393" max="5393" width="26.375" style="128" bestFit="1" customWidth="1"/>
    <col min="5394" max="5394" width="11.375" style="128" customWidth="1"/>
    <col min="5395" max="5395" width="13.25" style="128" customWidth="1"/>
    <col min="5396" max="5635" width="9" style="128"/>
    <col min="5636" max="5636" width="6.625" style="128" customWidth="1"/>
    <col min="5637" max="5637" width="31.625" style="128" customWidth="1"/>
    <col min="5638" max="5638" width="6.625" style="128" customWidth="1"/>
    <col min="5639" max="5644" width="16.625" style="128" customWidth="1"/>
    <col min="5645" max="5645" width="21.875" style="128" bestFit="1" customWidth="1"/>
    <col min="5646" max="5646" width="15.625" style="128" customWidth="1"/>
    <col min="5647" max="5647" width="16.625" style="128" customWidth="1"/>
    <col min="5648" max="5648" width="10.625" style="128" customWidth="1"/>
    <col min="5649" max="5649" width="26.375" style="128" bestFit="1" customWidth="1"/>
    <col min="5650" max="5650" width="11.375" style="128" customWidth="1"/>
    <col min="5651" max="5651" width="13.25" style="128" customWidth="1"/>
    <col min="5652" max="5891" width="9" style="128"/>
    <col min="5892" max="5892" width="6.625" style="128" customWidth="1"/>
    <col min="5893" max="5893" width="31.625" style="128" customWidth="1"/>
    <col min="5894" max="5894" width="6.625" style="128" customWidth="1"/>
    <col min="5895" max="5900" width="16.625" style="128" customWidth="1"/>
    <col min="5901" max="5901" width="21.875" style="128" bestFit="1" customWidth="1"/>
    <col min="5902" max="5902" width="15.625" style="128" customWidth="1"/>
    <col min="5903" max="5903" width="16.625" style="128" customWidth="1"/>
    <col min="5904" max="5904" width="10.625" style="128" customWidth="1"/>
    <col min="5905" max="5905" width="26.375" style="128" bestFit="1" customWidth="1"/>
    <col min="5906" max="5906" width="11.375" style="128" customWidth="1"/>
    <col min="5907" max="5907" width="13.25" style="128" customWidth="1"/>
    <col min="5908" max="6147" width="9" style="128"/>
    <col min="6148" max="6148" width="6.625" style="128" customWidth="1"/>
    <col min="6149" max="6149" width="31.625" style="128" customWidth="1"/>
    <col min="6150" max="6150" width="6.625" style="128" customWidth="1"/>
    <col min="6151" max="6156" width="16.625" style="128" customWidth="1"/>
    <col min="6157" max="6157" width="21.875" style="128" bestFit="1" customWidth="1"/>
    <col min="6158" max="6158" width="15.625" style="128" customWidth="1"/>
    <col min="6159" max="6159" width="16.625" style="128" customWidth="1"/>
    <col min="6160" max="6160" width="10.625" style="128" customWidth="1"/>
    <col min="6161" max="6161" width="26.375" style="128" bestFit="1" customWidth="1"/>
    <col min="6162" max="6162" width="11.375" style="128" customWidth="1"/>
    <col min="6163" max="6163" width="13.25" style="128" customWidth="1"/>
    <col min="6164" max="6403" width="9" style="128"/>
    <col min="6404" max="6404" width="6.625" style="128" customWidth="1"/>
    <col min="6405" max="6405" width="31.625" style="128" customWidth="1"/>
    <col min="6406" max="6406" width="6.625" style="128" customWidth="1"/>
    <col min="6407" max="6412" width="16.625" style="128" customWidth="1"/>
    <col min="6413" max="6413" width="21.875" style="128" bestFit="1" customWidth="1"/>
    <col min="6414" max="6414" width="15.625" style="128" customWidth="1"/>
    <col min="6415" max="6415" width="16.625" style="128" customWidth="1"/>
    <col min="6416" max="6416" width="10.625" style="128" customWidth="1"/>
    <col min="6417" max="6417" width="26.375" style="128" bestFit="1" customWidth="1"/>
    <col min="6418" max="6418" width="11.375" style="128" customWidth="1"/>
    <col min="6419" max="6419" width="13.25" style="128" customWidth="1"/>
    <col min="6420" max="6659" width="9" style="128"/>
    <col min="6660" max="6660" width="6.625" style="128" customWidth="1"/>
    <col min="6661" max="6661" width="31.625" style="128" customWidth="1"/>
    <col min="6662" max="6662" width="6.625" style="128" customWidth="1"/>
    <col min="6663" max="6668" width="16.625" style="128" customWidth="1"/>
    <col min="6669" max="6669" width="21.875" style="128" bestFit="1" customWidth="1"/>
    <col min="6670" max="6670" width="15.625" style="128" customWidth="1"/>
    <col min="6671" max="6671" width="16.625" style="128" customWidth="1"/>
    <col min="6672" max="6672" width="10.625" style="128" customWidth="1"/>
    <col min="6673" max="6673" width="26.375" style="128" bestFit="1" customWidth="1"/>
    <col min="6674" max="6674" width="11.375" style="128" customWidth="1"/>
    <col min="6675" max="6675" width="13.25" style="128" customWidth="1"/>
    <col min="6676" max="6915" width="9" style="128"/>
    <col min="6916" max="6916" width="6.625" style="128" customWidth="1"/>
    <col min="6917" max="6917" width="31.625" style="128" customWidth="1"/>
    <col min="6918" max="6918" width="6.625" style="128" customWidth="1"/>
    <col min="6919" max="6924" width="16.625" style="128" customWidth="1"/>
    <col min="6925" max="6925" width="21.875" style="128" bestFit="1" customWidth="1"/>
    <col min="6926" max="6926" width="15.625" style="128" customWidth="1"/>
    <col min="6927" max="6927" width="16.625" style="128" customWidth="1"/>
    <col min="6928" max="6928" width="10.625" style="128" customWidth="1"/>
    <col min="6929" max="6929" width="26.375" style="128" bestFit="1" customWidth="1"/>
    <col min="6930" max="6930" width="11.375" style="128" customWidth="1"/>
    <col min="6931" max="6931" width="13.25" style="128" customWidth="1"/>
    <col min="6932" max="7171" width="9" style="128"/>
    <col min="7172" max="7172" width="6.625" style="128" customWidth="1"/>
    <col min="7173" max="7173" width="31.625" style="128" customWidth="1"/>
    <col min="7174" max="7174" width="6.625" style="128" customWidth="1"/>
    <col min="7175" max="7180" width="16.625" style="128" customWidth="1"/>
    <col min="7181" max="7181" width="21.875" style="128" bestFit="1" customWidth="1"/>
    <col min="7182" max="7182" width="15.625" style="128" customWidth="1"/>
    <col min="7183" max="7183" width="16.625" style="128" customWidth="1"/>
    <col min="7184" max="7184" width="10.625" style="128" customWidth="1"/>
    <col min="7185" max="7185" width="26.375" style="128" bestFit="1" customWidth="1"/>
    <col min="7186" max="7186" width="11.375" style="128" customWidth="1"/>
    <col min="7187" max="7187" width="13.25" style="128" customWidth="1"/>
    <col min="7188" max="7427" width="9" style="128"/>
    <col min="7428" max="7428" width="6.625" style="128" customWidth="1"/>
    <col min="7429" max="7429" width="31.625" style="128" customWidth="1"/>
    <col min="7430" max="7430" width="6.625" style="128" customWidth="1"/>
    <col min="7431" max="7436" width="16.625" style="128" customWidth="1"/>
    <col min="7437" max="7437" width="21.875" style="128" bestFit="1" customWidth="1"/>
    <col min="7438" max="7438" width="15.625" style="128" customWidth="1"/>
    <col min="7439" max="7439" width="16.625" style="128" customWidth="1"/>
    <col min="7440" max="7440" width="10.625" style="128" customWidth="1"/>
    <col min="7441" max="7441" width="26.375" style="128" bestFit="1" customWidth="1"/>
    <col min="7442" max="7442" width="11.375" style="128" customWidth="1"/>
    <col min="7443" max="7443" width="13.25" style="128" customWidth="1"/>
    <col min="7444" max="7683" width="9" style="128"/>
    <col min="7684" max="7684" width="6.625" style="128" customWidth="1"/>
    <col min="7685" max="7685" width="31.625" style="128" customWidth="1"/>
    <col min="7686" max="7686" width="6.625" style="128" customWidth="1"/>
    <col min="7687" max="7692" width="16.625" style="128" customWidth="1"/>
    <col min="7693" max="7693" width="21.875" style="128" bestFit="1" customWidth="1"/>
    <col min="7694" max="7694" width="15.625" style="128" customWidth="1"/>
    <col min="7695" max="7695" width="16.625" style="128" customWidth="1"/>
    <col min="7696" max="7696" width="10.625" style="128" customWidth="1"/>
    <col min="7697" max="7697" width="26.375" style="128" bestFit="1" customWidth="1"/>
    <col min="7698" max="7698" width="11.375" style="128" customWidth="1"/>
    <col min="7699" max="7699" width="13.25" style="128" customWidth="1"/>
    <col min="7700" max="7939" width="9" style="128"/>
    <col min="7940" max="7940" width="6.625" style="128" customWidth="1"/>
    <col min="7941" max="7941" width="31.625" style="128" customWidth="1"/>
    <col min="7942" max="7942" width="6.625" style="128" customWidth="1"/>
    <col min="7943" max="7948" width="16.625" style="128" customWidth="1"/>
    <col min="7949" max="7949" width="21.875" style="128" bestFit="1" customWidth="1"/>
    <col min="7950" max="7950" width="15.625" style="128" customWidth="1"/>
    <col min="7951" max="7951" width="16.625" style="128" customWidth="1"/>
    <col min="7952" max="7952" width="10.625" style="128" customWidth="1"/>
    <col min="7953" max="7953" width="26.375" style="128" bestFit="1" customWidth="1"/>
    <col min="7954" max="7954" width="11.375" style="128" customWidth="1"/>
    <col min="7955" max="7955" width="13.25" style="128" customWidth="1"/>
    <col min="7956" max="8195" width="9" style="128"/>
    <col min="8196" max="8196" width="6.625" style="128" customWidth="1"/>
    <col min="8197" max="8197" width="31.625" style="128" customWidth="1"/>
    <col min="8198" max="8198" width="6.625" style="128" customWidth="1"/>
    <col min="8199" max="8204" width="16.625" style="128" customWidth="1"/>
    <col min="8205" max="8205" width="21.875" style="128" bestFit="1" customWidth="1"/>
    <col min="8206" max="8206" width="15.625" style="128" customWidth="1"/>
    <col min="8207" max="8207" width="16.625" style="128" customWidth="1"/>
    <col min="8208" max="8208" width="10.625" style="128" customWidth="1"/>
    <col min="8209" max="8209" width="26.375" style="128" bestFit="1" customWidth="1"/>
    <col min="8210" max="8210" width="11.375" style="128" customWidth="1"/>
    <col min="8211" max="8211" width="13.25" style="128" customWidth="1"/>
    <col min="8212" max="8451" width="9" style="128"/>
    <col min="8452" max="8452" width="6.625" style="128" customWidth="1"/>
    <col min="8453" max="8453" width="31.625" style="128" customWidth="1"/>
    <col min="8454" max="8454" width="6.625" style="128" customWidth="1"/>
    <col min="8455" max="8460" width="16.625" style="128" customWidth="1"/>
    <col min="8461" max="8461" width="21.875" style="128" bestFit="1" customWidth="1"/>
    <col min="8462" max="8462" width="15.625" style="128" customWidth="1"/>
    <col min="8463" max="8463" width="16.625" style="128" customWidth="1"/>
    <col min="8464" max="8464" width="10.625" style="128" customWidth="1"/>
    <col min="8465" max="8465" width="26.375" style="128" bestFit="1" customWidth="1"/>
    <col min="8466" max="8466" width="11.375" style="128" customWidth="1"/>
    <col min="8467" max="8467" width="13.25" style="128" customWidth="1"/>
    <col min="8468" max="8707" width="9" style="128"/>
    <col min="8708" max="8708" width="6.625" style="128" customWidth="1"/>
    <col min="8709" max="8709" width="31.625" style="128" customWidth="1"/>
    <col min="8710" max="8710" width="6.625" style="128" customWidth="1"/>
    <col min="8711" max="8716" width="16.625" style="128" customWidth="1"/>
    <col min="8717" max="8717" width="21.875" style="128" bestFit="1" customWidth="1"/>
    <col min="8718" max="8718" width="15.625" style="128" customWidth="1"/>
    <col min="8719" max="8719" width="16.625" style="128" customWidth="1"/>
    <col min="8720" max="8720" width="10.625" style="128" customWidth="1"/>
    <col min="8721" max="8721" width="26.375" style="128" bestFit="1" customWidth="1"/>
    <col min="8722" max="8722" width="11.375" style="128" customWidth="1"/>
    <col min="8723" max="8723" width="13.25" style="128" customWidth="1"/>
    <col min="8724" max="8963" width="9" style="128"/>
    <col min="8964" max="8964" width="6.625" style="128" customWidth="1"/>
    <col min="8965" max="8965" width="31.625" style="128" customWidth="1"/>
    <col min="8966" max="8966" width="6.625" style="128" customWidth="1"/>
    <col min="8967" max="8972" width="16.625" style="128" customWidth="1"/>
    <col min="8973" max="8973" width="21.875" style="128" bestFit="1" customWidth="1"/>
    <col min="8974" max="8974" width="15.625" style="128" customWidth="1"/>
    <col min="8975" max="8975" width="16.625" style="128" customWidth="1"/>
    <col min="8976" max="8976" width="10.625" style="128" customWidth="1"/>
    <col min="8977" max="8977" width="26.375" style="128" bestFit="1" customWidth="1"/>
    <col min="8978" max="8978" width="11.375" style="128" customWidth="1"/>
    <col min="8979" max="8979" width="13.25" style="128" customWidth="1"/>
    <col min="8980" max="9219" width="9" style="128"/>
    <col min="9220" max="9220" width="6.625" style="128" customWidth="1"/>
    <col min="9221" max="9221" width="31.625" style="128" customWidth="1"/>
    <col min="9222" max="9222" width="6.625" style="128" customWidth="1"/>
    <col min="9223" max="9228" width="16.625" style="128" customWidth="1"/>
    <col min="9229" max="9229" width="21.875" style="128" bestFit="1" customWidth="1"/>
    <col min="9230" max="9230" width="15.625" style="128" customWidth="1"/>
    <col min="9231" max="9231" width="16.625" style="128" customWidth="1"/>
    <col min="9232" max="9232" width="10.625" style="128" customWidth="1"/>
    <col min="9233" max="9233" width="26.375" style="128" bestFit="1" customWidth="1"/>
    <col min="9234" max="9234" width="11.375" style="128" customWidth="1"/>
    <col min="9235" max="9235" width="13.25" style="128" customWidth="1"/>
    <col min="9236" max="9475" width="9" style="128"/>
    <col min="9476" max="9476" width="6.625" style="128" customWidth="1"/>
    <col min="9477" max="9477" width="31.625" style="128" customWidth="1"/>
    <col min="9478" max="9478" width="6.625" style="128" customWidth="1"/>
    <col min="9479" max="9484" width="16.625" style="128" customWidth="1"/>
    <col min="9485" max="9485" width="21.875" style="128" bestFit="1" customWidth="1"/>
    <col min="9486" max="9486" width="15.625" style="128" customWidth="1"/>
    <col min="9487" max="9487" width="16.625" style="128" customWidth="1"/>
    <col min="9488" max="9488" width="10.625" style="128" customWidth="1"/>
    <col min="9489" max="9489" width="26.375" style="128" bestFit="1" customWidth="1"/>
    <col min="9490" max="9490" width="11.375" style="128" customWidth="1"/>
    <col min="9491" max="9491" width="13.25" style="128" customWidth="1"/>
    <col min="9492" max="9731" width="9" style="128"/>
    <col min="9732" max="9732" width="6.625" style="128" customWidth="1"/>
    <col min="9733" max="9733" width="31.625" style="128" customWidth="1"/>
    <col min="9734" max="9734" width="6.625" style="128" customWidth="1"/>
    <col min="9735" max="9740" width="16.625" style="128" customWidth="1"/>
    <col min="9741" max="9741" width="21.875" style="128" bestFit="1" customWidth="1"/>
    <col min="9742" max="9742" width="15.625" style="128" customWidth="1"/>
    <col min="9743" max="9743" width="16.625" style="128" customWidth="1"/>
    <col min="9744" max="9744" width="10.625" style="128" customWidth="1"/>
    <col min="9745" max="9745" width="26.375" style="128" bestFit="1" customWidth="1"/>
    <col min="9746" max="9746" width="11.375" style="128" customWidth="1"/>
    <col min="9747" max="9747" width="13.25" style="128" customWidth="1"/>
    <col min="9748" max="9987" width="9" style="128"/>
    <col min="9988" max="9988" width="6.625" style="128" customWidth="1"/>
    <col min="9989" max="9989" width="31.625" style="128" customWidth="1"/>
    <col min="9990" max="9990" width="6.625" style="128" customWidth="1"/>
    <col min="9991" max="9996" width="16.625" style="128" customWidth="1"/>
    <col min="9997" max="9997" width="21.875" style="128" bestFit="1" customWidth="1"/>
    <col min="9998" max="9998" width="15.625" style="128" customWidth="1"/>
    <col min="9999" max="9999" width="16.625" style="128" customWidth="1"/>
    <col min="10000" max="10000" width="10.625" style="128" customWidth="1"/>
    <col min="10001" max="10001" width="26.375" style="128" bestFit="1" customWidth="1"/>
    <col min="10002" max="10002" width="11.375" style="128" customWidth="1"/>
    <col min="10003" max="10003" width="13.25" style="128" customWidth="1"/>
    <col min="10004" max="10243" width="9" style="128"/>
    <col min="10244" max="10244" width="6.625" style="128" customWidth="1"/>
    <col min="10245" max="10245" width="31.625" style="128" customWidth="1"/>
    <col min="10246" max="10246" width="6.625" style="128" customWidth="1"/>
    <col min="10247" max="10252" width="16.625" style="128" customWidth="1"/>
    <col min="10253" max="10253" width="21.875" style="128" bestFit="1" customWidth="1"/>
    <col min="10254" max="10254" width="15.625" style="128" customWidth="1"/>
    <col min="10255" max="10255" width="16.625" style="128" customWidth="1"/>
    <col min="10256" max="10256" width="10.625" style="128" customWidth="1"/>
    <col min="10257" max="10257" width="26.375" style="128" bestFit="1" customWidth="1"/>
    <col min="10258" max="10258" width="11.375" style="128" customWidth="1"/>
    <col min="10259" max="10259" width="13.25" style="128" customWidth="1"/>
    <col min="10260" max="10499" width="9" style="128"/>
    <col min="10500" max="10500" width="6.625" style="128" customWidth="1"/>
    <col min="10501" max="10501" width="31.625" style="128" customWidth="1"/>
    <col min="10502" max="10502" width="6.625" style="128" customWidth="1"/>
    <col min="10503" max="10508" width="16.625" style="128" customWidth="1"/>
    <col min="10509" max="10509" width="21.875" style="128" bestFit="1" customWidth="1"/>
    <col min="10510" max="10510" width="15.625" style="128" customWidth="1"/>
    <col min="10511" max="10511" width="16.625" style="128" customWidth="1"/>
    <col min="10512" max="10512" width="10.625" style="128" customWidth="1"/>
    <col min="10513" max="10513" width="26.375" style="128" bestFit="1" customWidth="1"/>
    <col min="10514" max="10514" width="11.375" style="128" customWidth="1"/>
    <col min="10515" max="10515" width="13.25" style="128" customWidth="1"/>
    <col min="10516" max="10755" width="9" style="128"/>
    <col min="10756" max="10756" width="6.625" style="128" customWidth="1"/>
    <col min="10757" max="10757" width="31.625" style="128" customWidth="1"/>
    <col min="10758" max="10758" width="6.625" style="128" customWidth="1"/>
    <col min="10759" max="10764" width="16.625" style="128" customWidth="1"/>
    <col min="10765" max="10765" width="21.875" style="128" bestFit="1" customWidth="1"/>
    <col min="10766" max="10766" width="15.625" style="128" customWidth="1"/>
    <col min="10767" max="10767" width="16.625" style="128" customWidth="1"/>
    <col min="10768" max="10768" width="10.625" style="128" customWidth="1"/>
    <col min="10769" max="10769" width="26.375" style="128" bestFit="1" customWidth="1"/>
    <col min="10770" max="10770" width="11.375" style="128" customWidth="1"/>
    <col min="10771" max="10771" width="13.25" style="128" customWidth="1"/>
    <col min="10772" max="11011" width="9" style="128"/>
    <col min="11012" max="11012" width="6.625" style="128" customWidth="1"/>
    <col min="11013" max="11013" width="31.625" style="128" customWidth="1"/>
    <col min="11014" max="11014" width="6.625" style="128" customWidth="1"/>
    <col min="11015" max="11020" width="16.625" style="128" customWidth="1"/>
    <col min="11021" max="11021" width="21.875" style="128" bestFit="1" customWidth="1"/>
    <col min="11022" max="11022" width="15.625" style="128" customWidth="1"/>
    <col min="11023" max="11023" width="16.625" style="128" customWidth="1"/>
    <col min="11024" max="11024" width="10.625" style="128" customWidth="1"/>
    <col min="11025" max="11025" width="26.375" style="128" bestFit="1" customWidth="1"/>
    <col min="11026" max="11026" width="11.375" style="128" customWidth="1"/>
    <col min="11027" max="11027" width="13.25" style="128" customWidth="1"/>
    <col min="11028" max="11267" width="9" style="128"/>
    <col min="11268" max="11268" width="6.625" style="128" customWidth="1"/>
    <col min="11269" max="11269" width="31.625" style="128" customWidth="1"/>
    <col min="11270" max="11270" width="6.625" style="128" customWidth="1"/>
    <col min="11271" max="11276" width="16.625" style="128" customWidth="1"/>
    <col min="11277" max="11277" width="21.875" style="128" bestFit="1" customWidth="1"/>
    <col min="11278" max="11278" width="15.625" style="128" customWidth="1"/>
    <col min="11279" max="11279" width="16.625" style="128" customWidth="1"/>
    <col min="11280" max="11280" width="10.625" style="128" customWidth="1"/>
    <col min="11281" max="11281" width="26.375" style="128" bestFit="1" customWidth="1"/>
    <col min="11282" max="11282" width="11.375" style="128" customWidth="1"/>
    <col min="11283" max="11283" width="13.25" style="128" customWidth="1"/>
    <col min="11284" max="11523" width="9" style="128"/>
    <col min="11524" max="11524" width="6.625" style="128" customWidth="1"/>
    <col min="11525" max="11525" width="31.625" style="128" customWidth="1"/>
    <col min="11526" max="11526" width="6.625" style="128" customWidth="1"/>
    <col min="11527" max="11532" width="16.625" style="128" customWidth="1"/>
    <col min="11533" max="11533" width="21.875" style="128" bestFit="1" customWidth="1"/>
    <col min="11534" max="11534" width="15.625" style="128" customWidth="1"/>
    <col min="11535" max="11535" width="16.625" style="128" customWidth="1"/>
    <col min="11536" max="11536" width="10.625" style="128" customWidth="1"/>
    <col min="11537" max="11537" width="26.375" style="128" bestFit="1" customWidth="1"/>
    <col min="11538" max="11538" width="11.375" style="128" customWidth="1"/>
    <col min="11539" max="11539" width="13.25" style="128" customWidth="1"/>
    <col min="11540" max="11779" width="9" style="128"/>
    <col min="11780" max="11780" width="6.625" style="128" customWidth="1"/>
    <col min="11781" max="11781" width="31.625" style="128" customWidth="1"/>
    <col min="11782" max="11782" width="6.625" style="128" customWidth="1"/>
    <col min="11783" max="11788" width="16.625" style="128" customWidth="1"/>
    <col min="11789" max="11789" width="21.875" style="128" bestFit="1" customWidth="1"/>
    <col min="11790" max="11790" width="15.625" style="128" customWidth="1"/>
    <col min="11791" max="11791" width="16.625" style="128" customWidth="1"/>
    <col min="11792" max="11792" width="10.625" style="128" customWidth="1"/>
    <col min="11793" max="11793" width="26.375" style="128" bestFit="1" customWidth="1"/>
    <col min="11794" max="11794" width="11.375" style="128" customWidth="1"/>
    <col min="11795" max="11795" width="13.25" style="128" customWidth="1"/>
    <col min="11796" max="12035" width="9" style="128"/>
    <col min="12036" max="12036" width="6.625" style="128" customWidth="1"/>
    <col min="12037" max="12037" width="31.625" style="128" customWidth="1"/>
    <col min="12038" max="12038" width="6.625" style="128" customWidth="1"/>
    <col min="12039" max="12044" width="16.625" style="128" customWidth="1"/>
    <col min="12045" max="12045" width="21.875" style="128" bestFit="1" customWidth="1"/>
    <col min="12046" max="12046" width="15.625" style="128" customWidth="1"/>
    <col min="12047" max="12047" width="16.625" style="128" customWidth="1"/>
    <col min="12048" max="12048" width="10.625" style="128" customWidth="1"/>
    <col min="12049" max="12049" width="26.375" style="128" bestFit="1" customWidth="1"/>
    <col min="12050" max="12050" width="11.375" style="128" customWidth="1"/>
    <col min="12051" max="12051" width="13.25" style="128" customWidth="1"/>
    <col min="12052" max="12291" width="9" style="128"/>
    <col min="12292" max="12292" width="6.625" style="128" customWidth="1"/>
    <col min="12293" max="12293" width="31.625" style="128" customWidth="1"/>
    <col min="12294" max="12294" width="6.625" style="128" customWidth="1"/>
    <col min="12295" max="12300" width="16.625" style="128" customWidth="1"/>
    <col min="12301" max="12301" width="21.875" style="128" bestFit="1" customWidth="1"/>
    <col min="12302" max="12302" width="15.625" style="128" customWidth="1"/>
    <col min="12303" max="12303" width="16.625" style="128" customWidth="1"/>
    <col min="12304" max="12304" width="10.625" style="128" customWidth="1"/>
    <col min="12305" max="12305" width="26.375" style="128" bestFit="1" customWidth="1"/>
    <col min="12306" max="12306" width="11.375" style="128" customWidth="1"/>
    <col min="12307" max="12307" width="13.25" style="128" customWidth="1"/>
    <col min="12308" max="12547" width="9" style="128"/>
    <col min="12548" max="12548" width="6.625" style="128" customWidth="1"/>
    <col min="12549" max="12549" width="31.625" style="128" customWidth="1"/>
    <col min="12550" max="12550" width="6.625" style="128" customWidth="1"/>
    <col min="12551" max="12556" width="16.625" style="128" customWidth="1"/>
    <col min="12557" max="12557" width="21.875" style="128" bestFit="1" customWidth="1"/>
    <col min="12558" max="12558" width="15.625" style="128" customWidth="1"/>
    <col min="12559" max="12559" width="16.625" style="128" customWidth="1"/>
    <col min="12560" max="12560" width="10.625" style="128" customWidth="1"/>
    <col min="12561" max="12561" width="26.375" style="128" bestFit="1" customWidth="1"/>
    <col min="12562" max="12562" width="11.375" style="128" customWidth="1"/>
    <col min="12563" max="12563" width="13.25" style="128" customWidth="1"/>
    <col min="12564" max="12803" width="9" style="128"/>
    <col min="12804" max="12804" width="6.625" style="128" customWidth="1"/>
    <col min="12805" max="12805" width="31.625" style="128" customWidth="1"/>
    <col min="12806" max="12806" width="6.625" style="128" customWidth="1"/>
    <col min="12807" max="12812" width="16.625" style="128" customWidth="1"/>
    <col min="12813" max="12813" width="21.875" style="128" bestFit="1" customWidth="1"/>
    <col min="12814" max="12814" width="15.625" style="128" customWidth="1"/>
    <col min="12815" max="12815" width="16.625" style="128" customWidth="1"/>
    <col min="12816" max="12816" width="10.625" style="128" customWidth="1"/>
    <col min="12817" max="12817" width="26.375" style="128" bestFit="1" customWidth="1"/>
    <col min="12818" max="12818" width="11.375" style="128" customWidth="1"/>
    <col min="12819" max="12819" width="13.25" style="128" customWidth="1"/>
    <col min="12820" max="13059" width="9" style="128"/>
    <col min="13060" max="13060" width="6.625" style="128" customWidth="1"/>
    <col min="13061" max="13061" width="31.625" style="128" customWidth="1"/>
    <col min="13062" max="13062" width="6.625" style="128" customWidth="1"/>
    <col min="13063" max="13068" width="16.625" style="128" customWidth="1"/>
    <col min="13069" max="13069" width="21.875" style="128" bestFit="1" customWidth="1"/>
    <col min="13070" max="13070" width="15.625" style="128" customWidth="1"/>
    <col min="13071" max="13071" width="16.625" style="128" customWidth="1"/>
    <col min="13072" max="13072" width="10.625" style="128" customWidth="1"/>
    <col min="13073" max="13073" width="26.375" style="128" bestFit="1" customWidth="1"/>
    <col min="13074" max="13074" width="11.375" style="128" customWidth="1"/>
    <col min="13075" max="13075" width="13.25" style="128" customWidth="1"/>
    <col min="13076" max="13315" width="9" style="128"/>
    <col min="13316" max="13316" width="6.625" style="128" customWidth="1"/>
    <col min="13317" max="13317" width="31.625" style="128" customWidth="1"/>
    <col min="13318" max="13318" width="6.625" style="128" customWidth="1"/>
    <col min="13319" max="13324" width="16.625" style="128" customWidth="1"/>
    <col min="13325" max="13325" width="21.875" style="128" bestFit="1" customWidth="1"/>
    <col min="13326" max="13326" width="15.625" style="128" customWidth="1"/>
    <col min="13327" max="13327" width="16.625" style="128" customWidth="1"/>
    <col min="13328" max="13328" width="10.625" style="128" customWidth="1"/>
    <col min="13329" max="13329" width="26.375" style="128" bestFit="1" customWidth="1"/>
    <col min="13330" max="13330" width="11.375" style="128" customWidth="1"/>
    <col min="13331" max="13331" width="13.25" style="128" customWidth="1"/>
    <col min="13332" max="13571" width="9" style="128"/>
    <col min="13572" max="13572" width="6.625" style="128" customWidth="1"/>
    <col min="13573" max="13573" width="31.625" style="128" customWidth="1"/>
    <col min="13574" max="13574" width="6.625" style="128" customWidth="1"/>
    <col min="13575" max="13580" width="16.625" style="128" customWidth="1"/>
    <col min="13581" max="13581" width="21.875" style="128" bestFit="1" customWidth="1"/>
    <col min="13582" max="13582" width="15.625" style="128" customWidth="1"/>
    <col min="13583" max="13583" width="16.625" style="128" customWidth="1"/>
    <col min="13584" max="13584" width="10.625" style="128" customWidth="1"/>
    <col min="13585" max="13585" width="26.375" style="128" bestFit="1" customWidth="1"/>
    <col min="13586" max="13586" width="11.375" style="128" customWidth="1"/>
    <col min="13587" max="13587" width="13.25" style="128" customWidth="1"/>
    <col min="13588" max="13827" width="9" style="128"/>
    <col min="13828" max="13828" width="6.625" style="128" customWidth="1"/>
    <col min="13829" max="13829" width="31.625" style="128" customWidth="1"/>
    <col min="13830" max="13830" width="6.625" style="128" customWidth="1"/>
    <col min="13831" max="13836" width="16.625" style="128" customWidth="1"/>
    <col min="13837" max="13837" width="21.875" style="128" bestFit="1" customWidth="1"/>
    <col min="13838" max="13838" width="15.625" style="128" customWidth="1"/>
    <col min="13839" max="13839" width="16.625" style="128" customWidth="1"/>
    <col min="13840" max="13840" width="10.625" style="128" customWidth="1"/>
    <col min="13841" max="13841" width="26.375" style="128" bestFit="1" customWidth="1"/>
    <col min="13842" max="13842" width="11.375" style="128" customWidth="1"/>
    <col min="13843" max="13843" width="13.25" style="128" customWidth="1"/>
    <col min="13844" max="14083" width="9" style="128"/>
    <col min="14084" max="14084" width="6.625" style="128" customWidth="1"/>
    <col min="14085" max="14085" width="31.625" style="128" customWidth="1"/>
    <col min="14086" max="14086" width="6.625" style="128" customWidth="1"/>
    <col min="14087" max="14092" width="16.625" style="128" customWidth="1"/>
    <col min="14093" max="14093" width="21.875" style="128" bestFit="1" customWidth="1"/>
    <col min="14094" max="14094" width="15.625" style="128" customWidth="1"/>
    <col min="14095" max="14095" width="16.625" style="128" customWidth="1"/>
    <col min="14096" max="14096" width="10.625" style="128" customWidth="1"/>
    <col min="14097" max="14097" width="26.375" style="128" bestFit="1" customWidth="1"/>
    <col min="14098" max="14098" width="11.375" style="128" customWidth="1"/>
    <col min="14099" max="14099" width="13.25" style="128" customWidth="1"/>
    <col min="14100" max="14339" width="9" style="128"/>
    <col min="14340" max="14340" width="6.625" style="128" customWidth="1"/>
    <col min="14341" max="14341" width="31.625" style="128" customWidth="1"/>
    <col min="14342" max="14342" width="6.625" style="128" customWidth="1"/>
    <col min="14343" max="14348" width="16.625" style="128" customWidth="1"/>
    <col min="14349" max="14349" width="21.875" style="128" bestFit="1" customWidth="1"/>
    <col min="14350" max="14350" width="15.625" style="128" customWidth="1"/>
    <col min="14351" max="14351" width="16.625" style="128" customWidth="1"/>
    <col min="14352" max="14352" width="10.625" style="128" customWidth="1"/>
    <col min="14353" max="14353" width="26.375" style="128" bestFit="1" customWidth="1"/>
    <col min="14354" max="14354" width="11.375" style="128" customWidth="1"/>
    <col min="14355" max="14355" width="13.25" style="128" customWidth="1"/>
    <col min="14356" max="14595" width="9" style="128"/>
    <col min="14596" max="14596" width="6.625" style="128" customWidth="1"/>
    <col min="14597" max="14597" width="31.625" style="128" customWidth="1"/>
    <col min="14598" max="14598" width="6.625" style="128" customWidth="1"/>
    <col min="14599" max="14604" width="16.625" style="128" customWidth="1"/>
    <col min="14605" max="14605" width="21.875" style="128" bestFit="1" customWidth="1"/>
    <col min="14606" max="14606" width="15.625" style="128" customWidth="1"/>
    <col min="14607" max="14607" width="16.625" style="128" customWidth="1"/>
    <col min="14608" max="14608" width="10.625" style="128" customWidth="1"/>
    <col min="14609" max="14609" width="26.375" style="128" bestFit="1" customWidth="1"/>
    <col min="14610" max="14610" width="11.375" style="128" customWidth="1"/>
    <col min="14611" max="14611" width="13.25" style="128" customWidth="1"/>
    <col min="14612" max="14851" width="9" style="128"/>
    <col min="14852" max="14852" width="6.625" style="128" customWidth="1"/>
    <col min="14853" max="14853" width="31.625" style="128" customWidth="1"/>
    <col min="14854" max="14854" width="6.625" style="128" customWidth="1"/>
    <col min="14855" max="14860" width="16.625" style="128" customWidth="1"/>
    <col min="14861" max="14861" width="21.875" style="128" bestFit="1" customWidth="1"/>
    <col min="14862" max="14862" width="15.625" style="128" customWidth="1"/>
    <col min="14863" max="14863" width="16.625" style="128" customWidth="1"/>
    <col min="14864" max="14864" width="10.625" style="128" customWidth="1"/>
    <col min="14865" max="14865" width="26.375" style="128" bestFit="1" customWidth="1"/>
    <col min="14866" max="14866" width="11.375" style="128" customWidth="1"/>
    <col min="14867" max="14867" width="13.25" style="128" customWidth="1"/>
    <col min="14868" max="15107" width="9" style="128"/>
    <col min="15108" max="15108" width="6.625" style="128" customWidth="1"/>
    <col min="15109" max="15109" width="31.625" style="128" customWidth="1"/>
    <col min="15110" max="15110" width="6.625" style="128" customWidth="1"/>
    <col min="15111" max="15116" width="16.625" style="128" customWidth="1"/>
    <col min="15117" max="15117" width="21.875" style="128" bestFit="1" customWidth="1"/>
    <col min="15118" max="15118" width="15.625" style="128" customWidth="1"/>
    <col min="15119" max="15119" width="16.625" style="128" customWidth="1"/>
    <col min="15120" max="15120" width="10.625" style="128" customWidth="1"/>
    <col min="15121" max="15121" width="26.375" style="128" bestFit="1" customWidth="1"/>
    <col min="15122" max="15122" width="11.375" style="128" customWidth="1"/>
    <col min="15123" max="15123" width="13.25" style="128" customWidth="1"/>
    <col min="15124" max="15363" width="9" style="128"/>
    <col min="15364" max="15364" width="6.625" style="128" customWidth="1"/>
    <col min="15365" max="15365" width="31.625" style="128" customWidth="1"/>
    <col min="15366" max="15366" width="6.625" style="128" customWidth="1"/>
    <col min="15367" max="15372" width="16.625" style="128" customWidth="1"/>
    <col min="15373" max="15373" width="21.875" style="128" bestFit="1" customWidth="1"/>
    <col min="15374" max="15374" width="15.625" style="128" customWidth="1"/>
    <col min="15375" max="15375" width="16.625" style="128" customWidth="1"/>
    <col min="15376" max="15376" width="10.625" style="128" customWidth="1"/>
    <col min="15377" max="15377" width="26.375" style="128" bestFit="1" customWidth="1"/>
    <col min="15378" max="15378" width="11.375" style="128" customWidth="1"/>
    <col min="15379" max="15379" width="13.25" style="128" customWidth="1"/>
    <col min="15380" max="15619" width="9" style="128"/>
    <col min="15620" max="15620" width="6.625" style="128" customWidth="1"/>
    <col min="15621" max="15621" width="31.625" style="128" customWidth="1"/>
    <col min="15622" max="15622" width="6.625" style="128" customWidth="1"/>
    <col min="15623" max="15628" width="16.625" style="128" customWidth="1"/>
    <col min="15629" max="15629" width="21.875" style="128" bestFit="1" customWidth="1"/>
    <col min="15630" max="15630" width="15.625" style="128" customWidth="1"/>
    <col min="15631" max="15631" width="16.625" style="128" customWidth="1"/>
    <col min="15632" max="15632" width="10.625" style="128" customWidth="1"/>
    <col min="15633" max="15633" width="26.375" style="128" bestFit="1" customWidth="1"/>
    <col min="15634" max="15634" width="11.375" style="128" customWidth="1"/>
    <col min="15635" max="15635" width="13.25" style="128" customWidth="1"/>
    <col min="15636" max="15875" width="9" style="128"/>
    <col min="15876" max="15876" width="6.625" style="128" customWidth="1"/>
    <col min="15877" max="15877" width="31.625" style="128" customWidth="1"/>
    <col min="15878" max="15878" width="6.625" style="128" customWidth="1"/>
    <col min="15879" max="15884" width="16.625" style="128" customWidth="1"/>
    <col min="15885" max="15885" width="21.875" style="128" bestFit="1" customWidth="1"/>
    <col min="15886" max="15886" width="15.625" style="128" customWidth="1"/>
    <col min="15887" max="15887" width="16.625" style="128" customWidth="1"/>
    <col min="15888" max="15888" width="10.625" style="128" customWidth="1"/>
    <col min="15889" max="15889" width="26.375" style="128" bestFit="1" customWidth="1"/>
    <col min="15890" max="15890" width="11.375" style="128" customWidth="1"/>
    <col min="15891" max="15891" width="13.25" style="128" customWidth="1"/>
    <col min="15892" max="16131" width="9" style="128"/>
    <col min="16132" max="16132" width="6.625" style="128" customWidth="1"/>
    <col min="16133" max="16133" width="31.625" style="128" customWidth="1"/>
    <col min="16134" max="16134" width="6.625" style="128" customWidth="1"/>
    <col min="16135" max="16140" width="16.625" style="128" customWidth="1"/>
    <col min="16141" max="16141" width="21.875" style="128" bestFit="1" customWidth="1"/>
    <col min="16142" max="16142" width="15.625" style="128" customWidth="1"/>
    <col min="16143" max="16143" width="16.625" style="128" customWidth="1"/>
    <col min="16144" max="16144" width="10.625" style="128" customWidth="1"/>
    <col min="16145" max="16145" width="26.375" style="128" bestFit="1" customWidth="1"/>
    <col min="16146" max="16146" width="11.375" style="128" customWidth="1"/>
    <col min="16147" max="16147" width="13.25" style="128" customWidth="1"/>
    <col min="16148" max="16384" width="9" style="128"/>
  </cols>
  <sheetData>
    <row r="3" spans="1:18" s="126" customFormat="1" ht="19.5" customHeight="1">
      <c r="A3" s="245" t="s">
        <v>217</v>
      </c>
      <c r="B3" s="245" t="s">
        <v>218</v>
      </c>
      <c r="C3" s="245" t="s">
        <v>219</v>
      </c>
      <c r="D3" s="130">
        <v>1</v>
      </c>
      <c r="E3" s="130">
        <v>2</v>
      </c>
      <c r="F3" s="130">
        <v>3</v>
      </c>
      <c r="G3" s="130">
        <v>4</v>
      </c>
      <c r="H3" s="130">
        <v>5</v>
      </c>
      <c r="I3" s="130">
        <v>6</v>
      </c>
      <c r="J3" s="130">
        <v>7</v>
      </c>
      <c r="K3" s="130">
        <v>8</v>
      </c>
      <c r="L3" s="130">
        <v>9</v>
      </c>
      <c r="M3" s="130">
        <v>10</v>
      </c>
      <c r="N3" s="130">
        <v>11</v>
      </c>
      <c r="O3" s="216"/>
      <c r="Q3" s="124">
        <v>5</v>
      </c>
    </row>
    <row r="4" spans="1:18" ht="50.1" customHeight="1">
      <c r="A4" s="245"/>
      <c r="B4" s="245"/>
      <c r="C4" s="245"/>
      <c r="D4" s="211" t="str">
        <f>表3_元件數量計算表!B7</f>
        <v>橋台</v>
      </c>
      <c r="E4" s="211" t="str">
        <f>表3_元件數量計算表!B18</f>
        <v>橋墩</v>
      </c>
      <c r="F4" s="211" t="str">
        <f>表3_元件數量計算表!B30</f>
        <v>橋面板及隔梁</v>
      </c>
      <c r="G4" s="210" t="str">
        <f>表3_元件數量計算表!B39</f>
        <v>57*60*40cm混凝土止震塊</v>
      </c>
      <c r="H4" s="210" t="str">
        <f>表3_元件數量計算表!B44</f>
        <v>140*60*30cm混凝土止震塊</v>
      </c>
      <c r="I4" s="210" t="str">
        <f>表3_元件數量計算表!B49</f>
        <v>90*80*14.5cm混凝土墊塊</v>
      </c>
      <c r="J4" s="212" t="str">
        <f>表3_元件數量計算表!B55</f>
        <v>預力I型梁L=40M</v>
      </c>
      <c r="K4" s="212" t="str">
        <f>表3_元件數量計算表!B66</f>
        <v>預力I型梁L=45M</v>
      </c>
      <c r="L4" s="210" t="str">
        <f>表3_元件數量計算表!B77</f>
        <v>橋台翼牆(H=7.0m)</v>
      </c>
      <c r="M4" s="210" t="str">
        <f>表3_元件數量計算表!B84</f>
        <v>翼牆封牆</v>
      </c>
      <c r="N4" s="212" t="str">
        <f>表3_元件數量計算表!B89</f>
        <v>全套管基樁，∮150㎝，L=10m</v>
      </c>
      <c r="O4" s="246" t="s">
        <v>24</v>
      </c>
      <c r="Q4" s="127" t="s">
        <v>510</v>
      </c>
    </row>
    <row r="5" spans="1:18" ht="19.5" customHeight="1">
      <c r="A5" s="245"/>
      <c r="B5" s="245"/>
      <c r="C5" s="245"/>
      <c r="D5" s="217">
        <v>2</v>
      </c>
      <c r="E5" s="217">
        <v>2</v>
      </c>
      <c r="F5" s="217">
        <v>1</v>
      </c>
      <c r="G5" s="218">
        <v>12</v>
      </c>
      <c r="H5" s="218">
        <v>18</v>
      </c>
      <c r="I5" s="218">
        <v>24</v>
      </c>
      <c r="J5" s="219">
        <v>8</v>
      </c>
      <c r="K5" s="219">
        <v>4</v>
      </c>
      <c r="L5" s="220">
        <v>31.3</v>
      </c>
      <c r="M5" s="221">
        <v>2</v>
      </c>
      <c r="N5" s="222">
        <v>18</v>
      </c>
      <c r="O5" s="247"/>
      <c r="Q5" s="129">
        <v>32</v>
      </c>
    </row>
    <row r="6" spans="1:18" ht="19.5" customHeight="1">
      <c r="A6" s="130">
        <v>1</v>
      </c>
      <c r="B6" s="100" t="s">
        <v>242</v>
      </c>
      <c r="C6" s="130" t="s">
        <v>241</v>
      </c>
      <c r="D6" s="131">
        <f>表3_元件數量計算表!E8*D5</f>
        <v>356</v>
      </c>
      <c r="E6" s="131">
        <f>表3_元件數量計算表!E19*E5</f>
        <v>464.08</v>
      </c>
      <c r="F6" s="131"/>
      <c r="G6" s="131"/>
      <c r="H6" s="131"/>
      <c r="I6" s="131"/>
      <c r="J6" s="131"/>
      <c r="K6" s="131"/>
      <c r="L6" s="131"/>
      <c r="M6" s="131"/>
      <c r="N6" s="131"/>
      <c r="O6" s="132">
        <f t="shared" ref="O6:O31" si="0">ROUND(SUM(D6:N6),2)</f>
        <v>820.08</v>
      </c>
      <c r="Q6" s="129"/>
    </row>
    <row r="7" spans="1:18" ht="19.5" customHeight="1">
      <c r="A7" s="130">
        <f>A6+1</f>
        <v>2</v>
      </c>
      <c r="B7" s="100" t="s">
        <v>239</v>
      </c>
      <c r="C7" s="130" t="s">
        <v>241</v>
      </c>
      <c r="D7" s="131">
        <f>表3_元件數量計算表!E9*D5</f>
        <v>288</v>
      </c>
      <c r="E7" s="131">
        <f>表3_元件數量計算表!E20*E5</f>
        <v>133.08000000000001</v>
      </c>
      <c r="F7" s="131"/>
      <c r="G7" s="131"/>
      <c r="H7" s="131"/>
      <c r="I7" s="131"/>
      <c r="J7" s="131"/>
      <c r="K7" s="131"/>
      <c r="L7" s="131"/>
      <c r="M7" s="131"/>
      <c r="N7" s="131"/>
      <c r="O7" s="132">
        <f t="shared" si="0"/>
        <v>421.08</v>
      </c>
      <c r="Q7" s="129"/>
    </row>
    <row r="8" spans="1:18" ht="19.5" customHeight="1">
      <c r="A8" s="130">
        <f t="shared" ref="A8:A28" si="1">A7+1</f>
        <v>3</v>
      </c>
      <c r="B8" s="223" t="s">
        <v>220</v>
      </c>
      <c r="C8" s="130" t="s">
        <v>240</v>
      </c>
      <c r="D8" s="131">
        <f>表3_元件數量計算表!E10*D5</f>
        <v>456.92</v>
      </c>
      <c r="E8" s="131">
        <f>表3_元件數量計算表!E21*E5</f>
        <v>252.96</v>
      </c>
      <c r="F8" s="131"/>
      <c r="G8" s="131">
        <f>表3_元件數量計算表!E40*G5</f>
        <v>11.52</v>
      </c>
      <c r="H8" s="131">
        <f>表3_元件數量計算表!E45*H5</f>
        <v>21.599999999999998</v>
      </c>
      <c r="I8" s="131">
        <f>表3_元件數量計算表!E50*I5</f>
        <v>11.76</v>
      </c>
      <c r="J8" s="131"/>
      <c r="K8" s="131"/>
      <c r="L8" s="131">
        <f>L5*表3_元件數量計算表!E78</f>
        <v>420.67199999999997</v>
      </c>
      <c r="M8" s="131">
        <f>M5*表3_元件數量計算表!E85</f>
        <v>97.14</v>
      </c>
      <c r="N8" s="131"/>
      <c r="O8" s="132">
        <f t="shared" si="0"/>
        <v>1272.57</v>
      </c>
      <c r="P8" s="133"/>
      <c r="Q8" s="131">
        <v>42.24</v>
      </c>
      <c r="R8" s="133"/>
    </row>
    <row r="9" spans="1:18" ht="19.5" customHeight="1">
      <c r="A9" s="130">
        <f t="shared" si="1"/>
        <v>4</v>
      </c>
      <c r="B9" s="223" t="s">
        <v>221</v>
      </c>
      <c r="C9" s="130" t="s">
        <v>240</v>
      </c>
      <c r="D9" s="131"/>
      <c r="E9" s="131"/>
      <c r="F9" s="131">
        <f>表3_元件數量計算表!E31*F5</f>
        <v>2414.39</v>
      </c>
      <c r="G9" s="131"/>
      <c r="H9" s="131"/>
      <c r="I9" s="131"/>
      <c r="J9" s="131"/>
      <c r="K9" s="131"/>
      <c r="L9" s="131"/>
      <c r="M9" s="131"/>
      <c r="N9" s="131"/>
      <c r="O9" s="132">
        <f t="shared" si="0"/>
        <v>2414.39</v>
      </c>
      <c r="P9" s="133"/>
      <c r="Q9" s="131"/>
      <c r="R9" s="133"/>
    </row>
    <row r="10" spans="1:18" ht="19.5" customHeight="1">
      <c r="A10" s="130">
        <f t="shared" si="1"/>
        <v>5</v>
      </c>
      <c r="B10" s="224" t="s">
        <v>229</v>
      </c>
      <c r="C10" s="130" t="s">
        <v>240</v>
      </c>
      <c r="D10" s="131"/>
      <c r="E10" s="131">
        <f>表3_元件數量計算表!E22*E5</f>
        <v>164.28</v>
      </c>
      <c r="F10" s="131"/>
      <c r="G10" s="131"/>
      <c r="H10" s="131"/>
      <c r="I10" s="131"/>
      <c r="J10" s="131">
        <f>表3_元件數量計算表!E56*J5</f>
        <v>1975.28</v>
      </c>
      <c r="K10" s="131">
        <f>表3_元件數量計算表!E67*K5</f>
        <v>1109.24</v>
      </c>
      <c r="L10" s="131"/>
      <c r="M10" s="131"/>
      <c r="N10" s="131"/>
      <c r="O10" s="132">
        <f t="shared" si="0"/>
        <v>3248.8</v>
      </c>
      <c r="P10" s="133"/>
      <c r="Q10" s="131"/>
      <c r="R10" s="133"/>
    </row>
    <row r="11" spans="1:18" ht="19.5" customHeight="1">
      <c r="A11" s="130">
        <f t="shared" si="1"/>
        <v>6</v>
      </c>
      <c r="B11" s="225" t="s">
        <v>181</v>
      </c>
      <c r="C11" s="130" t="s">
        <v>12</v>
      </c>
      <c r="D11" s="131">
        <f>表3_元件數量計算表!E11*D5</f>
        <v>7644</v>
      </c>
      <c r="E11" s="131">
        <f>表3_元件數量計算表!E23*E5</f>
        <v>6938.58</v>
      </c>
      <c r="F11" s="131">
        <f>表3_元件數量計算表!E32</f>
        <v>40615.19</v>
      </c>
      <c r="G11" s="131">
        <f>表3_元件數量計算表!E41*G5</f>
        <v>338.28000000000003</v>
      </c>
      <c r="H11" s="131">
        <f>表3_元件數量計算表!E46*H5</f>
        <v>975.78</v>
      </c>
      <c r="I11" s="131">
        <f>表3_元件數量計算表!E51*I5</f>
        <v>750.24</v>
      </c>
      <c r="J11" s="131">
        <f>表3_元件數量計算表!E57*J5</f>
        <v>38545.440000000002</v>
      </c>
      <c r="K11" s="131">
        <f>表3_元件數量計算表!E68*K5</f>
        <v>20925.84</v>
      </c>
      <c r="L11" s="131">
        <f>L5*表3_元件數量計算表!E79</f>
        <v>2924.672</v>
      </c>
      <c r="M11" s="131"/>
      <c r="N11" s="131">
        <f>表3_元件數量計算表!E90*N5</f>
        <v>1100.7</v>
      </c>
      <c r="O11" s="132">
        <f t="shared" si="0"/>
        <v>120758.72</v>
      </c>
      <c r="P11" s="133"/>
      <c r="Q11" s="131">
        <v>996.16</v>
      </c>
      <c r="R11" s="133"/>
    </row>
    <row r="12" spans="1:18" ht="19.5" customHeight="1">
      <c r="A12" s="130">
        <f t="shared" si="1"/>
        <v>7</v>
      </c>
      <c r="B12" s="226" t="s">
        <v>365</v>
      </c>
      <c r="C12" s="130" t="s">
        <v>12</v>
      </c>
      <c r="D12" s="131">
        <f>表3_元件數量計算表!E12*D5</f>
        <v>28524.400000000001</v>
      </c>
      <c r="E12" s="131">
        <f>表3_元件數量計算表!E24*E5</f>
        <v>64763.18</v>
      </c>
      <c r="F12" s="134"/>
      <c r="G12" s="131"/>
      <c r="H12" s="131"/>
      <c r="I12" s="131"/>
      <c r="J12" s="131">
        <f>表3_元件數量計算表!E58*J5</f>
        <v>7753.2</v>
      </c>
      <c r="K12" s="131">
        <f>表3_元件數量計算表!E69*K5</f>
        <v>4363</v>
      </c>
      <c r="L12" s="131">
        <f>L5*表3_元件數量計算表!E80</f>
        <v>23194.864999999998</v>
      </c>
      <c r="M12" s="131">
        <f>M5*表3_元件數量計算表!E86</f>
        <v>2233</v>
      </c>
      <c r="N12" s="131">
        <f>表3_元件數量計算表!E91*N5</f>
        <v>51080.4</v>
      </c>
      <c r="O12" s="132">
        <f t="shared" si="0"/>
        <v>181912.05</v>
      </c>
      <c r="P12" s="133"/>
      <c r="Q12" s="131">
        <v>1762.56</v>
      </c>
      <c r="R12" s="133"/>
    </row>
    <row r="13" spans="1:18" ht="19.5" customHeight="1">
      <c r="A13" s="130">
        <f t="shared" si="1"/>
        <v>8</v>
      </c>
      <c r="B13" s="223" t="s">
        <v>226</v>
      </c>
      <c r="C13" s="130" t="s">
        <v>14</v>
      </c>
      <c r="D13" s="131">
        <f>表3_元件數量計算表!E14*D5</f>
        <v>14.76</v>
      </c>
      <c r="E13" s="131">
        <f>表3_元件數量計算表!E26*E5</f>
        <v>16.920000000000002</v>
      </c>
      <c r="F13" s="131"/>
      <c r="G13" s="131"/>
      <c r="H13" s="131"/>
      <c r="I13" s="131"/>
      <c r="J13" s="131"/>
      <c r="K13" s="131"/>
      <c r="L13" s="131">
        <f>L5*表3_元件數量計算表!E81</f>
        <v>15.963000000000001</v>
      </c>
      <c r="M13" s="131"/>
      <c r="N13" s="131"/>
      <c r="O13" s="132">
        <f t="shared" si="0"/>
        <v>47.64</v>
      </c>
      <c r="P13" s="133"/>
      <c r="Q13" s="131"/>
      <c r="R13" s="133"/>
    </row>
    <row r="14" spans="1:18" ht="19.5" customHeight="1">
      <c r="A14" s="130">
        <f t="shared" si="1"/>
        <v>9</v>
      </c>
      <c r="B14" s="223" t="s">
        <v>360</v>
      </c>
      <c r="C14" s="130" t="s">
        <v>14</v>
      </c>
      <c r="D14" s="131"/>
      <c r="E14" s="131"/>
      <c r="F14" s="131"/>
      <c r="G14" s="131"/>
      <c r="H14" s="131"/>
      <c r="I14" s="131"/>
      <c r="J14" s="131"/>
      <c r="K14" s="131"/>
      <c r="L14" s="131">
        <f>L5*表3_元件數量計算表!E82</f>
        <v>274.50099999999998</v>
      </c>
      <c r="M14" s="131">
        <f>M5*表3_元件數量計算表!E87</f>
        <v>22.72</v>
      </c>
      <c r="N14" s="131"/>
      <c r="O14" s="132">
        <f t="shared" si="0"/>
        <v>297.22000000000003</v>
      </c>
      <c r="P14" s="133"/>
      <c r="Q14" s="131">
        <v>1762.56</v>
      </c>
      <c r="R14" s="133"/>
    </row>
    <row r="15" spans="1:18" ht="19.5" customHeight="1">
      <c r="A15" s="130">
        <f t="shared" si="1"/>
        <v>10</v>
      </c>
      <c r="B15" s="223" t="s">
        <v>225</v>
      </c>
      <c r="C15" s="130" t="s">
        <v>14</v>
      </c>
      <c r="D15" s="131">
        <f>表3_元件數量計算表!E13*D5</f>
        <v>509.04</v>
      </c>
      <c r="E15" s="131">
        <f>表3_元件數量計算表!E25*E5</f>
        <v>502.44</v>
      </c>
      <c r="F15" s="131">
        <f>表3_元件數量計算表!E33</f>
        <v>415.61</v>
      </c>
      <c r="G15" s="131"/>
      <c r="H15" s="131"/>
      <c r="I15" s="131"/>
      <c r="J15" s="131"/>
      <c r="K15" s="131"/>
      <c r="L15" s="131"/>
      <c r="M15" s="131"/>
      <c r="N15" s="131"/>
      <c r="O15" s="132">
        <f t="shared" si="0"/>
        <v>1427.09</v>
      </c>
      <c r="P15" s="133"/>
      <c r="Q15" s="131">
        <v>6.4</v>
      </c>
      <c r="R15" s="133"/>
    </row>
    <row r="16" spans="1:18" ht="19.5" customHeight="1">
      <c r="A16" s="130">
        <f t="shared" si="1"/>
        <v>11</v>
      </c>
      <c r="B16" s="223" t="s">
        <v>227</v>
      </c>
      <c r="C16" s="130" t="s">
        <v>14</v>
      </c>
      <c r="D16" s="131"/>
      <c r="E16" s="131"/>
      <c r="F16" s="134"/>
      <c r="G16" s="131">
        <f>表3_元件數量計算表!E42*G5</f>
        <v>1.6800000000000002</v>
      </c>
      <c r="H16" s="134">
        <f>表3_元件數量計算表!E47*H5</f>
        <v>4.5</v>
      </c>
      <c r="I16" s="134">
        <f>表3_元件數量計算表!E52*I5</f>
        <v>2.4000000000000004</v>
      </c>
      <c r="J16" s="131"/>
      <c r="K16" s="131"/>
      <c r="L16" s="131"/>
      <c r="M16" s="131"/>
      <c r="N16" s="134"/>
      <c r="O16" s="132">
        <f t="shared" si="0"/>
        <v>8.58</v>
      </c>
      <c r="P16" s="133"/>
      <c r="Q16" s="134"/>
      <c r="R16" s="133"/>
    </row>
    <row r="17" spans="1:18" ht="19.5" customHeight="1">
      <c r="A17" s="130">
        <f t="shared" si="1"/>
        <v>12</v>
      </c>
      <c r="B17" s="223" t="s">
        <v>359</v>
      </c>
      <c r="C17" s="130" t="s">
        <v>14</v>
      </c>
      <c r="D17" s="227"/>
      <c r="E17" s="131"/>
      <c r="F17" s="131"/>
      <c r="G17" s="131"/>
      <c r="H17" s="131"/>
      <c r="I17" s="134"/>
      <c r="J17" s="134">
        <f>表3_元件數量計算表!E59*J5</f>
        <v>377.6</v>
      </c>
      <c r="K17" s="134">
        <f>表3_元件數量計算表!E70*K5</f>
        <v>212.4</v>
      </c>
      <c r="L17" s="134"/>
      <c r="M17" s="134"/>
      <c r="N17" s="134"/>
      <c r="O17" s="132">
        <f t="shared" si="0"/>
        <v>590</v>
      </c>
      <c r="P17" s="133"/>
      <c r="Q17" s="131"/>
      <c r="R17" s="133"/>
    </row>
    <row r="18" spans="1:18" ht="19.5" customHeight="1">
      <c r="A18" s="130">
        <f t="shared" si="1"/>
        <v>13</v>
      </c>
      <c r="B18" s="228" t="s">
        <v>264</v>
      </c>
      <c r="C18" s="130" t="s">
        <v>14</v>
      </c>
      <c r="D18" s="131"/>
      <c r="E18" s="131"/>
      <c r="F18" s="134"/>
      <c r="G18" s="131"/>
      <c r="H18" s="134"/>
      <c r="I18" s="134"/>
      <c r="J18" s="131"/>
      <c r="K18" s="131"/>
      <c r="L18" s="131"/>
      <c r="M18" s="131"/>
      <c r="N18" s="134">
        <f>表3_元件數量計算表!E92*N5</f>
        <v>317.88</v>
      </c>
      <c r="O18" s="132">
        <f t="shared" si="0"/>
        <v>317.88</v>
      </c>
      <c r="P18" s="133"/>
      <c r="Q18" s="134"/>
      <c r="R18" s="133"/>
    </row>
    <row r="19" spans="1:18" ht="19.5" customHeight="1">
      <c r="A19" s="130">
        <f t="shared" si="1"/>
        <v>14</v>
      </c>
      <c r="B19" s="115" t="s">
        <v>402</v>
      </c>
      <c r="C19" s="130" t="s">
        <v>12</v>
      </c>
      <c r="D19" s="131"/>
      <c r="E19" s="134"/>
      <c r="F19" s="134"/>
      <c r="G19" s="131"/>
      <c r="H19" s="134"/>
      <c r="I19" s="134"/>
      <c r="J19" s="131">
        <f>表3_元件數量計算表!E60*J5</f>
        <v>24206.720000000001</v>
      </c>
      <c r="K19" s="131"/>
      <c r="L19" s="131"/>
      <c r="M19" s="131"/>
      <c r="N19" s="134"/>
      <c r="O19" s="132">
        <f t="shared" si="0"/>
        <v>24206.720000000001</v>
      </c>
      <c r="P19" s="133"/>
      <c r="Q19" s="134"/>
      <c r="R19" s="133"/>
    </row>
    <row r="20" spans="1:18" ht="19.5" customHeight="1">
      <c r="A20" s="130">
        <f t="shared" si="1"/>
        <v>15</v>
      </c>
      <c r="B20" s="115" t="s">
        <v>403</v>
      </c>
      <c r="C20" s="130" t="s">
        <v>12</v>
      </c>
      <c r="D20" s="131"/>
      <c r="E20" s="134"/>
      <c r="F20" s="134"/>
      <c r="G20" s="131"/>
      <c r="H20" s="134"/>
      <c r="I20" s="134"/>
      <c r="J20" s="131"/>
      <c r="K20" s="131">
        <f>表3_元件數量計算表!E71*K5</f>
        <v>17667.52</v>
      </c>
      <c r="L20" s="131"/>
      <c r="M20" s="131"/>
      <c r="N20" s="134"/>
      <c r="O20" s="132">
        <f t="shared" si="0"/>
        <v>17667.52</v>
      </c>
      <c r="P20" s="133"/>
      <c r="Q20" s="134"/>
      <c r="R20" s="133"/>
    </row>
    <row r="21" spans="1:18" ht="19.5" customHeight="1">
      <c r="A21" s="130">
        <f t="shared" si="1"/>
        <v>16</v>
      </c>
      <c r="B21" s="115" t="s">
        <v>200</v>
      </c>
      <c r="C21" s="130" t="s">
        <v>57</v>
      </c>
      <c r="D21" s="131"/>
      <c r="E21" s="134"/>
      <c r="F21" s="134"/>
      <c r="G21" s="131"/>
      <c r="H21" s="134"/>
      <c r="I21" s="134"/>
      <c r="J21" s="131">
        <f>表3_元件數量計算表!E61*J5</f>
        <v>2237.7600000000002</v>
      </c>
      <c r="K21" s="131">
        <f>表3_元件數量計算表!E72*K5</f>
        <v>1258.72</v>
      </c>
      <c r="L21" s="131"/>
      <c r="M21" s="131"/>
      <c r="N21" s="134"/>
      <c r="O21" s="132">
        <f t="shared" si="0"/>
        <v>3496.48</v>
      </c>
      <c r="P21" s="133"/>
      <c r="Q21" s="134"/>
      <c r="R21" s="133"/>
    </row>
    <row r="22" spans="1:18" ht="19.5" customHeight="1">
      <c r="A22" s="130">
        <f t="shared" si="1"/>
        <v>17</v>
      </c>
      <c r="B22" s="115" t="s">
        <v>201</v>
      </c>
      <c r="C22" s="130" t="s">
        <v>57</v>
      </c>
      <c r="D22" s="131"/>
      <c r="E22" s="131"/>
      <c r="F22" s="134"/>
      <c r="G22" s="131"/>
      <c r="H22" s="134"/>
      <c r="I22" s="134"/>
      <c r="J22" s="131">
        <f>表3_元件數量計算表!E62*J5</f>
        <v>2265.7600000000002</v>
      </c>
      <c r="K22" s="131">
        <f>表3_元件數量計算表!E73*K5</f>
        <v>1272.72</v>
      </c>
      <c r="L22" s="131"/>
      <c r="M22" s="131"/>
      <c r="N22" s="134"/>
      <c r="O22" s="132">
        <f t="shared" si="0"/>
        <v>3538.48</v>
      </c>
      <c r="P22" s="133"/>
      <c r="Q22" s="134"/>
      <c r="R22" s="133"/>
    </row>
    <row r="23" spans="1:18" ht="19.5" customHeight="1">
      <c r="A23" s="130">
        <f t="shared" si="1"/>
        <v>18</v>
      </c>
      <c r="B23" s="115" t="s">
        <v>404</v>
      </c>
      <c r="C23" s="136" t="s">
        <v>400</v>
      </c>
      <c r="D23" s="131"/>
      <c r="E23" s="131"/>
      <c r="F23" s="134"/>
      <c r="G23" s="131"/>
      <c r="H23" s="134"/>
      <c r="I23" s="134"/>
      <c r="J23" s="131">
        <f>表3_元件數量計算表!E63*J5</f>
        <v>112</v>
      </c>
      <c r="K23" s="131"/>
      <c r="L23" s="131"/>
      <c r="M23" s="131"/>
      <c r="N23" s="134"/>
      <c r="O23" s="132">
        <f t="shared" si="0"/>
        <v>112</v>
      </c>
      <c r="P23" s="133"/>
      <c r="Q23" s="134"/>
      <c r="R23" s="133"/>
    </row>
    <row r="24" spans="1:18" ht="19.5" customHeight="1">
      <c r="A24" s="130">
        <f t="shared" si="1"/>
        <v>19</v>
      </c>
      <c r="B24" s="115" t="s">
        <v>405</v>
      </c>
      <c r="C24" s="136" t="s">
        <v>265</v>
      </c>
      <c r="D24" s="131"/>
      <c r="E24" s="131"/>
      <c r="F24" s="134"/>
      <c r="G24" s="131"/>
      <c r="H24" s="134"/>
      <c r="I24" s="134"/>
      <c r="J24" s="131"/>
      <c r="K24" s="131">
        <f>表3_元件數量計算表!E74*K5</f>
        <v>56</v>
      </c>
      <c r="L24" s="131"/>
      <c r="M24" s="131"/>
      <c r="N24" s="134"/>
      <c r="O24" s="132">
        <f t="shared" si="0"/>
        <v>56</v>
      </c>
      <c r="P24" s="133"/>
      <c r="Q24" s="134"/>
      <c r="R24" s="133"/>
    </row>
    <row r="25" spans="1:18" ht="19.5" customHeight="1">
      <c r="A25" s="130">
        <f t="shared" si="1"/>
        <v>20</v>
      </c>
      <c r="B25" s="115" t="s">
        <v>270</v>
      </c>
      <c r="C25" s="136" t="s">
        <v>269</v>
      </c>
      <c r="D25" s="131"/>
      <c r="E25" s="131"/>
      <c r="F25" s="134"/>
      <c r="G25" s="131"/>
      <c r="H25" s="134"/>
      <c r="I25" s="134"/>
      <c r="J25" s="131">
        <f>表3_元件數量計算表!E64*J5</f>
        <v>8</v>
      </c>
      <c r="K25" s="131">
        <f>表3_元件數量計算表!E75*K5</f>
        <v>4</v>
      </c>
      <c r="L25" s="131"/>
      <c r="M25" s="131"/>
      <c r="N25" s="134"/>
      <c r="O25" s="132">
        <f t="shared" si="0"/>
        <v>12</v>
      </c>
      <c r="P25" s="133"/>
      <c r="Q25" s="134"/>
      <c r="R25" s="133"/>
    </row>
    <row r="26" spans="1:18" ht="19.5" customHeight="1">
      <c r="A26" s="130">
        <f t="shared" si="1"/>
        <v>21</v>
      </c>
      <c r="B26" s="181" t="s">
        <v>271</v>
      </c>
      <c r="C26" s="136" t="s">
        <v>265</v>
      </c>
      <c r="D26" s="131">
        <f>表3_元件數量計算表!E15*D5</f>
        <v>8</v>
      </c>
      <c r="E26" s="131">
        <f>表3_元件數量計算表!E27*E5</f>
        <v>8</v>
      </c>
      <c r="F26" s="134"/>
      <c r="G26" s="131"/>
      <c r="H26" s="134"/>
      <c r="I26" s="134"/>
      <c r="J26" s="134"/>
      <c r="K26" s="134"/>
      <c r="L26" s="134"/>
      <c r="M26" s="134"/>
      <c r="N26" s="134"/>
      <c r="O26" s="132">
        <f t="shared" si="0"/>
        <v>16</v>
      </c>
      <c r="P26" s="133"/>
      <c r="Q26" s="134"/>
      <c r="R26" s="133"/>
    </row>
    <row r="27" spans="1:18" ht="19.5" customHeight="1">
      <c r="A27" s="130">
        <f t="shared" si="1"/>
        <v>22</v>
      </c>
      <c r="B27" s="113" t="s">
        <v>332</v>
      </c>
      <c r="C27" s="136" t="s">
        <v>265</v>
      </c>
      <c r="D27" s="131">
        <f>表3_元件數量計算表!E16*D5</f>
        <v>8</v>
      </c>
      <c r="E27" s="131">
        <f>表3_元件數量計算表!E28*E5</f>
        <v>16</v>
      </c>
      <c r="F27" s="134"/>
      <c r="G27" s="131"/>
      <c r="H27" s="134"/>
      <c r="I27" s="134"/>
      <c r="J27" s="134"/>
      <c r="K27" s="134"/>
      <c r="L27" s="134"/>
      <c r="M27" s="134"/>
      <c r="N27" s="134"/>
      <c r="O27" s="132">
        <f t="shared" si="0"/>
        <v>24</v>
      </c>
      <c r="P27" s="133"/>
      <c r="Q27" s="134"/>
      <c r="R27" s="133"/>
    </row>
    <row r="28" spans="1:18" ht="19.5" customHeight="1">
      <c r="A28" s="130">
        <f t="shared" si="1"/>
        <v>23</v>
      </c>
      <c r="B28" s="229" t="s">
        <v>261</v>
      </c>
      <c r="C28" s="130" t="s">
        <v>57</v>
      </c>
      <c r="D28" s="131"/>
      <c r="E28" s="134"/>
      <c r="F28" s="131">
        <f>表3_元件數量計算表!E35</f>
        <v>18</v>
      </c>
      <c r="G28" s="131"/>
      <c r="H28" s="134"/>
      <c r="I28" s="134"/>
      <c r="J28" s="134"/>
      <c r="K28" s="134"/>
      <c r="L28" s="134"/>
      <c r="M28" s="134"/>
      <c r="N28" s="134"/>
      <c r="O28" s="132">
        <f t="shared" si="0"/>
        <v>18</v>
      </c>
      <c r="P28" s="133"/>
      <c r="Q28" s="134"/>
      <c r="R28" s="133"/>
    </row>
    <row r="29" spans="1:18" ht="19.5" customHeight="1">
      <c r="A29" s="130">
        <f>A28+1</f>
        <v>24</v>
      </c>
      <c r="B29" s="182" t="s">
        <v>418</v>
      </c>
      <c r="C29" s="130" t="s">
        <v>222</v>
      </c>
      <c r="D29" s="131"/>
      <c r="E29" s="131"/>
      <c r="F29" s="131">
        <f>表3_元件數量計算表!E34</f>
        <v>50</v>
      </c>
      <c r="G29" s="131"/>
      <c r="H29" s="131"/>
      <c r="I29" s="131"/>
      <c r="J29" s="131"/>
      <c r="K29" s="131"/>
      <c r="L29" s="131"/>
      <c r="M29" s="131"/>
      <c r="N29" s="131"/>
      <c r="O29" s="132">
        <f t="shared" si="0"/>
        <v>50</v>
      </c>
      <c r="P29" s="133"/>
      <c r="Q29" s="131"/>
      <c r="R29" s="133"/>
    </row>
    <row r="30" spans="1:18" ht="19.5" customHeight="1">
      <c r="A30" s="130">
        <f>A29+1</f>
        <v>25</v>
      </c>
      <c r="B30" s="230" t="s">
        <v>266</v>
      </c>
      <c r="C30" s="141" t="s">
        <v>228</v>
      </c>
      <c r="D30" s="137"/>
      <c r="E30" s="131"/>
      <c r="F30" s="131">
        <f>表3_元件數量計算表!E36</f>
        <v>2</v>
      </c>
      <c r="G30" s="131"/>
      <c r="H30" s="131"/>
      <c r="I30" s="131"/>
      <c r="J30" s="131"/>
      <c r="K30" s="131"/>
      <c r="L30" s="131"/>
      <c r="M30" s="131"/>
      <c r="N30" s="131"/>
      <c r="O30" s="132">
        <f t="shared" si="0"/>
        <v>2</v>
      </c>
      <c r="P30" s="133"/>
      <c r="Q30" s="131"/>
      <c r="R30" s="133"/>
    </row>
    <row r="31" spans="1:18" ht="19.5" customHeight="1">
      <c r="A31" s="130">
        <f>A30+1</f>
        <v>26</v>
      </c>
      <c r="B31" s="115" t="s">
        <v>431</v>
      </c>
      <c r="C31" s="130" t="s">
        <v>13</v>
      </c>
      <c r="D31" s="227"/>
      <c r="E31" s="227"/>
      <c r="F31" s="227"/>
      <c r="G31" s="131"/>
      <c r="H31" s="131"/>
      <c r="I31" s="134">
        <f>表3_元件數量計算表!E53*I5</f>
        <v>6.48</v>
      </c>
      <c r="J31" s="227"/>
      <c r="K31" s="227"/>
      <c r="L31" s="227"/>
      <c r="M31" s="227"/>
      <c r="N31" s="227"/>
      <c r="O31" s="132">
        <f t="shared" si="0"/>
        <v>6.48</v>
      </c>
      <c r="P31" s="133"/>
      <c r="Q31" s="135"/>
      <c r="R31" s="133"/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85" zoomScaleNormal="100" zoomScaleSheetLayoutView="85" workbookViewId="0">
      <selection activeCell="H19" sqref="H19"/>
    </sheetView>
  </sheetViews>
  <sheetFormatPr defaultRowHeight="15.75"/>
  <cols>
    <col min="1" max="1" width="5.625" style="128" customWidth="1"/>
    <col min="2" max="2" width="31.625" style="128" customWidth="1"/>
    <col min="3" max="3" width="5.625" style="128" customWidth="1"/>
    <col min="4" max="20" width="15.625" style="128" customWidth="1"/>
    <col min="21" max="21" width="10.625" style="128" customWidth="1"/>
    <col min="22" max="22" width="11.375" style="128" customWidth="1"/>
    <col min="23" max="23" width="13.25" style="128" customWidth="1"/>
    <col min="24" max="263" width="9" style="128"/>
    <col min="264" max="264" width="6.625" style="128" customWidth="1"/>
    <col min="265" max="265" width="31.625" style="128" customWidth="1"/>
    <col min="266" max="266" width="6.625" style="128" customWidth="1"/>
    <col min="267" max="272" width="16.625" style="128" customWidth="1"/>
    <col min="273" max="273" width="21.875" style="128" bestFit="1" customWidth="1"/>
    <col min="274" max="274" width="15.625" style="128" customWidth="1"/>
    <col min="275" max="275" width="16.625" style="128" customWidth="1"/>
    <col min="276" max="276" width="10.625" style="128" customWidth="1"/>
    <col min="277" max="277" width="26.375" style="128" bestFit="1" customWidth="1"/>
    <col min="278" max="278" width="11.375" style="128" customWidth="1"/>
    <col min="279" max="279" width="13.25" style="128" customWidth="1"/>
    <col min="280" max="519" width="9" style="128"/>
    <col min="520" max="520" width="6.625" style="128" customWidth="1"/>
    <col min="521" max="521" width="31.625" style="128" customWidth="1"/>
    <col min="522" max="522" width="6.625" style="128" customWidth="1"/>
    <col min="523" max="528" width="16.625" style="128" customWidth="1"/>
    <col min="529" max="529" width="21.875" style="128" bestFit="1" customWidth="1"/>
    <col min="530" max="530" width="15.625" style="128" customWidth="1"/>
    <col min="531" max="531" width="16.625" style="128" customWidth="1"/>
    <col min="532" max="532" width="10.625" style="128" customWidth="1"/>
    <col min="533" max="533" width="26.375" style="128" bestFit="1" customWidth="1"/>
    <col min="534" max="534" width="11.375" style="128" customWidth="1"/>
    <col min="535" max="535" width="13.25" style="128" customWidth="1"/>
    <col min="536" max="775" width="9" style="128"/>
    <col min="776" max="776" width="6.625" style="128" customWidth="1"/>
    <col min="777" max="777" width="31.625" style="128" customWidth="1"/>
    <col min="778" max="778" width="6.625" style="128" customWidth="1"/>
    <col min="779" max="784" width="16.625" style="128" customWidth="1"/>
    <col min="785" max="785" width="21.875" style="128" bestFit="1" customWidth="1"/>
    <col min="786" max="786" width="15.625" style="128" customWidth="1"/>
    <col min="787" max="787" width="16.625" style="128" customWidth="1"/>
    <col min="788" max="788" width="10.625" style="128" customWidth="1"/>
    <col min="789" max="789" width="26.375" style="128" bestFit="1" customWidth="1"/>
    <col min="790" max="790" width="11.375" style="128" customWidth="1"/>
    <col min="791" max="791" width="13.25" style="128" customWidth="1"/>
    <col min="792" max="1031" width="9" style="128"/>
    <col min="1032" max="1032" width="6.625" style="128" customWidth="1"/>
    <col min="1033" max="1033" width="31.625" style="128" customWidth="1"/>
    <col min="1034" max="1034" width="6.625" style="128" customWidth="1"/>
    <col min="1035" max="1040" width="16.625" style="128" customWidth="1"/>
    <col min="1041" max="1041" width="21.875" style="128" bestFit="1" customWidth="1"/>
    <col min="1042" max="1042" width="15.625" style="128" customWidth="1"/>
    <col min="1043" max="1043" width="16.625" style="128" customWidth="1"/>
    <col min="1044" max="1044" width="10.625" style="128" customWidth="1"/>
    <col min="1045" max="1045" width="26.375" style="128" bestFit="1" customWidth="1"/>
    <col min="1046" max="1046" width="11.375" style="128" customWidth="1"/>
    <col min="1047" max="1047" width="13.25" style="128" customWidth="1"/>
    <col min="1048" max="1287" width="9" style="128"/>
    <col min="1288" max="1288" width="6.625" style="128" customWidth="1"/>
    <col min="1289" max="1289" width="31.625" style="128" customWidth="1"/>
    <col min="1290" max="1290" width="6.625" style="128" customWidth="1"/>
    <col min="1291" max="1296" width="16.625" style="128" customWidth="1"/>
    <col min="1297" max="1297" width="21.875" style="128" bestFit="1" customWidth="1"/>
    <col min="1298" max="1298" width="15.625" style="128" customWidth="1"/>
    <col min="1299" max="1299" width="16.625" style="128" customWidth="1"/>
    <col min="1300" max="1300" width="10.625" style="128" customWidth="1"/>
    <col min="1301" max="1301" width="26.375" style="128" bestFit="1" customWidth="1"/>
    <col min="1302" max="1302" width="11.375" style="128" customWidth="1"/>
    <col min="1303" max="1303" width="13.25" style="128" customWidth="1"/>
    <col min="1304" max="1543" width="9" style="128"/>
    <col min="1544" max="1544" width="6.625" style="128" customWidth="1"/>
    <col min="1545" max="1545" width="31.625" style="128" customWidth="1"/>
    <col min="1546" max="1546" width="6.625" style="128" customWidth="1"/>
    <col min="1547" max="1552" width="16.625" style="128" customWidth="1"/>
    <col min="1553" max="1553" width="21.875" style="128" bestFit="1" customWidth="1"/>
    <col min="1554" max="1554" width="15.625" style="128" customWidth="1"/>
    <col min="1555" max="1555" width="16.625" style="128" customWidth="1"/>
    <col min="1556" max="1556" width="10.625" style="128" customWidth="1"/>
    <col min="1557" max="1557" width="26.375" style="128" bestFit="1" customWidth="1"/>
    <col min="1558" max="1558" width="11.375" style="128" customWidth="1"/>
    <col min="1559" max="1559" width="13.25" style="128" customWidth="1"/>
    <col min="1560" max="1799" width="9" style="128"/>
    <col min="1800" max="1800" width="6.625" style="128" customWidth="1"/>
    <col min="1801" max="1801" width="31.625" style="128" customWidth="1"/>
    <col min="1802" max="1802" width="6.625" style="128" customWidth="1"/>
    <col min="1803" max="1808" width="16.625" style="128" customWidth="1"/>
    <col min="1809" max="1809" width="21.875" style="128" bestFit="1" customWidth="1"/>
    <col min="1810" max="1810" width="15.625" style="128" customWidth="1"/>
    <col min="1811" max="1811" width="16.625" style="128" customWidth="1"/>
    <col min="1812" max="1812" width="10.625" style="128" customWidth="1"/>
    <col min="1813" max="1813" width="26.375" style="128" bestFit="1" customWidth="1"/>
    <col min="1814" max="1814" width="11.375" style="128" customWidth="1"/>
    <col min="1815" max="1815" width="13.25" style="128" customWidth="1"/>
    <col min="1816" max="2055" width="9" style="128"/>
    <col min="2056" max="2056" width="6.625" style="128" customWidth="1"/>
    <col min="2057" max="2057" width="31.625" style="128" customWidth="1"/>
    <col min="2058" max="2058" width="6.625" style="128" customWidth="1"/>
    <col min="2059" max="2064" width="16.625" style="128" customWidth="1"/>
    <col min="2065" max="2065" width="21.875" style="128" bestFit="1" customWidth="1"/>
    <col min="2066" max="2066" width="15.625" style="128" customWidth="1"/>
    <col min="2067" max="2067" width="16.625" style="128" customWidth="1"/>
    <col min="2068" max="2068" width="10.625" style="128" customWidth="1"/>
    <col min="2069" max="2069" width="26.375" style="128" bestFit="1" customWidth="1"/>
    <col min="2070" max="2070" width="11.375" style="128" customWidth="1"/>
    <col min="2071" max="2071" width="13.25" style="128" customWidth="1"/>
    <col min="2072" max="2311" width="9" style="128"/>
    <col min="2312" max="2312" width="6.625" style="128" customWidth="1"/>
    <col min="2313" max="2313" width="31.625" style="128" customWidth="1"/>
    <col min="2314" max="2314" width="6.625" style="128" customWidth="1"/>
    <col min="2315" max="2320" width="16.625" style="128" customWidth="1"/>
    <col min="2321" max="2321" width="21.875" style="128" bestFit="1" customWidth="1"/>
    <col min="2322" max="2322" width="15.625" style="128" customWidth="1"/>
    <col min="2323" max="2323" width="16.625" style="128" customWidth="1"/>
    <col min="2324" max="2324" width="10.625" style="128" customWidth="1"/>
    <col min="2325" max="2325" width="26.375" style="128" bestFit="1" customWidth="1"/>
    <col min="2326" max="2326" width="11.375" style="128" customWidth="1"/>
    <col min="2327" max="2327" width="13.25" style="128" customWidth="1"/>
    <col min="2328" max="2567" width="9" style="128"/>
    <col min="2568" max="2568" width="6.625" style="128" customWidth="1"/>
    <col min="2569" max="2569" width="31.625" style="128" customWidth="1"/>
    <col min="2570" max="2570" width="6.625" style="128" customWidth="1"/>
    <col min="2571" max="2576" width="16.625" style="128" customWidth="1"/>
    <col min="2577" max="2577" width="21.875" style="128" bestFit="1" customWidth="1"/>
    <col min="2578" max="2578" width="15.625" style="128" customWidth="1"/>
    <col min="2579" max="2579" width="16.625" style="128" customWidth="1"/>
    <col min="2580" max="2580" width="10.625" style="128" customWidth="1"/>
    <col min="2581" max="2581" width="26.375" style="128" bestFit="1" customWidth="1"/>
    <col min="2582" max="2582" width="11.375" style="128" customWidth="1"/>
    <col min="2583" max="2583" width="13.25" style="128" customWidth="1"/>
    <col min="2584" max="2823" width="9" style="128"/>
    <col min="2824" max="2824" width="6.625" style="128" customWidth="1"/>
    <col min="2825" max="2825" width="31.625" style="128" customWidth="1"/>
    <col min="2826" max="2826" width="6.625" style="128" customWidth="1"/>
    <col min="2827" max="2832" width="16.625" style="128" customWidth="1"/>
    <col min="2833" max="2833" width="21.875" style="128" bestFit="1" customWidth="1"/>
    <col min="2834" max="2834" width="15.625" style="128" customWidth="1"/>
    <col min="2835" max="2835" width="16.625" style="128" customWidth="1"/>
    <col min="2836" max="2836" width="10.625" style="128" customWidth="1"/>
    <col min="2837" max="2837" width="26.375" style="128" bestFit="1" customWidth="1"/>
    <col min="2838" max="2838" width="11.375" style="128" customWidth="1"/>
    <col min="2839" max="2839" width="13.25" style="128" customWidth="1"/>
    <col min="2840" max="3079" width="9" style="128"/>
    <col min="3080" max="3080" width="6.625" style="128" customWidth="1"/>
    <col min="3081" max="3081" width="31.625" style="128" customWidth="1"/>
    <col min="3082" max="3082" width="6.625" style="128" customWidth="1"/>
    <col min="3083" max="3088" width="16.625" style="128" customWidth="1"/>
    <col min="3089" max="3089" width="21.875" style="128" bestFit="1" customWidth="1"/>
    <col min="3090" max="3090" width="15.625" style="128" customWidth="1"/>
    <col min="3091" max="3091" width="16.625" style="128" customWidth="1"/>
    <col min="3092" max="3092" width="10.625" style="128" customWidth="1"/>
    <col min="3093" max="3093" width="26.375" style="128" bestFit="1" customWidth="1"/>
    <col min="3094" max="3094" width="11.375" style="128" customWidth="1"/>
    <col min="3095" max="3095" width="13.25" style="128" customWidth="1"/>
    <col min="3096" max="3335" width="9" style="128"/>
    <col min="3336" max="3336" width="6.625" style="128" customWidth="1"/>
    <col min="3337" max="3337" width="31.625" style="128" customWidth="1"/>
    <col min="3338" max="3338" width="6.625" style="128" customWidth="1"/>
    <col min="3339" max="3344" width="16.625" style="128" customWidth="1"/>
    <col min="3345" max="3345" width="21.875" style="128" bestFit="1" customWidth="1"/>
    <col min="3346" max="3346" width="15.625" style="128" customWidth="1"/>
    <col min="3347" max="3347" width="16.625" style="128" customWidth="1"/>
    <col min="3348" max="3348" width="10.625" style="128" customWidth="1"/>
    <col min="3349" max="3349" width="26.375" style="128" bestFit="1" customWidth="1"/>
    <col min="3350" max="3350" width="11.375" style="128" customWidth="1"/>
    <col min="3351" max="3351" width="13.25" style="128" customWidth="1"/>
    <col min="3352" max="3591" width="9" style="128"/>
    <col min="3592" max="3592" width="6.625" style="128" customWidth="1"/>
    <col min="3593" max="3593" width="31.625" style="128" customWidth="1"/>
    <col min="3594" max="3594" width="6.625" style="128" customWidth="1"/>
    <col min="3595" max="3600" width="16.625" style="128" customWidth="1"/>
    <col min="3601" max="3601" width="21.875" style="128" bestFit="1" customWidth="1"/>
    <col min="3602" max="3602" width="15.625" style="128" customWidth="1"/>
    <col min="3603" max="3603" width="16.625" style="128" customWidth="1"/>
    <col min="3604" max="3604" width="10.625" style="128" customWidth="1"/>
    <col min="3605" max="3605" width="26.375" style="128" bestFit="1" customWidth="1"/>
    <col min="3606" max="3606" width="11.375" style="128" customWidth="1"/>
    <col min="3607" max="3607" width="13.25" style="128" customWidth="1"/>
    <col min="3608" max="3847" width="9" style="128"/>
    <col min="3848" max="3848" width="6.625" style="128" customWidth="1"/>
    <col min="3849" max="3849" width="31.625" style="128" customWidth="1"/>
    <col min="3850" max="3850" width="6.625" style="128" customWidth="1"/>
    <col min="3851" max="3856" width="16.625" style="128" customWidth="1"/>
    <col min="3857" max="3857" width="21.875" style="128" bestFit="1" customWidth="1"/>
    <col min="3858" max="3858" width="15.625" style="128" customWidth="1"/>
    <col min="3859" max="3859" width="16.625" style="128" customWidth="1"/>
    <col min="3860" max="3860" width="10.625" style="128" customWidth="1"/>
    <col min="3861" max="3861" width="26.375" style="128" bestFit="1" customWidth="1"/>
    <col min="3862" max="3862" width="11.375" style="128" customWidth="1"/>
    <col min="3863" max="3863" width="13.25" style="128" customWidth="1"/>
    <col min="3864" max="4103" width="9" style="128"/>
    <col min="4104" max="4104" width="6.625" style="128" customWidth="1"/>
    <col min="4105" max="4105" width="31.625" style="128" customWidth="1"/>
    <col min="4106" max="4106" width="6.625" style="128" customWidth="1"/>
    <col min="4107" max="4112" width="16.625" style="128" customWidth="1"/>
    <col min="4113" max="4113" width="21.875" style="128" bestFit="1" customWidth="1"/>
    <col min="4114" max="4114" width="15.625" style="128" customWidth="1"/>
    <col min="4115" max="4115" width="16.625" style="128" customWidth="1"/>
    <col min="4116" max="4116" width="10.625" style="128" customWidth="1"/>
    <col min="4117" max="4117" width="26.375" style="128" bestFit="1" customWidth="1"/>
    <col min="4118" max="4118" width="11.375" style="128" customWidth="1"/>
    <col min="4119" max="4119" width="13.25" style="128" customWidth="1"/>
    <col min="4120" max="4359" width="9" style="128"/>
    <col min="4360" max="4360" width="6.625" style="128" customWidth="1"/>
    <col min="4361" max="4361" width="31.625" style="128" customWidth="1"/>
    <col min="4362" max="4362" width="6.625" style="128" customWidth="1"/>
    <col min="4363" max="4368" width="16.625" style="128" customWidth="1"/>
    <col min="4369" max="4369" width="21.875" style="128" bestFit="1" customWidth="1"/>
    <col min="4370" max="4370" width="15.625" style="128" customWidth="1"/>
    <col min="4371" max="4371" width="16.625" style="128" customWidth="1"/>
    <col min="4372" max="4372" width="10.625" style="128" customWidth="1"/>
    <col min="4373" max="4373" width="26.375" style="128" bestFit="1" customWidth="1"/>
    <col min="4374" max="4374" width="11.375" style="128" customWidth="1"/>
    <col min="4375" max="4375" width="13.25" style="128" customWidth="1"/>
    <col min="4376" max="4615" width="9" style="128"/>
    <col min="4616" max="4616" width="6.625" style="128" customWidth="1"/>
    <col min="4617" max="4617" width="31.625" style="128" customWidth="1"/>
    <col min="4618" max="4618" width="6.625" style="128" customWidth="1"/>
    <col min="4619" max="4624" width="16.625" style="128" customWidth="1"/>
    <col min="4625" max="4625" width="21.875" style="128" bestFit="1" customWidth="1"/>
    <col min="4626" max="4626" width="15.625" style="128" customWidth="1"/>
    <col min="4627" max="4627" width="16.625" style="128" customWidth="1"/>
    <col min="4628" max="4628" width="10.625" style="128" customWidth="1"/>
    <col min="4629" max="4629" width="26.375" style="128" bestFit="1" customWidth="1"/>
    <col min="4630" max="4630" width="11.375" style="128" customWidth="1"/>
    <col min="4631" max="4631" width="13.25" style="128" customWidth="1"/>
    <col min="4632" max="4871" width="9" style="128"/>
    <col min="4872" max="4872" width="6.625" style="128" customWidth="1"/>
    <col min="4873" max="4873" width="31.625" style="128" customWidth="1"/>
    <col min="4874" max="4874" width="6.625" style="128" customWidth="1"/>
    <col min="4875" max="4880" width="16.625" style="128" customWidth="1"/>
    <col min="4881" max="4881" width="21.875" style="128" bestFit="1" customWidth="1"/>
    <col min="4882" max="4882" width="15.625" style="128" customWidth="1"/>
    <col min="4883" max="4883" width="16.625" style="128" customWidth="1"/>
    <col min="4884" max="4884" width="10.625" style="128" customWidth="1"/>
    <col min="4885" max="4885" width="26.375" style="128" bestFit="1" customWidth="1"/>
    <col min="4886" max="4886" width="11.375" style="128" customWidth="1"/>
    <col min="4887" max="4887" width="13.25" style="128" customWidth="1"/>
    <col min="4888" max="5127" width="9" style="128"/>
    <col min="5128" max="5128" width="6.625" style="128" customWidth="1"/>
    <col min="5129" max="5129" width="31.625" style="128" customWidth="1"/>
    <col min="5130" max="5130" width="6.625" style="128" customWidth="1"/>
    <col min="5131" max="5136" width="16.625" style="128" customWidth="1"/>
    <col min="5137" max="5137" width="21.875" style="128" bestFit="1" customWidth="1"/>
    <col min="5138" max="5138" width="15.625" style="128" customWidth="1"/>
    <col min="5139" max="5139" width="16.625" style="128" customWidth="1"/>
    <col min="5140" max="5140" width="10.625" style="128" customWidth="1"/>
    <col min="5141" max="5141" width="26.375" style="128" bestFit="1" customWidth="1"/>
    <col min="5142" max="5142" width="11.375" style="128" customWidth="1"/>
    <col min="5143" max="5143" width="13.25" style="128" customWidth="1"/>
    <col min="5144" max="5383" width="9" style="128"/>
    <col min="5384" max="5384" width="6.625" style="128" customWidth="1"/>
    <col min="5385" max="5385" width="31.625" style="128" customWidth="1"/>
    <col min="5386" max="5386" width="6.625" style="128" customWidth="1"/>
    <col min="5387" max="5392" width="16.625" style="128" customWidth="1"/>
    <col min="5393" max="5393" width="21.875" style="128" bestFit="1" customWidth="1"/>
    <col min="5394" max="5394" width="15.625" style="128" customWidth="1"/>
    <col min="5395" max="5395" width="16.625" style="128" customWidth="1"/>
    <col min="5396" max="5396" width="10.625" style="128" customWidth="1"/>
    <col min="5397" max="5397" width="26.375" style="128" bestFit="1" customWidth="1"/>
    <col min="5398" max="5398" width="11.375" style="128" customWidth="1"/>
    <col min="5399" max="5399" width="13.25" style="128" customWidth="1"/>
    <col min="5400" max="5639" width="9" style="128"/>
    <col min="5640" max="5640" width="6.625" style="128" customWidth="1"/>
    <col min="5641" max="5641" width="31.625" style="128" customWidth="1"/>
    <col min="5642" max="5642" width="6.625" style="128" customWidth="1"/>
    <col min="5643" max="5648" width="16.625" style="128" customWidth="1"/>
    <col min="5649" max="5649" width="21.875" style="128" bestFit="1" customWidth="1"/>
    <col min="5650" max="5650" width="15.625" style="128" customWidth="1"/>
    <col min="5651" max="5651" width="16.625" style="128" customWidth="1"/>
    <col min="5652" max="5652" width="10.625" style="128" customWidth="1"/>
    <col min="5653" max="5653" width="26.375" style="128" bestFit="1" customWidth="1"/>
    <col min="5654" max="5654" width="11.375" style="128" customWidth="1"/>
    <col min="5655" max="5655" width="13.25" style="128" customWidth="1"/>
    <col min="5656" max="5895" width="9" style="128"/>
    <col min="5896" max="5896" width="6.625" style="128" customWidth="1"/>
    <col min="5897" max="5897" width="31.625" style="128" customWidth="1"/>
    <col min="5898" max="5898" width="6.625" style="128" customWidth="1"/>
    <col min="5899" max="5904" width="16.625" style="128" customWidth="1"/>
    <col min="5905" max="5905" width="21.875" style="128" bestFit="1" customWidth="1"/>
    <col min="5906" max="5906" width="15.625" style="128" customWidth="1"/>
    <col min="5907" max="5907" width="16.625" style="128" customWidth="1"/>
    <col min="5908" max="5908" width="10.625" style="128" customWidth="1"/>
    <col min="5909" max="5909" width="26.375" style="128" bestFit="1" customWidth="1"/>
    <col min="5910" max="5910" width="11.375" style="128" customWidth="1"/>
    <col min="5911" max="5911" width="13.25" style="128" customWidth="1"/>
    <col min="5912" max="6151" width="9" style="128"/>
    <col min="6152" max="6152" width="6.625" style="128" customWidth="1"/>
    <col min="6153" max="6153" width="31.625" style="128" customWidth="1"/>
    <col min="6154" max="6154" width="6.625" style="128" customWidth="1"/>
    <col min="6155" max="6160" width="16.625" style="128" customWidth="1"/>
    <col min="6161" max="6161" width="21.875" style="128" bestFit="1" customWidth="1"/>
    <col min="6162" max="6162" width="15.625" style="128" customWidth="1"/>
    <col min="6163" max="6163" width="16.625" style="128" customWidth="1"/>
    <col min="6164" max="6164" width="10.625" style="128" customWidth="1"/>
    <col min="6165" max="6165" width="26.375" style="128" bestFit="1" customWidth="1"/>
    <col min="6166" max="6166" width="11.375" style="128" customWidth="1"/>
    <col min="6167" max="6167" width="13.25" style="128" customWidth="1"/>
    <col min="6168" max="6407" width="9" style="128"/>
    <col min="6408" max="6408" width="6.625" style="128" customWidth="1"/>
    <col min="6409" max="6409" width="31.625" style="128" customWidth="1"/>
    <col min="6410" max="6410" width="6.625" style="128" customWidth="1"/>
    <col min="6411" max="6416" width="16.625" style="128" customWidth="1"/>
    <col min="6417" max="6417" width="21.875" style="128" bestFit="1" customWidth="1"/>
    <col min="6418" max="6418" width="15.625" style="128" customWidth="1"/>
    <col min="6419" max="6419" width="16.625" style="128" customWidth="1"/>
    <col min="6420" max="6420" width="10.625" style="128" customWidth="1"/>
    <col min="6421" max="6421" width="26.375" style="128" bestFit="1" customWidth="1"/>
    <col min="6422" max="6422" width="11.375" style="128" customWidth="1"/>
    <col min="6423" max="6423" width="13.25" style="128" customWidth="1"/>
    <col min="6424" max="6663" width="9" style="128"/>
    <col min="6664" max="6664" width="6.625" style="128" customWidth="1"/>
    <col min="6665" max="6665" width="31.625" style="128" customWidth="1"/>
    <col min="6666" max="6666" width="6.625" style="128" customWidth="1"/>
    <col min="6667" max="6672" width="16.625" style="128" customWidth="1"/>
    <col min="6673" max="6673" width="21.875" style="128" bestFit="1" customWidth="1"/>
    <col min="6674" max="6674" width="15.625" style="128" customWidth="1"/>
    <col min="6675" max="6675" width="16.625" style="128" customWidth="1"/>
    <col min="6676" max="6676" width="10.625" style="128" customWidth="1"/>
    <col min="6677" max="6677" width="26.375" style="128" bestFit="1" customWidth="1"/>
    <col min="6678" max="6678" width="11.375" style="128" customWidth="1"/>
    <col min="6679" max="6679" width="13.25" style="128" customWidth="1"/>
    <col min="6680" max="6919" width="9" style="128"/>
    <col min="6920" max="6920" width="6.625" style="128" customWidth="1"/>
    <col min="6921" max="6921" width="31.625" style="128" customWidth="1"/>
    <col min="6922" max="6922" width="6.625" style="128" customWidth="1"/>
    <col min="6923" max="6928" width="16.625" style="128" customWidth="1"/>
    <col min="6929" max="6929" width="21.875" style="128" bestFit="1" customWidth="1"/>
    <col min="6930" max="6930" width="15.625" style="128" customWidth="1"/>
    <col min="6931" max="6931" width="16.625" style="128" customWidth="1"/>
    <col min="6932" max="6932" width="10.625" style="128" customWidth="1"/>
    <col min="6933" max="6933" width="26.375" style="128" bestFit="1" customWidth="1"/>
    <col min="6934" max="6934" width="11.375" style="128" customWidth="1"/>
    <col min="6935" max="6935" width="13.25" style="128" customWidth="1"/>
    <col min="6936" max="7175" width="9" style="128"/>
    <col min="7176" max="7176" width="6.625" style="128" customWidth="1"/>
    <col min="7177" max="7177" width="31.625" style="128" customWidth="1"/>
    <col min="7178" max="7178" width="6.625" style="128" customWidth="1"/>
    <col min="7179" max="7184" width="16.625" style="128" customWidth="1"/>
    <col min="7185" max="7185" width="21.875" style="128" bestFit="1" customWidth="1"/>
    <col min="7186" max="7186" width="15.625" style="128" customWidth="1"/>
    <col min="7187" max="7187" width="16.625" style="128" customWidth="1"/>
    <col min="7188" max="7188" width="10.625" style="128" customWidth="1"/>
    <col min="7189" max="7189" width="26.375" style="128" bestFit="1" customWidth="1"/>
    <col min="7190" max="7190" width="11.375" style="128" customWidth="1"/>
    <col min="7191" max="7191" width="13.25" style="128" customWidth="1"/>
    <col min="7192" max="7431" width="9" style="128"/>
    <col min="7432" max="7432" width="6.625" style="128" customWidth="1"/>
    <col min="7433" max="7433" width="31.625" style="128" customWidth="1"/>
    <col min="7434" max="7434" width="6.625" style="128" customWidth="1"/>
    <col min="7435" max="7440" width="16.625" style="128" customWidth="1"/>
    <col min="7441" max="7441" width="21.875" style="128" bestFit="1" customWidth="1"/>
    <col min="7442" max="7442" width="15.625" style="128" customWidth="1"/>
    <col min="7443" max="7443" width="16.625" style="128" customWidth="1"/>
    <col min="7444" max="7444" width="10.625" style="128" customWidth="1"/>
    <col min="7445" max="7445" width="26.375" style="128" bestFit="1" customWidth="1"/>
    <col min="7446" max="7446" width="11.375" style="128" customWidth="1"/>
    <col min="7447" max="7447" width="13.25" style="128" customWidth="1"/>
    <col min="7448" max="7687" width="9" style="128"/>
    <col min="7688" max="7688" width="6.625" style="128" customWidth="1"/>
    <col min="7689" max="7689" width="31.625" style="128" customWidth="1"/>
    <col min="7690" max="7690" width="6.625" style="128" customWidth="1"/>
    <col min="7691" max="7696" width="16.625" style="128" customWidth="1"/>
    <col min="7697" max="7697" width="21.875" style="128" bestFit="1" customWidth="1"/>
    <col min="7698" max="7698" width="15.625" style="128" customWidth="1"/>
    <col min="7699" max="7699" width="16.625" style="128" customWidth="1"/>
    <col min="7700" max="7700" width="10.625" style="128" customWidth="1"/>
    <col min="7701" max="7701" width="26.375" style="128" bestFit="1" customWidth="1"/>
    <col min="7702" max="7702" width="11.375" style="128" customWidth="1"/>
    <col min="7703" max="7703" width="13.25" style="128" customWidth="1"/>
    <col min="7704" max="7943" width="9" style="128"/>
    <col min="7944" max="7944" width="6.625" style="128" customWidth="1"/>
    <col min="7945" max="7945" width="31.625" style="128" customWidth="1"/>
    <col min="7946" max="7946" width="6.625" style="128" customWidth="1"/>
    <col min="7947" max="7952" width="16.625" style="128" customWidth="1"/>
    <col min="7953" max="7953" width="21.875" style="128" bestFit="1" customWidth="1"/>
    <col min="7954" max="7954" width="15.625" style="128" customWidth="1"/>
    <col min="7955" max="7955" width="16.625" style="128" customWidth="1"/>
    <col min="7956" max="7956" width="10.625" style="128" customWidth="1"/>
    <col min="7957" max="7957" width="26.375" style="128" bestFit="1" customWidth="1"/>
    <col min="7958" max="7958" width="11.375" style="128" customWidth="1"/>
    <col min="7959" max="7959" width="13.25" style="128" customWidth="1"/>
    <col min="7960" max="8199" width="9" style="128"/>
    <col min="8200" max="8200" width="6.625" style="128" customWidth="1"/>
    <col min="8201" max="8201" width="31.625" style="128" customWidth="1"/>
    <col min="8202" max="8202" width="6.625" style="128" customWidth="1"/>
    <col min="8203" max="8208" width="16.625" style="128" customWidth="1"/>
    <col min="8209" max="8209" width="21.875" style="128" bestFit="1" customWidth="1"/>
    <col min="8210" max="8210" width="15.625" style="128" customWidth="1"/>
    <col min="8211" max="8211" width="16.625" style="128" customWidth="1"/>
    <col min="8212" max="8212" width="10.625" style="128" customWidth="1"/>
    <col min="8213" max="8213" width="26.375" style="128" bestFit="1" customWidth="1"/>
    <col min="8214" max="8214" width="11.375" style="128" customWidth="1"/>
    <col min="8215" max="8215" width="13.25" style="128" customWidth="1"/>
    <col min="8216" max="8455" width="9" style="128"/>
    <col min="8456" max="8456" width="6.625" style="128" customWidth="1"/>
    <col min="8457" max="8457" width="31.625" style="128" customWidth="1"/>
    <col min="8458" max="8458" width="6.625" style="128" customWidth="1"/>
    <col min="8459" max="8464" width="16.625" style="128" customWidth="1"/>
    <col min="8465" max="8465" width="21.875" style="128" bestFit="1" customWidth="1"/>
    <col min="8466" max="8466" width="15.625" style="128" customWidth="1"/>
    <col min="8467" max="8467" width="16.625" style="128" customWidth="1"/>
    <col min="8468" max="8468" width="10.625" style="128" customWidth="1"/>
    <col min="8469" max="8469" width="26.375" style="128" bestFit="1" customWidth="1"/>
    <col min="8470" max="8470" width="11.375" style="128" customWidth="1"/>
    <col min="8471" max="8471" width="13.25" style="128" customWidth="1"/>
    <col min="8472" max="8711" width="9" style="128"/>
    <col min="8712" max="8712" width="6.625" style="128" customWidth="1"/>
    <col min="8713" max="8713" width="31.625" style="128" customWidth="1"/>
    <col min="8714" max="8714" width="6.625" style="128" customWidth="1"/>
    <col min="8715" max="8720" width="16.625" style="128" customWidth="1"/>
    <col min="8721" max="8721" width="21.875" style="128" bestFit="1" customWidth="1"/>
    <col min="8722" max="8722" width="15.625" style="128" customWidth="1"/>
    <col min="8723" max="8723" width="16.625" style="128" customWidth="1"/>
    <col min="8724" max="8724" width="10.625" style="128" customWidth="1"/>
    <col min="8725" max="8725" width="26.375" style="128" bestFit="1" customWidth="1"/>
    <col min="8726" max="8726" width="11.375" style="128" customWidth="1"/>
    <col min="8727" max="8727" width="13.25" style="128" customWidth="1"/>
    <col min="8728" max="8967" width="9" style="128"/>
    <col min="8968" max="8968" width="6.625" style="128" customWidth="1"/>
    <col min="8969" max="8969" width="31.625" style="128" customWidth="1"/>
    <col min="8970" max="8970" width="6.625" style="128" customWidth="1"/>
    <col min="8971" max="8976" width="16.625" style="128" customWidth="1"/>
    <col min="8977" max="8977" width="21.875" style="128" bestFit="1" customWidth="1"/>
    <col min="8978" max="8978" width="15.625" style="128" customWidth="1"/>
    <col min="8979" max="8979" width="16.625" style="128" customWidth="1"/>
    <col min="8980" max="8980" width="10.625" style="128" customWidth="1"/>
    <col min="8981" max="8981" width="26.375" style="128" bestFit="1" customWidth="1"/>
    <col min="8982" max="8982" width="11.375" style="128" customWidth="1"/>
    <col min="8983" max="8983" width="13.25" style="128" customWidth="1"/>
    <col min="8984" max="9223" width="9" style="128"/>
    <col min="9224" max="9224" width="6.625" style="128" customWidth="1"/>
    <col min="9225" max="9225" width="31.625" style="128" customWidth="1"/>
    <col min="9226" max="9226" width="6.625" style="128" customWidth="1"/>
    <col min="9227" max="9232" width="16.625" style="128" customWidth="1"/>
    <col min="9233" max="9233" width="21.875" style="128" bestFit="1" customWidth="1"/>
    <col min="9234" max="9234" width="15.625" style="128" customWidth="1"/>
    <col min="9235" max="9235" width="16.625" style="128" customWidth="1"/>
    <col min="9236" max="9236" width="10.625" style="128" customWidth="1"/>
    <col min="9237" max="9237" width="26.375" style="128" bestFit="1" customWidth="1"/>
    <col min="9238" max="9238" width="11.375" style="128" customWidth="1"/>
    <col min="9239" max="9239" width="13.25" style="128" customWidth="1"/>
    <col min="9240" max="9479" width="9" style="128"/>
    <col min="9480" max="9480" width="6.625" style="128" customWidth="1"/>
    <col min="9481" max="9481" width="31.625" style="128" customWidth="1"/>
    <col min="9482" max="9482" width="6.625" style="128" customWidth="1"/>
    <col min="9483" max="9488" width="16.625" style="128" customWidth="1"/>
    <col min="9489" max="9489" width="21.875" style="128" bestFit="1" customWidth="1"/>
    <col min="9490" max="9490" width="15.625" style="128" customWidth="1"/>
    <col min="9491" max="9491" width="16.625" style="128" customWidth="1"/>
    <col min="9492" max="9492" width="10.625" style="128" customWidth="1"/>
    <col min="9493" max="9493" width="26.375" style="128" bestFit="1" customWidth="1"/>
    <col min="9494" max="9494" width="11.375" style="128" customWidth="1"/>
    <col min="9495" max="9495" width="13.25" style="128" customWidth="1"/>
    <col min="9496" max="9735" width="9" style="128"/>
    <col min="9736" max="9736" width="6.625" style="128" customWidth="1"/>
    <col min="9737" max="9737" width="31.625" style="128" customWidth="1"/>
    <col min="9738" max="9738" width="6.625" style="128" customWidth="1"/>
    <col min="9739" max="9744" width="16.625" style="128" customWidth="1"/>
    <col min="9745" max="9745" width="21.875" style="128" bestFit="1" customWidth="1"/>
    <col min="9746" max="9746" width="15.625" style="128" customWidth="1"/>
    <col min="9747" max="9747" width="16.625" style="128" customWidth="1"/>
    <col min="9748" max="9748" width="10.625" style="128" customWidth="1"/>
    <col min="9749" max="9749" width="26.375" style="128" bestFit="1" customWidth="1"/>
    <col min="9750" max="9750" width="11.375" style="128" customWidth="1"/>
    <col min="9751" max="9751" width="13.25" style="128" customWidth="1"/>
    <col min="9752" max="9991" width="9" style="128"/>
    <col min="9992" max="9992" width="6.625" style="128" customWidth="1"/>
    <col min="9993" max="9993" width="31.625" style="128" customWidth="1"/>
    <col min="9994" max="9994" width="6.625" style="128" customWidth="1"/>
    <col min="9995" max="10000" width="16.625" style="128" customWidth="1"/>
    <col min="10001" max="10001" width="21.875" style="128" bestFit="1" customWidth="1"/>
    <col min="10002" max="10002" width="15.625" style="128" customWidth="1"/>
    <col min="10003" max="10003" width="16.625" style="128" customWidth="1"/>
    <col min="10004" max="10004" width="10.625" style="128" customWidth="1"/>
    <col min="10005" max="10005" width="26.375" style="128" bestFit="1" customWidth="1"/>
    <col min="10006" max="10006" width="11.375" style="128" customWidth="1"/>
    <col min="10007" max="10007" width="13.25" style="128" customWidth="1"/>
    <col min="10008" max="10247" width="9" style="128"/>
    <col min="10248" max="10248" width="6.625" style="128" customWidth="1"/>
    <col min="10249" max="10249" width="31.625" style="128" customWidth="1"/>
    <col min="10250" max="10250" width="6.625" style="128" customWidth="1"/>
    <col min="10251" max="10256" width="16.625" style="128" customWidth="1"/>
    <col min="10257" max="10257" width="21.875" style="128" bestFit="1" customWidth="1"/>
    <col min="10258" max="10258" width="15.625" style="128" customWidth="1"/>
    <col min="10259" max="10259" width="16.625" style="128" customWidth="1"/>
    <col min="10260" max="10260" width="10.625" style="128" customWidth="1"/>
    <col min="10261" max="10261" width="26.375" style="128" bestFit="1" customWidth="1"/>
    <col min="10262" max="10262" width="11.375" style="128" customWidth="1"/>
    <col min="10263" max="10263" width="13.25" style="128" customWidth="1"/>
    <col min="10264" max="10503" width="9" style="128"/>
    <col min="10504" max="10504" width="6.625" style="128" customWidth="1"/>
    <col min="10505" max="10505" width="31.625" style="128" customWidth="1"/>
    <col min="10506" max="10506" width="6.625" style="128" customWidth="1"/>
    <col min="10507" max="10512" width="16.625" style="128" customWidth="1"/>
    <col min="10513" max="10513" width="21.875" style="128" bestFit="1" customWidth="1"/>
    <col min="10514" max="10514" width="15.625" style="128" customWidth="1"/>
    <col min="10515" max="10515" width="16.625" style="128" customWidth="1"/>
    <col min="10516" max="10516" width="10.625" style="128" customWidth="1"/>
    <col min="10517" max="10517" width="26.375" style="128" bestFit="1" customWidth="1"/>
    <col min="10518" max="10518" width="11.375" style="128" customWidth="1"/>
    <col min="10519" max="10519" width="13.25" style="128" customWidth="1"/>
    <col min="10520" max="10759" width="9" style="128"/>
    <col min="10760" max="10760" width="6.625" style="128" customWidth="1"/>
    <col min="10761" max="10761" width="31.625" style="128" customWidth="1"/>
    <col min="10762" max="10762" width="6.625" style="128" customWidth="1"/>
    <col min="10763" max="10768" width="16.625" style="128" customWidth="1"/>
    <col min="10769" max="10769" width="21.875" style="128" bestFit="1" customWidth="1"/>
    <col min="10770" max="10770" width="15.625" style="128" customWidth="1"/>
    <col min="10771" max="10771" width="16.625" style="128" customWidth="1"/>
    <col min="10772" max="10772" width="10.625" style="128" customWidth="1"/>
    <col min="10773" max="10773" width="26.375" style="128" bestFit="1" customWidth="1"/>
    <col min="10774" max="10774" width="11.375" style="128" customWidth="1"/>
    <col min="10775" max="10775" width="13.25" style="128" customWidth="1"/>
    <col min="10776" max="11015" width="9" style="128"/>
    <col min="11016" max="11016" width="6.625" style="128" customWidth="1"/>
    <col min="11017" max="11017" width="31.625" style="128" customWidth="1"/>
    <col min="11018" max="11018" width="6.625" style="128" customWidth="1"/>
    <col min="11019" max="11024" width="16.625" style="128" customWidth="1"/>
    <col min="11025" max="11025" width="21.875" style="128" bestFit="1" customWidth="1"/>
    <col min="11026" max="11026" width="15.625" style="128" customWidth="1"/>
    <col min="11027" max="11027" width="16.625" style="128" customWidth="1"/>
    <col min="11028" max="11028" width="10.625" style="128" customWidth="1"/>
    <col min="11029" max="11029" width="26.375" style="128" bestFit="1" customWidth="1"/>
    <col min="11030" max="11030" width="11.375" style="128" customWidth="1"/>
    <col min="11031" max="11031" width="13.25" style="128" customWidth="1"/>
    <col min="11032" max="11271" width="9" style="128"/>
    <col min="11272" max="11272" width="6.625" style="128" customWidth="1"/>
    <col min="11273" max="11273" width="31.625" style="128" customWidth="1"/>
    <col min="11274" max="11274" width="6.625" style="128" customWidth="1"/>
    <col min="11275" max="11280" width="16.625" style="128" customWidth="1"/>
    <col min="11281" max="11281" width="21.875" style="128" bestFit="1" customWidth="1"/>
    <col min="11282" max="11282" width="15.625" style="128" customWidth="1"/>
    <col min="11283" max="11283" width="16.625" style="128" customWidth="1"/>
    <col min="11284" max="11284" width="10.625" style="128" customWidth="1"/>
    <col min="11285" max="11285" width="26.375" style="128" bestFit="1" customWidth="1"/>
    <col min="11286" max="11286" width="11.375" style="128" customWidth="1"/>
    <col min="11287" max="11287" width="13.25" style="128" customWidth="1"/>
    <col min="11288" max="11527" width="9" style="128"/>
    <col min="11528" max="11528" width="6.625" style="128" customWidth="1"/>
    <col min="11529" max="11529" width="31.625" style="128" customWidth="1"/>
    <col min="11530" max="11530" width="6.625" style="128" customWidth="1"/>
    <col min="11531" max="11536" width="16.625" style="128" customWidth="1"/>
    <col min="11537" max="11537" width="21.875" style="128" bestFit="1" customWidth="1"/>
    <col min="11538" max="11538" width="15.625" style="128" customWidth="1"/>
    <col min="11539" max="11539" width="16.625" style="128" customWidth="1"/>
    <col min="11540" max="11540" width="10.625" style="128" customWidth="1"/>
    <col min="11541" max="11541" width="26.375" style="128" bestFit="1" customWidth="1"/>
    <col min="11542" max="11542" width="11.375" style="128" customWidth="1"/>
    <col min="11543" max="11543" width="13.25" style="128" customWidth="1"/>
    <col min="11544" max="11783" width="9" style="128"/>
    <col min="11784" max="11784" width="6.625" style="128" customWidth="1"/>
    <col min="11785" max="11785" width="31.625" style="128" customWidth="1"/>
    <col min="11786" max="11786" width="6.625" style="128" customWidth="1"/>
    <col min="11787" max="11792" width="16.625" style="128" customWidth="1"/>
    <col min="11793" max="11793" width="21.875" style="128" bestFit="1" customWidth="1"/>
    <col min="11794" max="11794" width="15.625" style="128" customWidth="1"/>
    <col min="11795" max="11795" width="16.625" style="128" customWidth="1"/>
    <col min="11796" max="11796" width="10.625" style="128" customWidth="1"/>
    <col min="11797" max="11797" width="26.375" style="128" bestFit="1" customWidth="1"/>
    <col min="11798" max="11798" width="11.375" style="128" customWidth="1"/>
    <col min="11799" max="11799" width="13.25" style="128" customWidth="1"/>
    <col min="11800" max="12039" width="9" style="128"/>
    <col min="12040" max="12040" width="6.625" style="128" customWidth="1"/>
    <col min="12041" max="12041" width="31.625" style="128" customWidth="1"/>
    <col min="12042" max="12042" width="6.625" style="128" customWidth="1"/>
    <col min="12043" max="12048" width="16.625" style="128" customWidth="1"/>
    <col min="12049" max="12049" width="21.875" style="128" bestFit="1" customWidth="1"/>
    <col min="12050" max="12050" width="15.625" style="128" customWidth="1"/>
    <col min="12051" max="12051" width="16.625" style="128" customWidth="1"/>
    <col min="12052" max="12052" width="10.625" style="128" customWidth="1"/>
    <col min="12053" max="12053" width="26.375" style="128" bestFit="1" customWidth="1"/>
    <col min="12054" max="12054" width="11.375" style="128" customWidth="1"/>
    <col min="12055" max="12055" width="13.25" style="128" customWidth="1"/>
    <col min="12056" max="12295" width="9" style="128"/>
    <col min="12296" max="12296" width="6.625" style="128" customWidth="1"/>
    <col min="12297" max="12297" width="31.625" style="128" customWidth="1"/>
    <col min="12298" max="12298" width="6.625" style="128" customWidth="1"/>
    <col min="12299" max="12304" width="16.625" style="128" customWidth="1"/>
    <col min="12305" max="12305" width="21.875" style="128" bestFit="1" customWidth="1"/>
    <col min="12306" max="12306" width="15.625" style="128" customWidth="1"/>
    <col min="12307" max="12307" width="16.625" style="128" customWidth="1"/>
    <col min="12308" max="12308" width="10.625" style="128" customWidth="1"/>
    <col min="12309" max="12309" width="26.375" style="128" bestFit="1" customWidth="1"/>
    <col min="12310" max="12310" width="11.375" style="128" customWidth="1"/>
    <col min="12311" max="12311" width="13.25" style="128" customWidth="1"/>
    <col min="12312" max="12551" width="9" style="128"/>
    <col min="12552" max="12552" width="6.625" style="128" customWidth="1"/>
    <col min="12553" max="12553" width="31.625" style="128" customWidth="1"/>
    <col min="12554" max="12554" width="6.625" style="128" customWidth="1"/>
    <col min="12555" max="12560" width="16.625" style="128" customWidth="1"/>
    <col min="12561" max="12561" width="21.875" style="128" bestFit="1" customWidth="1"/>
    <col min="12562" max="12562" width="15.625" style="128" customWidth="1"/>
    <col min="12563" max="12563" width="16.625" style="128" customWidth="1"/>
    <col min="12564" max="12564" width="10.625" style="128" customWidth="1"/>
    <col min="12565" max="12565" width="26.375" style="128" bestFit="1" customWidth="1"/>
    <col min="12566" max="12566" width="11.375" style="128" customWidth="1"/>
    <col min="12567" max="12567" width="13.25" style="128" customWidth="1"/>
    <col min="12568" max="12807" width="9" style="128"/>
    <col min="12808" max="12808" width="6.625" style="128" customWidth="1"/>
    <col min="12809" max="12809" width="31.625" style="128" customWidth="1"/>
    <col min="12810" max="12810" width="6.625" style="128" customWidth="1"/>
    <col min="12811" max="12816" width="16.625" style="128" customWidth="1"/>
    <col min="12817" max="12817" width="21.875" style="128" bestFit="1" customWidth="1"/>
    <col min="12818" max="12818" width="15.625" style="128" customWidth="1"/>
    <col min="12819" max="12819" width="16.625" style="128" customWidth="1"/>
    <col min="12820" max="12820" width="10.625" style="128" customWidth="1"/>
    <col min="12821" max="12821" width="26.375" style="128" bestFit="1" customWidth="1"/>
    <col min="12822" max="12822" width="11.375" style="128" customWidth="1"/>
    <col min="12823" max="12823" width="13.25" style="128" customWidth="1"/>
    <col min="12824" max="13063" width="9" style="128"/>
    <col min="13064" max="13064" width="6.625" style="128" customWidth="1"/>
    <col min="13065" max="13065" width="31.625" style="128" customWidth="1"/>
    <col min="13066" max="13066" width="6.625" style="128" customWidth="1"/>
    <col min="13067" max="13072" width="16.625" style="128" customWidth="1"/>
    <col min="13073" max="13073" width="21.875" style="128" bestFit="1" customWidth="1"/>
    <col min="13074" max="13074" width="15.625" style="128" customWidth="1"/>
    <col min="13075" max="13075" width="16.625" style="128" customWidth="1"/>
    <col min="13076" max="13076" width="10.625" style="128" customWidth="1"/>
    <col min="13077" max="13077" width="26.375" style="128" bestFit="1" customWidth="1"/>
    <col min="13078" max="13078" width="11.375" style="128" customWidth="1"/>
    <col min="13079" max="13079" width="13.25" style="128" customWidth="1"/>
    <col min="13080" max="13319" width="9" style="128"/>
    <col min="13320" max="13320" width="6.625" style="128" customWidth="1"/>
    <col min="13321" max="13321" width="31.625" style="128" customWidth="1"/>
    <col min="13322" max="13322" width="6.625" style="128" customWidth="1"/>
    <col min="13323" max="13328" width="16.625" style="128" customWidth="1"/>
    <col min="13329" max="13329" width="21.875" style="128" bestFit="1" customWidth="1"/>
    <col min="13330" max="13330" width="15.625" style="128" customWidth="1"/>
    <col min="13331" max="13331" width="16.625" style="128" customWidth="1"/>
    <col min="13332" max="13332" width="10.625" style="128" customWidth="1"/>
    <col min="13333" max="13333" width="26.375" style="128" bestFit="1" customWidth="1"/>
    <col min="13334" max="13334" width="11.375" style="128" customWidth="1"/>
    <col min="13335" max="13335" width="13.25" style="128" customWidth="1"/>
    <col min="13336" max="13575" width="9" style="128"/>
    <col min="13576" max="13576" width="6.625" style="128" customWidth="1"/>
    <col min="13577" max="13577" width="31.625" style="128" customWidth="1"/>
    <col min="13578" max="13578" width="6.625" style="128" customWidth="1"/>
    <col min="13579" max="13584" width="16.625" style="128" customWidth="1"/>
    <col min="13585" max="13585" width="21.875" style="128" bestFit="1" customWidth="1"/>
    <col min="13586" max="13586" width="15.625" style="128" customWidth="1"/>
    <col min="13587" max="13587" width="16.625" style="128" customWidth="1"/>
    <col min="13588" max="13588" width="10.625" style="128" customWidth="1"/>
    <col min="13589" max="13589" width="26.375" style="128" bestFit="1" customWidth="1"/>
    <col min="13590" max="13590" width="11.375" style="128" customWidth="1"/>
    <col min="13591" max="13591" width="13.25" style="128" customWidth="1"/>
    <col min="13592" max="13831" width="9" style="128"/>
    <col min="13832" max="13832" width="6.625" style="128" customWidth="1"/>
    <col min="13833" max="13833" width="31.625" style="128" customWidth="1"/>
    <col min="13834" max="13834" width="6.625" style="128" customWidth="1"/>
    <col min="13835" max="13840" width="16.625" style="128" customWidth="1"/>
    <col min="13841" max="13841" width="21.875" style="128" bestFit="1" customWidth="1"/>
    <col min="13842" max="13842" width="15.625" style="128" customWidth="1"/>
    <col min="13843" max="13843" width="16.625" style="128" customWidth="1"/>
    <col min="13844" max="13844" width="10.625" style="128" customWidth="1"/>
    <col min="13845" max="13845" width="26.375" style="128" bestFit="1" customWidth="1"/>
    <col min="13846" max="13846" width="11.375" style="128" customWidth="1"/>
    <col min="13847" max="13847" width="13.25" style="128" customWidth="1"/>
    <col min="13848" max="14087" width="9" style="128"/>
    <col min="14088" max="14088" width="6.625" style="128" customWidth="1"/>
    <col min="14089" max="14089" width="31.625" style="128" customWidth="1"/>
    <col min="14090" max="14090" width="6.625" style="128" customWidth="1"/>
    <col min="14091" max="14096" width="16.625" style="128" customWidth="1"/>
    <col min="14097" max="14097" width="21.875" style="128" bestFit="1" customWidth="1"/>
    <col min="14098" max="14098" width="15.625" style="128" customWidth="1"/>
    <col min="14099" max="14099" width="16.625" style="128" customWidth="1"/>
    <col min="14100" max="14100" width="10.625" style="128" customWidth="1"/>
    <col min="14101" max="14101" width="26.375" style="128" bestFit="1" customWidth="1"/>
    <col min="14102" max="14102" width="11.375" style="128" customWidth="1"/>
    <col min="14103" max="14103" width="13.25" style="128" customWidth="1"/>
    <col min="14104" max="14343" width="9" style="128"/>
    <col min="14344" max="14344" width="6.625" style="128" customWidth="1"/>
    <col min="14345" max="14345" width="31.625" style="128" customWidth="1"/>
    <col min="14346" max="14346" width="6.625" style="128" customWidth="1"/>
    <col min="14347" max="14352" width="16.625" style="128" customWidth="1"/>
    <col min="14353" max="14353" width="21.875" style="128" bestFit="1" customWidth="1"/>
    <col min="14354" max="14354" width="15.625" style="128" customWidth="1"/>
    <col min="14355" max="14355" width="16.625" style="128" customWidth="1"/>
    <col min="14356" max="14356" width="10.625" style="128" customWidth="1"/>
    <col min="14357" max="14357" width="26.375" style="128" bestFit="1" customWidth="1"/>
    <col min="14358" max="14358" width="11.375" style="128" customWidth="1"/>
    <col min="14359" max="14359" width="13.25" style="128" customWidth="1"/>
    <col min="14360" max="14599" width="9" style="128"/>
    <col min="14600" max="14600" width="6.625" style="128" customWidth="1"/>
    <col min="14601" max="14601" width="31.625" style="128" customWidth="1"/>
    <col min="14602" max="14602" width="6.625" style="128" customWidth="1"/>
    <col min="14603" max="14608" width="16.625" style="128" customWidth="1"/>
    <col min="14609" max="14609" width="21.875" style="128" bestFit="1" customWidth="1"/>
    <col min="14610" max="14610" width="15.625" style="128" customWidth="1"/>
    <col min="14611" max="14611" width="16.625" style="128" customWidth="1"/>
    <col min="14612" max="14612" width="10.625" style="128" customWidth="1"/>
    <col min="14613" max="14613" width="26.375" style="128" bestFit="1" customWidth="1"/>
    <col min="14614" max="14614" width="11.375" style="128" customWidth="1"/>
    <col min="14615" max="14615" width="13.25" style="128" customWidth="1"/>
    <col min="14616" max="14855" width="9" style="128"/>
    <col min="14856" max="14856" width="6.625" style="128" customWidth="1"/>
    <col min="14857" max="14857" width="31.625" style="128" customWidth="1"/>
    <col min="14858" max="14858" width="6.625" style="128" customWidth="1"/>
    <col min="14859" max="14864" width="16.625" style="128" customWidth="1"/>
    <col min="14865" max="14865" width="21.875" style="128" bestFit="1" customWidth="1"/>
    <col min="14866" max="14866" width="15.625" style="128" customWidth="1"/>
    <col min="14867" max="14867" width="16.625" style="128" customWidth="1"/>
    <col min="14868" max="14868" width="10.625" style="128" customWidth="1"/>
    <col min="14869" max="14869" width="26.375" style="128" bestFit="1" customWidth="1"/>
    <col min="14870" max="14870" width="11.375" style="128" customWidth="1"/>
    <col min="14871" max="14871" width="13.25" style="128" customWidth="1"/>
    <col min="14872" max="15111" width="9" style="128"/>
    <col min="15112" max="15112" width="6.625" style="128" customWidth="1"/>
    <col min="15113" max="15113" width="31.625" style="128" customWidth="1"/>
    <col min="15114" max="15114" width="6.625" style="128" customWidth="1"/>
    <col min="15115" max="15120" width="16.625" style="128" customWidth="1"/>
    <col min="15121" max="15121" width="21.875" style="128" bestFit="1" customWidth="1"/>
    <col min="15122" max="15122" width="15.625" style="128" customWidth="1"/>
    <col min="15123" max="15123" width="16.625" style="128" customWidth="1"/>
    <col min="15124" max="15124" width="10.625" style="128" customWidth="1"/>
    <col min="15125" max="15125" width="26.375" style="128" bestFit="1" customWidth="1"/>
    <col min="15126" max="15126" width="11.375" style="128" customWidth="1"/>
    <col min="15127" max="15127" width="13.25" style="128" customWidth="1"/>
    <col min="15128" max="15367" width="9" style="128"/>
    <col min="15368" max="15368" width="6.625" style="128" customWidth="1"/>
    <col min="15369" max="15369" width="31.625" style="128" customWidth="1"/>
    <col min="15370" max="15370" width="6.625" style="128" customWidth="1"/>
    <col min="15371" max="15376" width="16.625" style="128" customWidth="1"/>
    <col min="15377" max="15377" width="21.875" style="128" bestFit="1" customWidth="1"/>
    <col min="15378" max="15378" width="15.625" style="128" customWidth="1"/>
    <col min="15379" max="15379" width="16.625" style="128" customWidth="1"/>
    <col min="15380" max="15380" width="10.625" style="128" customWidth="1"/>
    <col min="15381" max="15381" width="26.375" style="128" bestFit="1" customWidth="1"/>
    <col min="15382" max="15382" width="11.375" style="128" customWidth="1"/>
    <col min="15383" max="15383" width="13.25" style="128" customWidth="1"/>
    <col min="15384" max="15623" width="9" style="128"/>
    <col min="15624" max="15624" width="6.625" style="128" customWidth="1"/>
    <col min="15625" max="15625" width="31.625" style="128" customWidth="1"/>
    <col min="15626" max="15626" width="6.625" style="128" customWidth="1"/>
    <col min="15627" max="15632" width="16.625" style="128" customWidth="1"/>
    <col min="15633" max="15633" width="21.875" style="128" bestFit="1" customWidth="1"/>
    <col min="15634" max="15634" width="15.625" style="128" customWidth="1"/>
    <col min="15635" max="15635" width="16.625" style="128" customWidth="1"/>
    <col min="15636" max="15636" width="10.625" style="128" customWidth="1"/>
    <col min="15637" max="15637" width="26.375" style="128" bestFit="1" customWidth="1"/>
    <col min="15638" max="15638" width="11.375" style="128" customWidth="1"/>
    <col min="15639" max="15639" width="13.25" style="128" customWidth="1"/>
    <col min="15640" max="15879" width="9" style="128"/>
    <col min="15880" max="15880" width="6.625" style="128" customWidth="1"/>
    <col min="15881" max="15881" width="31.625" style="128" customWidth="1"/>
    <col min="15882" max="15882" width="6.625" style="128" customWidth="1"/>
    <col min="15883" max="15888" width="16.625" style="128" customWidth="1"/>
    <col min="15889" max="15889" width="21.875" style="128" bestFit="1" customWidth="1"/>
    <col min="15890" max="15890" width="15.625" style="128" customWidth="1"/>
    <col min="15891" max="15891" width="16.625" style="128" customWidth="1"/>
    <col min="15892" max="15892" width="10.625" style="128" customWidth="1"/>
    <col min="15893" max="15893" width="26.375" style="128" bestFit="1" customWidth="1"/>
    <col min="15894" max="15894" width="11.375" style="128" customWidth="1"/>
    <col min="15895" max="15895" width="13.25" style="128" customWidth="1"/>
    <col min="15896" max="16135" width="9" style="128"/>
    <col min="16136" max="16136" width="6.625" style="128" customWidth="1"/>
    <col min="16137" max="16137" width="31.625" style="128" customWidth="1"/>
    <col min="16138" max="16138" width="6.625" style="128" customWidth="1"/>
    <col min="16139" max="16144" width="16.625" style="128" customWidth="1"/>
    <col min="16145" max="16145" width="21.875" style="128" bestFit="1" customWidth="1"/>
    <col min="16146" max="16146" width="15.625" style="128" customWidth="1"/>
    <col min="16147" max="16147" width="16.625" style="128" customWidth="1"/>
    <col min="16148" max="16148" width="10.625" style="128" customWidth="1"/>
    <col min="16149" max="16149" width="26.375" style="128" bestFit="1" customWidth="1"/>
    <col min="16150" max="16150" width="11.375" style="128" customWidth="1"/>
    <col min="16151" max="16151" width="13.25" style="128" customWidth="1"/>
    <col min="16152" max="16384" width="9" style="128"/>
  </cols>
  <sheetData>
    <row r="3" spans="1:22" s="126" customFormat="1" ht="19.5" customHeight="1">
      <c r="A3" s="245" t="s">
        <v>217</v>
      </c>
      <c r="B3" s="245" t="s">
        <v>218</v>
      </c>
      <c r="C3" s="245" t="s">
        <v>219</v>
      </c>
      <c r="D3" s="124">
        <v>1</v>
      </c>
      <c r="E3" s="124">
        <v>2</v>
      </c>
      <c r="F3" s="124">
        <v>3</v>
      </c>
      <c r="G3" s="124">
        <v>4</v>
      </c>
      <c r="H3" s="124">
        <v>5</v>
      </c>
      <c r="I3" s="124">
        <v>6</v>
      </c>
      <c r="J3" s="124">
        <v>7</v>
      </c>
      <c r="K3" s="124">
        <v>8</v>
      </c>
      <c r="L3" s="124">
        <v>9</v>
      </c>
      <c r="M3" s="124">
        <v>10</v>
      </c>
      <c r="N3" s="124">
        <v>11</v>
      </c>
      <c r="O3" s="124">
        <v>12</v>
      </c>
      <c r="P3" s="124">
        <v>13</v>
      </c>
      <c r="Q3" s="124">
        <v>14</v>
      </c>
      <c r="R3" s="124">
        <v>15</v>
      </c>
      <c r="S3" s="124">
        <v>16</v>
      </c>
      <c r="T3" s="125"/>
    </row>
    <row r="4" spans="1:22" ht="75" customHeight="1">
      <c r="A4" s="245"/>
      <c r="B4" s="245"/>
      <c r="C4" s="245"/>
      <c r="D4" s="211" t="s">
        <v>471</v>
      </c>
      <c r="E4" s="211" t="s">
        <v>313</v>
      </c>
      <c r="F4" s="211" t="s">
        <v>346</v>
      </c>
      <c r="G4" s="211" t="s">
        <v>314</v>
      </c>
      <c r="H4" s="211" t="s">
        <v>315</v>
      </c>
      <c r="I4" s="211" t="s">
        <v>472</v>
      </c>
      <c r="J4" s="211" t="s">
        <v>211</v>
      </c>
      <c r="K4" s="211" t="s">
        <v>129</v>
      </c>
      <c r="L4" s="211" t="s">
        <v>238</v>
      </c>
      <c r="M4" s="211" t="s">
        <v>214</v>
      </c>
      <c r="N4" s="211" t="s">
        <v>474</v>
      </c>
      <c r="O4" s="211" t="s">
        <v>475</v>
      </c>
      <c r="P4" s="211" t="s">
        <v>476</v>
      </c>
      <c r="Q4" s="211" t="s">
        <v>436</v>
      </c>
      <c r="R4" s="211" t="s">
        <v>439</v>
      </c>
      <c r="S4" s="211" t="s">
        <v>438</v>
      </c>
      <c r="T4" s="246" t="s">
        <v>24</v>
      </c>
    </row>
    <row r="5" spans="1:22" ht="19.5" customHeight="1">
      <c r="A5" s="245"/>
      <c r="B5" s="245"/>
      <c r="C5" s="245"/>
      <c r="D5" s="144">
        <v>188</v>
      </c>
      <c r="E5" s="144">
        <v>93</v>
      </c>
      <c r="F5" s="144">
        <v>12</v>
      </c>
      <c r="G5" s="138">
        <v>2</v>
      </c>
      <c r="H5" s="138">
        <v>2</v>
      </c>
      <c r="I5" s="138">
        <v>4</v>
      </c>
      <c r="J5" s="213">
        <v>4.2</v>
      </c>
      <c r="K5" s="144">
        <v>208</v>
      </c>
      <c r="L5" s="138">
        <f>D5/2+77</f>
        <v>171</v>
      </c>
      <c r="M5" s="138">
        <v>4</v>
      </c>
      <c r="N5" s="138">
        <v>1</v>
      </c>
      <c r="O5" s="138">
        <v>1</v>
      </c>
      <c r="P5" s="138">
        <v>1</v>
      </c>
      <c r="Q5" s="138">
        <v>1</v>
      </c>
      <c r="R5" s="233">
        <v>31</v>
      </c>
      <c r="S5" s="233">
        <v>65</v>
      </c>
      <c r="T5" s="247"/>
    </row>
    <row r="6" spans="1:22" ht="21.95" customHeight="1">
      <c r="A6" s="124">
        <v>1</v>
      </c>
      <c r="B6" s="302" t="s">
        <v>513</v>
      </c>
      <c r="C6" s="130" t="str">
        <f>VLOOKUP(B6,表3_元件數量計算表!$B$6:$F$205,5,FALSE)</f>
        <v>M2</v>
      </c>
      <c r="D6" s="232">
        <f>表3_元件數量計算表!E96*D5</f>
        <v>1128</v>
      </c>
      <c r="E6" s="232">
        <f>表3_元件數量計算表!E107*E5</f>
        <v>2512.8599999999997</v>
      </c>
      <c r="F6" s="232">
        <f>F5*表3_元件數量計算表!E118</f>
        <v>436.91999999999996</v>
      </c>
      <c r="G6" s="232">
        <f>表3_元件數量計算表!E126*G5</f>
        <v>120</v>
      </c>
      <c r="H6" s="232">
        <f>表3_元件數量計算表!E131*H5</f>
        <v>38</v>
      </c>
      <c r="I6" s="232">
        <f>I5*表3_元件數量計算表!E136</f>
        <v>53.76</v>
      </c>
      <c r="J6" s="232">
        <f>J5*表3_元件數量計算表!E143</f>
        <v>20.16</v>
      </c>
      <c r="K6" s="232"/>
      <c r="L6" s="232">
        <f>表3_元件數量計算表!E157*L5</f>
        <v>213.75</v>
      </c>
      <c r="M6" s="232">
        <f>表3_元件數量計算表!E163*M5</f>
        <v>72</v>
      </c>
      <c r="N6" s="232">
        <f>表3_元件數量計算表!E169*N5</f>
        <v>230.38000000000002</v>
      </c>
      <c r="O6" s="232">
        <f>表3_元件數量計算表!E175</f>
        <v>497.42500000000001</v>
      </c>
      <c r="P6" s="232">
        <f>表3_元件數量計算表!E183</f>
        <v>387.59999999999997</v>
      </c>
      <c r="Q6" s="232">
        <f>表3_元件數量計算表!E191</f>
        <v>40.86</v>
      </c>
      <c r="R6" s="232">
        <f>R5*表3_元件數量計算表!E197</f>
        <v>62</v>
      </c>
      <c r="S6" s="232">
        <f>S5*表3_元件數量計算表!E202</f>
        <v>130</v>
      </c>
      <c r="T6" s="132">
        <f>ROUND(SUM(D6:S6),2)</f>
        <v>5943.72</v>
      </c>
      <c r="U6" s="133"/>
      <c r="V6" s="133"/>
    </row>
    <row r="7" spans="1:22" ht="21.95" customHeight="1">
      <c r="A7" s="124">
        <f>A6+1</f>
        <v>2</v>
      </c>
      <c r="B7" s="302" t="s">
        <v>514</v>
      </c>
      <c r="C7" s="130" t="e">
        <f>VLOOKUP(B7,表3_元件數量計算表!$B$6:$F$205,5,FALSE)</f>
        <v>#N/A</v>
      </c>
      <c r="D7" s="232"/>
      <c r="E7" s="232"/>
      <c r="F7" s="232"/>
      <c r="G7" s="232"/>
      <c r="H7" s="232"/>
      <c r="I7" s="232"/>
      <c r="J7" s="232"/>
      <c r="K7" s="232">
        <f>表3_元件數量計算表!E150*K5</f>
        <v>411.84</v>
      </c>
      <c r="L7" s="232"/>
      <c r="M7" s="232"/>
      <c r="N7" s="232"/>
      <c r="O7" s="232"/>
      <c r="P7" s="232"/>
      <c r="Q7" s="232"/>
      <c r="R7" s="232"/>
      <c r="S7" s="232"/>
      <c r="T7" s="132">
        <f t="shared" ref="T7:T23" si="0">ROUND(SUM(D7:S7),2)</f>
        <v>411.84</v>
      </c>
      <c r="U7" s="133"/>
      <c r="V7" s="133"/>
    </row>
    <row r="8" spans="1:22" ht="21.95" customHeight="1">
      <c r="A8" s="124">
        <f t="shared" ref="A8:A21" si="1">A7+1</f>
        <v>3</v>
      </c>
      <c r="B8" s="302" t="s">
        <v>419</v>
      </c>
      <c r="C8" s="130" t="e">
        <f>VLOOKUP(B8,表3_元件數量計算表!$B$6:$F$205,5,FALSE)</f>
        <v>#N/A</v>
      </c>
      <c r="D8" s="232">
        <f>表3_元件數量計算表!E97*D5</f>
        <v>8505.1200000000008</v>
      </c>
      <c r="E8" s="232">
        <f>表3_元件數量計算表!E108*E5</f>
        <v>41802.57</v>
      </c>
      <c r="F8" s="232">
        <f>F5*表3_元件數量計算表!E119</f>
        <v>6105.24</v>
      </c>
      <c r="G8" s="232"/>
      <c r="H8" s="232"/>
      <c r="I8" s="232">
        <f>I5*表3_元件數量計算表!E137</f>
        <v>643.28</v>
      </c>
      <c r="J8" s="232">
        <f>J5*表3_元件數量計算表!E144</f>
        <v>137.59199999999998</v>
      </c>
      <c r="K8" s="232">
        <f>表3_元件數量計算表!E151*K5</f>
        <v>1921.92</v>
      </c>
      <c r="L8" s="232">
        <f>表3_元件數量計算表!E158*L5</f>
        <v>1580.04</v>
      </c>
      <c r="M8" s="232">
        <f>表3_元件數量計算表!E164*M5</f>
        <v>49.6</v>
      </c>
      <c r="N8" s="232">
        <f>表3_元件數量計算表!E170*N5</f>
        <v>340.04999999999995</v>
      </c>
      <c r="O8" s="232">
        <f>表3_元件數量計算表!E176</f>
        <v>4553.53</v>
      </c>
      <c r="P8" s="232">
        <f>表3_元件數量計算表!E184*P5</f>
        <v>3089.9250000000002</v>
      </c>
      <c r="Q8" s="232">
        <f>表3_元件數量計算表!E192</f>
        <v>84.094999999999999</v>
      </c>
      <c r="R8" s="232">
        <f>R5*表3_元件數量計算表!E198</f>
        <v>395.87</v>
      </c>
      <c r="S8" s="232">
        <f>S5*表3_元件數量計算表!E203</f>
        <v>830.05</v>
      </c>
      <c r="T8" s="132">
        <f t="shared" si="0"/>
        <v>70038.880000000005</v>
      </c>
      <c r="U8" s="133"/>
      <c r="V8" s="133"/>
    </row>
    <row r="9" spans="1:22" ht="21.95" customHeight="1">
      <c r="A9" s="124">
        <f t="shared" si="1"/>
        <v>4</v>
      </c>
      <c r="B9" s="302" t="s">
        <v>515</v>
      </c>
      <c r="C9" s="130" t="str">
        <f>VLOOKUP(B9,表3_元件數量計算表!$B$6:$F$205,5,FALSE)</f>
        <v>M3</v>
      </c>
      <c r="D9" s="232">
        <f>表3_元件數量計算表!E98*D5</f>
        <v>12056.439999999999</v>
      </c>
      <c r="E9" s="232">
        <f>表3_元件數量計算表!E109*E5</f>
        <v>218828.06999999998</v>
      </c>
      <c r="F9" s="232">
        <f>F5*表3_元件數量計算表!E120</f>
        <v>32725.32</v>
      </c>
      <c r="G9" s="232">
        <f>表3_元件數量計算表!E127*G5</f>
        <v>6172.28</v>
      </c>
      <c r="H9" s="232">
        <f>表3_元件數量計算表!E132*H5</f>
        <v>1943.94</v>
      </c>
      <c r="I9" s="232"/>
      <c r="J9" s="232">
        <f>J5*表3_元件數量計算表!E145</f>
        <v>198.45000000000002</v>
      </c>
      <c r="K9" s="232"/>
      <c r="L9" s="232"/>
      <c r="M9" s="232"/>
      <c r="N9" s="232"/>
      <c r="O9" s="232">
        <f>表3_元件數量計算表!E177</f>
        <v>11910.014999999999</v>
      </c>
      <c r="P9" s="232">
        <f>表3_元件數量計算表!E185*P5</f>
        <v>8515.68</v>
      </c>
      <c r="Q9" s="232"/>
      <c r="R9" s="232"/>
      <c r="S9" s="232"/>
      <c r="T9" s="132">
        <f t="shared" si="0"/>
        <v>292350.2</v>
      </c>
      <c r="U9" s="133"/>
      <c r="V9" s="133"/>
    </row>
    <row r="10" spans="1:22" ht="21.95" customHeight="1">
      <c r="A10" s="124">
        <f t="shared" si="1"/>
        <v>5</v>
      </c>
      <c r="B10" s="302" t="s">
        <v>516</v>
      </c>
      <c r="C10" s="130" t="str">
        <f>VLOOKUP(B10,表3_元件數量計算表!$B$6:$F$205,5,FALSE)</f>
        <v>M3</v>
      </c>
      <c r="D10" s="232">
        <f>表3_元件數量計算表!E100*D5</f>
        <v>26.320000000000004</v>
      </c>
      <c r="E10" s="232">
        <f>表3_元件數量計算表!E111*E5</f>
        <v>83.7</v>
      </c>
      <c r="F10" s="232">
        <f>F5*表3_元件數量計算表!E122</f>
        <v>10.8</v>
      </c>
      <c r="G10" s="232"/>
      <c r="H10" s="232"/>
      <c r="I10" s="232">
        <f>I5*表3_元件數量計算表!E139</f>
        <v>1.28</v>
      </c>
      <c r="J10" s="232">
        <f>J5*表3_元件數量計算表!E147</f>
        <v>0.58800000000000008</v>
      </c>
      <c r="K10" s="232">
        <f>表3_元件數量計算表!E152*K5</f>
        <v>45.76</v>
      </c>
      <c r="L10" s="232">
        <f>表3_元件數量計算表!E159*L5</f>
        <v>22.23</v>
      </c>
      <c r="M10" s="232"/>
      <c r="N10" s="232"/>
      <c r="O10" s="232">
        <f>表3_元件數量計算表!E179*O5</f>
        <v>15.86</v>
      </c>
      <c r="P10" s="232">
        <f>表3_元件數量計算表!E187*P5</f>
        <v>13.78</v>
      </c>
      <c r="Q10" s="232"/>
      <c r="R10" s="232"/>
      <c r="S10" s="232"/>
      <c r="T10" s="132">
        <f t="shared" si="0"/>
        <v>220.32</v>
      </c>
      <c r="U10" s="133"/>
      <c r="V10" s="133"/>
    </row>
    <row r="11" spans="1:22" ht="21.95" customHeight="1">
      <c r="A11" s="124">
        <f t="shared" si="1"/>
        <v>6</v>
      </c>
      <c r="B11" s="302" t="s">
        <v>517</v>
      </c>
      <c r="C11" s="130" t="str">
        <f>VLOOKUP(B11,表3_元件數量計算表!$B$6:$F$205,5,FALSE)</f>
        <v>處</v>
      </c>
      <c r="D11" s="232">
        <f>表3_元件數量計算表!E99*D5</f>
        <v>172.96</v>
      </c>
      <c r="E11" s="232"/>
      <c r="F11" s="232"/>
      <c r="G11" s="232"/>
      <c r="H11" s="232"/>
      <c r="I11" s="232">
        <f>I5*表3_元件數量計算表!E138</f>
        <v>7.36</v>
      </c>
      <c r="J11" s="232">
        <f>J5*表3_元件數量計算表!E146</f>
        <v>3.3600000000000003</v>
      </c>
      <c r="K11" s="232"/>
      <c r="L11" s="232"/>
      <c r="M11" s="232">
        <f>表3_元件數量計算表!E165*M5</f>
        <v>18.72</v>
      </c>
      <c r="N11" s="232">
        <f>表3_元件數量計算表!E171*N5</f>
        <v>44.349999999999994</v>
      </c>
      <c r="O11" s="232">
        <f>表3_元件數量計算表!E178*O5</f>
        <v>274.54499999999996</v>
      </c>
      <c r="P11" s="232">
        <f>表3_元件數量計算表!E186*P5</f>
        <v>173.64499999999998</v>
      </c>
      <c r="Q11" s="232">
        <f>表3_元件數量計算表!E193</f>
        <v>6.24</v>
      </c>
      <c r="R11" s="232">
        <f>R5*表3_元件數量計算表!E199</f>
        <v>9.2999999999999989</v>
      </c>
      <c r="S11" s="232">
        <f>S5*表3_元件數量計算表!E204</f>
        <v>13</v>
      </c>
      <c r="T11" s="132">
        <f t="shared" si="0"/>
        <v>723.48</v>
      </c>
      <c r="U11" s="133"/>
      <c r="V11" s="133"/>
    </row>
    <row r="12" spans="1:22" ht="21.95" customHeight="1">
      <c r="A12" s="124">
        <f t="shared" si="1"/>
        <v>7</v>
      </c>
      <c r="B12" s="302" t="s">
        <v>518</v>
      </c>
      <c r="C12" s="130" t="str">
        <f>VLOOKUP(B12,表3_元件數量計算表!$B$6:$F$205,5,FALSE)</f>
        <v>組</v>
      </c>
      <c r="D12" s="232"/>
      <c r="E12" s="232">
        <f>表3_元件數量計算表!E110*E5</f>
        <v>1266.1949999999999</v>
      </c>
      <c r="F12" s="232">
        <f>F5*表3_元件數量計算表!E121</f>
        <v>191.52</v>
      </c>
      <c r="G12" s="232">
        <f>表3_元件數量計算表!E128*G5</f>
        <v>30</v>
      </c>
      <c r="H12" s="232">
        <f>表3_元件數量計算表!E133*H5</f>
        <v>9.5</v>
      </c>
      <c r="I12" s="232"/>
      <c r="J12" s="232"/>
      <c r="K12" s="232"/>
      <c r="L12" s="232"/>
      <c r="M12" s="232"/>
      <c r="N12" s="232"/>
      <c r="O12" s="232"/>
      <c r="P12" s="232"/>
      <c r="Q12" s="232"/>
      <c r="R12" s="232"/>
      <c r="S12" s="232"/>
      <c r="T12" s="132">
        <f t="shared" si="0"/>
        <v>1497.22</v>
      </c>
      <c r="U12" s="133"/>
      <c r="V12" s="133"/>
    </row>
    <row r="13" spans="1:22" ht="21.95" customHeight="1">
      <c r="A13" s="124">
        <f t="shared" si="1"/>
        <v>8</v>
      </c>
      <c r="B13" s="302" t="s">
        <v>519</v>
      </c>
      <c r="C13" s="130" t="str">
        <f>VLOOKUP(B13,表3_元件數量計算表!$B$6:$F$205,5,FALSE)</f>
        <v>M2</v>
      </c>
      <c r="D13" s="232"/>
      <c r="E13" s="232">
        <f>表3_元件數量計算表!E112*E5</f>
        <v>1452.66</v>
      </c>
      <c r="F13" s="232">
        <f>F5*表3_元件數量計算表!E123</f>
        <v>311.52</v>
      </c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132">
        <f t="shared" si="0"/>
        <v>1764.18</v>
      </c>
      <c r="U13" s="133"/>
      <c r="V13" s="133"/>
    </row>
    <row r="14" spans="1:22" ht="21.95" customHeight="1">
      <c r="A14" s="124">
        <f t="shared" si="1"/>
        <v>9</v>
      </c>
      <c r="B14" s="302" t="s">
        <v>520</v>
      </c>
      <c r="C14" s="130" t="str">
        <f>VLOOKUP(B14,表3_元件數量計算表!$B$6:$F$205,5,FALSE)</f>
        <v>M</v>
      </c>
      <c r="D14" s="232">
        <f>表3_元件數量計算表!E101*D5</f>
        <v>94</v>
      </c>
      <c r="E14" s="232"/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132">
        <f t="shared" si="0"/>
        <v>94</v>
      </c>
      <c r="U14" s="133"/>
      <c r="V14" s="133"/>
    </row>
    <row r="15" spans="1:22" ht="21.95" customHeight="1">
      <c r="A15" s="124">
        <f t="shared" si="1"/>
        <v>10</v>
      </c>
      <c r="B15" s="302" t="s">
        <v>521</v>
      </c>
      <c r="C15" s="130" t="str">
        <f>VLOOKUP(B15,表3_元件數量計算表!$B$6:$F$205,5,FALSE)</f>
        <v>M3</v>
      </c>
      <c r="D15" s="232">
        <f>表3_元件數量計算表!E102*10</f>
        <v>10</v>
      </c>
      <c r="E15" s="232"/>
      <c r="F15" s="232"/>
      <c r="G15" s="232"/>
      <c r="H15" s="232"/>
      <c r="I15" s="232">
        <f>I5*表3_元件數量計算表!E140</f>
        <v>8</v>
      </c>
      <c r="J15" s="232"/>
      <c r="K15" s="232"/>
      <c r="L15" s="232"/>
      <c r="M15" s="232"/>
      <c r="N15" s="232"/>
      <c r="O15" s="232"/>
      <c r="P15" s="232"/>
      <c r="Q15" s="232"/>
      <c r="R15" s="232"/>
      <c r="S15" s="232"/>
      <c r="T15" s="132">
        <f t="shared" si="0"/>
        <v>18</v>
      </c>
      <c r="U15" s="133"/>
      <c r="V15" s="133"/>
    </row>
    <row r="16" spans="1:22" ht="21.95" customHeight="1">
      <c r="A16" s="124">
        <f t="shared" si="1"/>
        <v>11</v>
      </c>
      <c r="B16" s="302" t="s">
        <v>231</v>
      </c>
      <c r="C16" s="130" t="str">
        <f>VLOOKUP(B16,表3_元件數量計算表!$B$6:$F$205,5,FALSE)</f>
        <v>M3</v>
      </c>
      <c r="D16" s="232"/>
      <c r="E16" s="232"/>
      <c r="F16" s="232"/>
      <c r="G16" s="232"/>
      <c r="H16" s="232"/>
      <c r="I16" s="232"/>
      <c r="J16" s="232"/>
      <c r="K16" s="232">
        <f>表3_元件數量計算表!E153*K5</f>
        <v>41.6</v>
      </c>
      <c r="L16" s="232"/>
      <c r="M16" s="232"/>
      <c r="N16" s="232"/>
      <c r="O16" s="232"/>
      <c r="P16" s="232"/>
      <c r="Q16" s="232"/>
      <c r="R16" s="232"/>
      <c r="S16" s="232"/>
      <c r="T16" s="132">
        <f t="shared" si="0"/>
        <v>41.6</v>
      </c>
      <c r="U16" s="133"/>
      <c r="V16" s="133"/>
    </row>
    <row r="17" spans="1:22" ht="21.95" customHeight="1">
      <c r="A17" s="124">
        <f t="shared" si="1"/>
        <v>12</v>
      </c>
      <c r="B17" s="302" t="s">
        <v>522</v>
      </c>
      <c r="C17" s="130" t="str">
        <f>VLOOKUP(B17,表3_元件數量計算表!$B$6:$F$205,5,FALSE)</f>
        <v>支</v>
      </c>
      <c r="D17" s="232"/>
      <c r="E17" s="232"/>
      <c r="F17" s="232"/>
      <c r="G17" s="232"/>
      <c r="H17" s="232"/>
      <c r="I17" s="232"/>
      <c r="J17" s="232"/>
      <c r="K17" s="232"/>
      <c r="L17" s="232"/>
      <c r="M17" s="232">
        <f>表3_元件數量計算表!E166*M5</f>
        <v>28</v>
      </c>
      <c r="N17" s="232"/>
      <c r="O17" s="232"/>
      <c r="P17" s="232"/>
      <c r="Q17" s="232"/>
      <c r="R17" s="232"/>
      <c r="S17" s="232"/>
      <c r="T17" s="132">
        <f t="shared" si="0"/>
        <v>28</v>
      </c>
      <c r="U17" s="133"/>
      <c r="V17" s="133"/>
    </row>
    <row r="18" spans="1:22" ht="21.95" customHeight="1">
      <c r="A18" s="124">
        <f t="shared" si="1"/>
        <v>13</v>
      </c>
      <c r="B18" s="302" t="s">
        <v>523</v>
      </c>
      <c r="C18" s="130" t="str">
        <f>VLOOKUP(B18,表3_元件數量計算表!$B$6:$F$205,5,FALSE)</f>
        <v>組</v>
      </c>
      <c r="D18" s="232">
        <f>表3_元件數量計算表!E103*10</f>
        <v>9.6</v>
      </c>
      <c r="E18" s="232">
        <f>表3_元件數量計算表!E113*4</f>
        <v>62.48</v>
      </c>
      <c r="F18" s="232"/>
      <c r="G18" s="232"/>
      <c r="H18" s="232"/>
      <c r="I18" s="232"/>
      <c r="J18" s="232"/>
      <c r="K18" s="232">
        <f>表3_元件數量計算表!E154*10</f>
        <v>2.2000000000000002</v>
      </c>
      <c r="L18" s="232"/>
      <c r="M18" s="232"/>
      <c r="N18" s="232"/>
      <c r="O18" s="232"/>
      <c r="P18" s="232"/>
      <c r="Q18" s="232"/>
      <c r="R18" s="232"/>
      <c r="S18" s="232"/>
      <c r="T18" s="132">
        <f t="shared" si="0"/>
        <v>74.28</v>
      </c>
      <c r="U18" s="133"/>
      <c r="V18" s="133"/>
    </row>
    <row r="19" spans="1:22" ht="21.95" customHeight="1">
      <c r="A19" s="124">
        <f t="shared" si="1"/>
        <v>14</v>
      </c>
      <c r="B19" s="302" t="s">
        <v>524</v>
      </c>
      <c r="C19" s="130" t="str">
        <f>VLOOKUP(B19,表3_元件數量計算表!$B$6:$F$205,5,FALSE)</f>
        <v>M2</v>
      </c>
      <c r="D19" s="232">
        <f>表3_元件數量計算表!E104*10</f>
        <v>40</v>
      </c>
      <c r="E19" s="232">
        <f>表3_元件數量計算表!E114*4</f>
        <v>59.2</v>
      </c>
      <c r="F19" s="232"/>
      <c r="G19" s="232"/>
      <c r="H19" s="232"/>
      <c r="I19" s="232"/>
      <c r="J19" s="232"/>
      <c r="K19" s="232"/>
      <c r="L19" s="232"/>
      <c r="M19" s="232"/>
      <c r="N19" s="232"/>
      <c r="O19" s="232"/>
      <c r="P19" s="232"/>
      <c r="Q19" s="232"/>
      <c r="R19" s="232"/>
      <c r="S19" s="232"/>
      <c r="T19" s="132">
        <f t="shared" si="0"/>
        <v>99.2</v>
      </c>
      <c r="U19" s="133"/>
      <c r="V19" s="133"/>
    </row>
    <row r="20" spans="1:22" ht="33">
      <c r="A20" s="124">
        <f t="shared" si="1"/>
        <v>15</v>
      </c>
      <c r="B20" s="302" t="s">
        <v>525</v>
      </c>
      <c r="C20" s="130" t="str">
        <f>VLOOKUP(B20,表3_元件數量計算表!$B$6:$F$205,5,FALSE)</f>
        <v>處</v>
      </c>
      <c r="D20" s="232"/>
      <c r="E20" s="232">
        <f>表3_元件數量計算表!E115*4</f>
        <v>288</v>
      </c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132">
        <f t="shared" si="0"/>
        <v>288</v>
      </c>
      <c r="U20" s="133"/>
      <c r="V20" s="133"/>
    </row>
    <row r="21" spans="1:22" ht="21.95" customHeight="1">
      <c r="A21" s="124">
        <f t="shared" si="1"/>
        <v>16</v>
      </c>
      <c r="B21" s="302" t="s">
        <v>526</v>
      </c>
      <c r="C21" s="130" t="str">
        <f>VLOOKUP(B21,表3_元件數量計算表!$B$6:$F$205,5,FALSE)</f>
        <v>處</v>
      </c>
      <c r="D21" s="232"/>
      <c r="E21" s="232"/>
      <c r="F21" s="232"/>
      <c r="G21" s="232"/>
      <c r="H21" s="232"/>
      <c r="I21" s="232"/>
      <c r="J21" s="232"/>
      <c r="K21" s="232"/>
      <c r="L21" s="232">
        <f>表3_元件數量計算表!E160*L5</f>
        <v>171</v>
      </c>
      <c r="M21" s="232"/>
      <c r="N21" s="232"/>
      <c r="O21" s="232"/>
      <c r="P21" s="232"/>
      <c r="Q21" s="232"/>
      <c r="R21" s="232"/>
      <c r="S21" s="232"/>
      <c r="T21" s="132">
        <f t="shared" si="0"/>
        <v>171</v>
      </c>
      <c r="U21" s="133"/>
      <c r="V21" s="133"/>
    </row>
    <row r="22" spans="1:22" ht="21.95" customHeight="1">
      <c r="A22" s="124">
        <f>A21+1</f>
        <v>17</v>
      </c>
      <c r="B22" s="302" t="s">
        <v>527</v>
      </c>
      <c r="C22" s="130" t="str">
        <f>VLOOKUP(B22,表3_元件數量計算表!$B$6:$F$205,5,FALSE)</f>
        <v>M</v>
      </c>
      <c r="D22" s="232"/>
      <c r="E22" s="232"/>
      <c r="F22" s="232"/>
      <c r="G22" s="232"/>
      <c r="H22" s="232"/>
      <c r="I22" s="232"/>
      <c r="J22" s="232"/>
      <c r="K22" s="232"/>
      <c r="L22" s="232"/>
      <c r="M22" s="232"/>
      <c r="N22" s="232">
        <f>表3_元件數量計算表!E172*N5</f>
        <v>131.35</v>
      </c>
      <c r="O22" s="232">
        <f>表3_元件數量計算表!E180*O5</f>
        <v>471.86500000000001</v>
      </c>
      <c r="P22" s="232">
        <f>表3_元件數量計算表!E188*P5</f>
        <v>297.04000000000002</v>
      </c>
      <c r="Q22" s="232">
        <f>表3_元件數量計算表!E194</f>
        <v>15.99</v>
      </c>
      <c r="R22" s="232"/>
      <c r="S22" s="232"/>
      <c r="T22" s="132">
        <f t="shared" si="0"/>
        <v>916.25</v>
      </c>
      <c r="U22" s="133"/>
      <c r="V22" s="133"/>
    </row>
    <row r="23" spans="1:22" ht="16.5">
      <c r="B23" s="302" t="s">
        <v>528</v>
      </c>
      <c r="C23" s="130" t="str">
        <f>VLOOKUP(B23,表3_元件數量計算表!$B$6:$F$205,5,FALSE)</f>
        <v>M</v>
      </c>
      <c r="D23" s="232"/>
      <c r="E23" s="232"/>
      <c r="F23" s="232"/>
      <c r="G23" s="232"/>
      <c r="H23" s="232"/>
      <c r="I23" s="232"/>
      <c r="J23" s="232"/>
      <c r="K23" s="232"/>
      <c r="L23" s="232"/>
      <c r="M23" s="232"/>
      <c r="N23" s="232"/>
      <c r="O23" s="232"/>
      <c r="P23" s="232"/>
      <c r="Q23" s="232"/>
      <c r="R23" s="232"/>
      <c r="S23" s="232"/>
      <c r="T23" s="132">
        <f t="shared" si="0"/>
        <v>0</v>
      </c>
    </row>
  </sheetData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33A0B-2270-4CF2-BDE0-0B9B8E725DE0}">
  <sheetPr codeName="工作表2"/>
  <dimension ref="A1:G111"/>
  <sheetViews>
    <sheetView topLeftCell="A11" workbookViewId="0">
      <selection activeCell="G1" sqref="G1:G16"/>
    </sheetView>
  </sheetViews>
  <sheetFormatPr defaultRowHeight="16.5"/>
  <sheetData>
    <row r="1" spans="1:7" ht="31.5">
      <c r="A1" s="140" t="s">
        <v>223</v>
      </c>
      <c r="B1" s="140" t="s">
        <v>223</v>
      </c>
      <c r="C1" s="89" t="s">
        <v>330</v>
      </c>
      <c r="E1" s="115" t="s">
        <v>224</v>
      </c>
      <c r="F1" s="115" t="s">
        <v>224</v>
      </c>
      <c r="G1" s="89" t="s">
        <v>471</v>
      </c>
    </row>
    <row r="2" spans="1:7" ht="63">
      <c r="A2" s="89" t="s">
        <v>330</v>
      </c>
      <c r="B2" s="100" t="s">
        <v>242</v>
      </c>
      <c r="C2" s="89" t="s">
        <v>190</v>
      </c>
      <c r="E2" s="89" t="s">
        <v>471</v>
      </c>
      <c r="F2" s="181" t="s">
        <v>249</v>
      </c>
      <c r="G2" s="89" t="s">
        <v>313</v>
      </c>
    </row>
    <row r="3" spans="1:7" ht="63">
      <c r="A3" s="100" t="s">
        <v>242</v>
      </c>
      <c r="B3" s="100" t="s">
        <v>239</v>
      </c>
      <c r="C3" s="89" t="s">
        <v>194</v>
      </c>
      <c r="E3" s="181" t="s">
        <v>249</v>
      </c>
      <c r="F3" s="95" t="s">
        <v>181</v>
      </c>
      <c r="G3" s="89" t="s">
        <v>346</v>
      </c>
    </row>
    <row r="4" spans="1:7" ht="61.5">
      <c r="A4" s="100" t="s">
        <v>239</v>
      </c>
      <c r="B4" s="209" t="s">
        <v>249</v>
      </c>
      <c r="C4" s="107" t="s">
        <v>333</v>
      </c>
      <c r="E4" s="95" t="s">
        <v>181</v>
      </c>
      <c r="F4" s="95" t="s">
        <v>182</v>
      </c>
      <c r="G4" s="89" t="s">
        <v>314</v>
      </c>
    </row>
    <row r="5" spans="1:7" ht="62.25">
      <c r="A5" s="209" t="s">
        <v>249</v>
      </c>
      <c r="B5" s="95" t="s">
        <v>181</v>
      </c>
      <c r="C5" s="107" t="s">
        <v>334</v>
      </c>
      <c r="E5" s="95" t="s">
        <v>182</v>
      </c>
      <c r="F5" s="95" t="s">
        <v>187</v>
      </c>
      <c r="G5" s="89" t="s">
        <v>315</v>
      </c>
    </row>
    <row r="6" spans="1:7" ht="62.25">
      <c r="A6" s="95" t="s">
        <v>181</v>
      </c>
      <c r="B6" s="95" t="s">
        <v>182</v>
      </c>
      <c r="C6" s="107" t="s">
        <v>335</v>
      </c>
      <c r="E6" s="95" t="s">
        <v>187</v>
      </c>
      <c r="F6" s="95" t="s">
        <v>183</v>
      </c>
      <c r="G6" s="89" t="s">
        <v>472</v>
      </c>
    </row>
    <row r="7" spans="1:7" ht="62.25">
      <c r="A7" s="95" t="s">
        <v>182</v>
      </c>
      <c r="B7" s="95" t="s">
        <v>189</v>
      </c>
      <c r="C7" s="117" t="s">
        <v>203</v>
      </c>
      <c r="E7" s="95" t="s">
        <v>183</v>
      </c>
      <c r="F7" s="95" t="s">
        <v>207</v>
      </c>
      <c r="G7" s="89" t="s">
        <v>211</v>
      </c>
    </row>
    <row r="8" spans="1:7" ht="63">
      <c r="A8" s="95" t="s">
        <v>189</v>
      </c>
      <c r="B8" s="95" t="s">
        <v>183</v>
      </c>
      <c r="C8" s="117" t="s">
        <v>336</v>
      </c>
      <c r="E8" s="95" t="s">
        <v>207</v>
      </c>
      <c r="F8" s="115" t="s">
        <v>230</v>
      </c>
      <c r="G8" s="89" t="s">
        <v>129</v>
      </c>
    </row>
    <row r="9" spans="1:7" ht="63">
      <c r="A9" s="95" t="s">
        <v>183</v>
      </c>
      <c r="B9" s="181" t="s">
        <v>271</v>
      </c>
      <c r="C9" s="207" t="s">
        <v>497</v>
      </c>
      <c r="E9" s="115" t="s">
        <v>230</v>
      </c>
      <c r="F9" s="115" t="s">
        <v>257</v>
      </c>
      <c r="G9" s="89" t="s">
        <v>238</v>
      </c>
    </row>
    <row r="10" spans="1:7" ht="77.25">
      <c r="A10" s="181" t="s">
        <v>271</v>
      </c>
      <c r="B10" s="113" t="s">
        <v>332</v>
      </c>
      <c r="C10" s="207" t="s">
        <v>352</v>
      </c>
      <c r="E10" s="115" t="s">
        <v>257</v>
      </c>
      <c r="F10" s="115" t="s">
        <v>256</v>
      </c>
      <c r="G10" s="89" t="s">
        <v>214</v>
      </c>
    </row>
    <row r="11" spans="1:7" ht="77.25">
      <c r="A11" s="113" t="s">
        <v>332</v>
      </c>
      <c r="B11" s="113" t="s">
        <v>193</v>
      </c>
      <c r="C11" s="119" t="s">
        <v>206</v>
      </c>
      <c r="E11" s="115" t="s">
        <v>256</v>
      </c>
      <c r="F11" s="95" t="s">
        <v>189</v>
      </c>
      <c r="G11" s="208" t="s">
        <v>474</v>
      </c>
    </row>
    <row r="12" spans="1:7" ht="63">
      <c r="A12" s="100"/>
      <c r="B12" s="95" t="s">
        <v>186</v>
      </c>
      <c r="E12" s="115"/>
      <c r="F12" s="115" t="s">
        <v>208</v>
      </c>
      <c r="G12" s="208" t="s">
        <v>475</v>
      </c>
    </row>
    <row r="13" spans="1:7" ht="47.25">
      <c r="A13" s="89" t="s">
        <v>190</v>
      </c>
      <c r="B13" s="182" t="s">
        <v>417</v>
      </c>
      <c r="E13" s="89" t="s">
        <v>313</v>
      </c>
      <c r="F13" s="115" t="s">
        <v>258</v>
      </c>
      <c r="G13" s="208" t="s">
        <v>476</v>
      </c>
    </row>
    <row r="14" spans="1:7" ht="63">
      <c r="A14" s="100" t="s">
        <v>242</v>
      </c>
      <c r="B14" s="181" t="s">
        <v>262</v>
      </c>
      <c r="E14" s="209" t="s">
        <v>249</v>
      </c>
      <c r="F14" s="95" t="s">
        <v>210</v>
      </c>
      <c r="G14" s="208" t="s">
        <v>436</v>
      </c>
    </row>
    <row r="15" spans="1:7" ht="61.5">
      <c r="A15" s="100" t="s">
        <v>239</v>
      </c>
      <c r="B15" s="115" t="s">
        <v>266</v>
      </c>
      <c r="E15" s="95" t="s">
        <v>181</v>
      </c>
      <c r="F15" s="113" t="s">
        <v>193</v>
      </c>
      <c r="G15" s="208" t="s">
        <v>439</v>
      </c>
    </row>
    <row r="16" spans="1:7" ht="63.75">
      <c r="A16" s="209" t="s">
        <v>249</v>
      </c>
      <c r="B16" s="115" t="s">
        <v>267</v>
      </c>
      <c r="E16" s="143" t="s">
        <v>182</v>
      </c>
      <c r="F16" s="120" t="s">
        <v>232</v>
      </c>
      <c r="G16" s="208" t="s">
        <v>438</v>
      </c>
    </row>
    <row r="17" spans="1:6" ht="62.25">
      <c r="A17" s="113" t="s">
        <v>193</v>
      </c>
      <c r="B17" s="95" t="s">
        <v>192</v>
      </c>
      <c r="E17" s="95" t="s">
        <v>189</v>
      </c>
      <c r="F17" s="100" t="s">
        <v>251</v>
      </c>
    </row>
    <row r="18" spans="1:6" ht="63">
      <c r="A18" s="95" t="s">
        <v>181</v>
      </c>
      <c r="B18" s="115" t="s">
        <v>198</v>
      </c>
      <c r="E18" s="95" t="s">
        <v>183</v>
      </c>
      <c r="F18" s="115" t="s">
        <v>215</v>
      </c>
    </row>
    <row r="19" spans="1:6" ht="62.25">
      <c r="A19" s="95" t="s">
        <v>182</v>
      </c>
      <c r="B19" s="95" t="s">
        <v>338</v>
      </c>
      <c r="E19" s="115" t="s">
        <v>208</v>
      </c>
      <c r="F19" s="115" t="s">
        <v>216</v>
      </c>
    </row>
    <row r="20" spans="1:6" ht="62.25">
      <c r="A20" s="95" t="s">
        <v>189</v>
      </c>
      <c r="B20" s="115" t="s">
        <v>339</v>
      </c>
      <c r="E20" s="115" t="s">
        <v>257</v>
      </c>
      <c r="F20" s="234"/>
    </row>
    <row r="21" spans="1:6" ht="62.25">
      <c r="A21" s="95" t="s">
        <v>183</v>
      </c>
      <c r="B21" s="115" t="s">
        <v>200</v>
      </c>
      <c r="E21" s="115" t="s">
        <v>256</v>
      </c>
    </row>
    <row r="22" spans="1:6" ht="47.25">
      <c r="A22" s="181" t="s">
        <v>271</v>
      </c>
      <c r="B22" s="115" t="s">
        <v>201</v>
      </c>
      <c r="E22" s="115" t="s">
        <v>258</v>
      </c>
    </row>
    <row r="23" spans="1:6" ht="77.25">
      <c r="A23" s="113" t="s">
        <v>332</v>
      </c>
      <c r="B23" s="115" t="s">
        <v>340</v>
      </c>
      <c r="E23" s="95"/>
    </row>
    <row r="24" spans="1:6" ht="31.5">
      <c r="A24" s="100"/>
      <c r="B24" s="115" t="s">
        <v>268</v>
      </c>
      <c r="E24" s="89" t="s">
        <v>346</v>
      </c>
    </row>
    <row r="25" spans="1:6" ht="47.25">
      <c r="A25" s="89" t="s">
        <v>194</v>
      </c>
      <c r="B25" s="115" t="s">
        <v>341</v>
      </c>
      <c r="E25" s="209" t="s">
        <v>249</v>
      </c>
    </row>
    <row r="26" spans="1:6" ht="63">
      <c r="A26" s="95" t="s">
        <v>186</v>
      </c>
      <c r="B26" s="115" t="s">
        <v>342</v>
      </c>
      <c r="E26" s="95" t="s">
        <v>181</v>
      </c>
    </row>
    <row r="27" spans="1:6" ht="62.25">
      <c r="A27" s="95" t="s">
        <v>181</v>
      </c>
      <c r="B27" s="95" t="s">
        <v>187</v>
      </c>
      <c r="E27" s="95" t="s">
        <v>182</v>
      </c>
    </row>
    <row r="28" spans="1:6" ht="78.75">
      <c r="A28" s="95" t="s">
        <v>189</v>
      </c>
      <c r="B28" s="120" t="s">
        <v>205</v>
      </c>
      <c r="E28" s="95" t="s">
        <v>189</v>
      </c>
    </row>
    <row r="29" spans="1:6" ht="62.25">
      <c r="A29" s="182" t="s">
        <v>417</v>
      </c>
      <c r="B29" s="234"/>
      <c r="E29" s="95" t="s">
        <v>183</v>
      </c>
    </row>
    <row r="30" spans="1:6" ht="31.5">
      <c r="A30" s="181" t="s">
        <v>262</v>
      </c>
      <c r="E30" s="115" t="s">
        <v>208</v>
      </c>
    </row>
    <row r="31" spans="1:6">
      <c r="A31" s="115" t="s">
        <v>266</v>
      </c>
      <c r="E31" s="115"/>
    </row>
    <row r="32" spans="1:6" ht="31.5">
      <c r="A32" s="115" t="s">
        <v>267</v>
      </c>
      <c r="E32" s="89" t="s">
        <v>314</v>
      </c>
    </row>
    <row r="33" spans="1:5">
      <c r="A33" s="95"/>
      <c r="E33" s="209" t="s">
        <v>249</v>
      </c>
    </row>
    <row r="34" spans="1:5" ht="61.5">
      <c r="A34" s="107" t="s">
        <v>333</v>
      </c>
      <c r="E34" s="95" t="s">
        <v>182</v>
      </c>
    </row>
    <row r="35" spans="1:5" ht="62.25">
      <c r="A35" s="181" t="s">
        <v>249</v>
      </c>
      <c r="E35" s="95" t="s">
        <v>189</v>
      </c>
    </row>
    <row r="36" spans="1:5" ht="61.5">
      <c r="A36" s="95" t="s">
        <v>181</v>
      </c>
      <c r="E36" s="115"/>
    </row>
    <row r="37" spans="1:5" ht="62.25">
      <c r="A37" s="95" t="s">
        <v>192</v>
      </c>
      <c r="E37" s="89" t="s">
        <v>315</v>
      </c>
    </row>
    <row r="38" spans="1:5">
      <c r="A38" s="95"/>
      <c r="E38" s="209" t="s">
        <v>249</v>
      </c>
    </row>
    <row r="39" spans="1:5" ht="61.5">
      <c r="A39" s="107" t="s">
        <v>334</v>
      </c>
      <c r="E39" s="95" t="s">
        <v>182</v>
      </c>
    </row>
    <row r="40" spans="1:5" ht="62.25">
      <c r="A40" s="95" t="s">
        <v>179</v>
      </c>
      <c r="E40" s="95" t="s">
        <v>189</v>
      </c>
    </row>
    <row r="41" spans="1:5" ht="61.5">
      <c r="A41" s="95" t="s">
        <v>181</v>
      </c>
      <c r="E41" s="115"/>
    </row>
    <row r="42" spans="1:5" ht="62.25">
      <c r="A42" s="95" t="s">
        <v>192</v>
      </c>
      <c r="E42" s="89" t="s">
        <v>472</v>
      </c>
    </row>
    <row r="43" spans="1:5">
      <c r="A43" s="95"/>
      <c r="E43" s="95" t="s">
        <v>179</v>
      </c>
    </row>
    <row r="44" spans="1:5" ht="61.5">
      <c r="A44" s="107" t="s">
        <v>335</v>
      </c>
      <c r="E44" s="95" t="s">
        <v>181</v>
      </c>
    </row>
    <row r="45" spans="1:5" ht="62.25">
      <c r="A45" s="95" t="s">
        <v>179</v>
      </c>
      <c r="E45" s="95" t="s">
        <v>187</v>
      </c>
    </row>
    <row r="46" spans="1:5" ht="62.25">
      <c r="A46" s="95" t="s">
        <v>181</v>
      </c>
      <c r="E46" s="95" t="s">
        <v>183</v>
      </c>
    </row>
    <row r="47" spans="1:5" ht="62.25">
      <c r="A47" s="95" t="s">
        <v>192</v>
      </c>
      <c r="E47" s="95" t="s">
        <v>210</v>
      </c>
    </row>
    <row r="48" spans="1:5">
      <c r="A48" s="115" t="s">
        <v>198</v>
      </c>
      <c r="E48" s="95"/>
    </row>
    <row r="49" spans="1:5">
      <c r="A49" s="95"/>
      <c r="E49" s="89" t="s">
        <v>211</v>
      </c>
    </row>
    <row r="50" spans="1:5">
      <c r="A50" s="117" t="s">
        <v>203</v>
      </c>
      <c r="E50" s="95" t="s">
        <v>179</v>
      </c>
    </row>
    <row r="51" spans="1:5" ht="61.5">
      <c r="A51" s="100" t="s">
        <v>199</v>
      </c>
      <c r="E51" s="95" t="s">
        <v>181</v>
      </c>
    </row>
    <row r="52" spans="1:5" ht="61.5">
      <c r="A52" s="95" t="s">
        <v>181</v>
      </c>
      <c r="E52" s="95" t="s">
        <v>182</v>
      </c>
    </row>
    <row r="53" spans="1:5" ht="62.25">
      <c r="A53" s="95" t="s">
        <v>182</v>
      </c>
      <c r="E53" s="95" t="s">
        <v>187</v>
      </c>
    </row>
    <row r="54" spans="1:5" ht="62.25">
      <c r="A54" s="95" t="s">
        <v>338</v>
      </c>
      <c r="E54" s="95" t="s">
        <v>183</v>
      </c>
    </row>
    <row r="55" spans="1:5" ht="47.25">
      <c r="A55" s="115" t="s">
        <v>339</v>
      </c>
      <c r="E55" s="115"/>
    </row>
    <row r="56" spans="1:5" ht="31.5">
      <c r="A56" s="115" t="s">
        <v>200</v>
      </c>
      <c r="E56" s="89" t="s">
        <v>129</v>
      </c>
    </row>
    <row r="57" spans="1:5" ht="31.5">
      <c r="A57" s="115" t="s">
        <v>201</v>
      </c>
      <c r="E57" s="113" t="s">
        <v>193</v>
      </c>
    </row>
    <row r="58" spans="1:5" ht="61.5">
      <c r="A58" s="115" t="s">
        <v>340</v>
      </c>
      <c r="E58" s="95" t="s">
        <v>181</v>
      </c>
    </row>
    <row r="59" spans="1:5" ht="62.25">
      <c r="A59" s="115" t="s">
        <v>268</v>
      </c>
      <c r="E59" s="95" t="s">
        <v>187</v>
      </c>
    </row>
    <row r="60" spans="1:5" ht="63.75">
      <c r="A60" s="95"/>
      <c r="E60" s="120" t="s">
        <v>232</v>
      </c>
    </row>
    <row r="61" spans="1:5" ht="47.25">
      <c r="A61" s="117" t="s">
        <v>336</v>
      </c>
      <c r="E61" s="115" t="s">
        <v>257</v>
      </c>
    </row>
    <row r="62" spans="1:5">
      <c r="A62" s="100" t="s">
        <v>199</v>
      </c>
      <c r="E62" s="115"/>
    </row>
    <row r="63" spans="1:5" ht="61.5">
      <c r="A63" s="95" t="s">
        <v>181</v>
      </c>
      <c r="E63" s="89" t="s">
        <v>238</v>
      </c>
    </row>
    <row r="64" spans="1:5" ht="61.5">
      <c r="A64" s="95" t="s">
        <v>182</v>
      </c>
      <c r="E64" s="95" t="s">
        <v>179</v>
      </c>
    </row>
    <row r="65" spans="1:5" ht="62.25">
      <c r="A65" s="95" t="s">
        <v>338</v>
      </c>
      <c r="E65" s="95" t="s">
        <v>181</v>
      </c>
    </row>
    <row r="66" spans="1:5" ht="62.25">
      <c r="A66" s="115" t="s">
        <v>341</v>
      </c>
      <c r="E66" s="95" t="s">
        <v>187</v>
      </c>
    </row>
    <row r="67" spans="1:5" ht="31.5">
      <c r="A67" s="115" t="s">
        <v>200</v>
      </c>
      <c r="E67" s="100" t="s">
        <v>251</v>
      </c>
    </row>
    <row r="68" spans="1:5" ht="31.5">
      <c r="A68" s="115" t="s">
        <v>201</v>
      </c>
      <c r="E68" s="120"/>
    </row>
    <row r="69" spans="1:5" ht="47.25">
      <c r="A69" s="115" t="s">
        <v>342</v>
      </c>
      <c r="E69" s="89" t="s">
        <v>214</v>
      </c>
    </row>
    <row r="70" spans="1:5" ht="31.5">
      <c r="A70" s="115" t="s">
        <v>268</v>
      </c>
      <c r="E70" s="95" t="s">
        <v>179</v>
      </c>
    </row>
    <row r="71" spans="1:5" ht="61.5">
      <c r="A71" s="95"/>
      <c r="E71" s="95" t="s">
        <v>181</v>
      </c>
    </row>
    <row r="72" spans="1:5" ht="62.25">
      <c r="A72" s="207" t="s">
        <v>497</v>
      </c>
      <c r="E72" s="95" t="s">
        <v>187</v>
      </c>
    </row>
    <row r="73" spans="1:5" ht="63">
      <c r="A73" s="100" t="s">
        <v>249</v>
      </c>
      <c r="E73" s="115" t="s">
        <v>215</v>
      </c>
    </row>
    <row r="74" spans="1:5" ht="61.5">
      <c r="A74" s="95" t="s">
        <v>181</v>
      </c>
      <c r="E74" s="115"/>
    </row>
    <row r="75" spans="1:5" ht="61.5">
      <c r="A75" s="95" t="s">
        <v>182</v>
      </c>
      <c r="E75" s="208" t="s">
        <v>474</v>
      </c>
    </row>
    <row r="76" spans="1:5" ht="62.25">
      <c r="A76" s="95" t="s">
        <v>183</v>
      </c>
      <c r="E76" s="95" t="s">
        <v>179</v>
      </c>
    </row>
    <row r="77" spans="1:5" ht="62.25">
      <c r="A77" s="95" t="s">
        <v>187</v>
      </c>
      <c r="E77" s="95" t="s">
        <v>181</v>
      </c>
    </row>
    <row r="78" spans="1:5" ht="62.25">
      <c r="A78" s="95"/>
      <c r="E78" s="95" t="s">
        <v>187</v>
      </c>
    </row>
    <row r="79" spans="1:5">
      <c r="A79" s="207" t="s">
        <v>352</v>
      </c>
      <c r="E79" s="115" t="s">
        <v>216</v>
      </c>
    </row>
    <row r="80" spans="1:5">
      <c r="A80" s="100" t="s">
        <v>249</v>
      </c>
      <c r="E80" s="115"/>
    </row>
    <row r="81" spans="1:5" ht="61.5">
      <c r="A81" s="95" t="s">
        <v>182</v>
      </c>
      <c r="E81" s="208" t="s">
        <v>475</v>
      </c>
    </row>
    <row r="82" spans="1:5" ht="62.25">
      <c r="A82" s="95" t="s">
        <v>187</v>
      </c>
      <c r="E82" s="95" t="s">
        <v>179</v>
      </c>
    </row>
    <row r="83" spans="1:5" ht="61.5">
      <c r="A83" s="115"/>
      <c r="E83" s="95" t="s">
        <v>181</v>
      </c>
    </row>
    <row r="84" spans="1:5" ht="61.5">
      <c r="A84" s="119" t="s">
        <v>206</v>
      </c>
      <c r="E84" s="95" t="s">
        <v>182</v>
      </c>
    </row>
    <row r="85" spans="1:5" ht="62.25">
      <c r="A85" s="95" t="s">
        <v>181</v>
      </c>
      <c r="E85" s="95" t="s">
        <v>187</v>
      </c>
    </row>
    <row r="86" spans="1:5" ht="62.25">
      <c r="A86" s="95" t="s">
        <v>182</v>
      </c>
      <c r="E86" s="95" t="s">
        <v>183</v>
      </c>
    </row>
    <row r="87" spans="1:5" ht="78.75">
      <c r="A87" s="120" t="s">
        <v>205</v>
      </c>
      <c r="E87" s="115" t="s">
        <v>216</v>
      </c>
    </row>
    <row r="88" spans="1:5">
      <c r="A88" s="115"/>
      <c r="E88" s="115"/>
    </row>
    <row r="89" spans="1:5">
      <c r="E89" s="208" t="s">
        <v>476</v>
      </c>
    </row>
    <row r="90" spans="1:5">
      <c r="E90" s="95" t="s">
        <v>179</v>
      </c>
    </row>
    <row r="91" spans="1:5" ht="61.5">
      <c r="E91" s="95" t="s">
        <v>181</v>
      </c>
    </row>
    <row r="92" spans="1:5" ht="61.5">
      <c r="E92" s="95" t="s">
        <v>182</v>
      </c>
    </row>
    <row r="93" spans="1:5" ht="62.25">
      <c r="E93" s="95" t="s">
        <v>187</v>
      </c>
    </row>
    <row r="94" spans="1:5" ht="62.25">
      <c r="E94" s="95" t="s">
        <v>183</v>
      </c>
    </row>
    <row r="95" spans="1:5">
      <c r="E95" s="115" t="s">
        <v>216</v>
      </c>
    </row>
    <row r="96" spans="1:5">
      <c r="E96" s="95"/>
    </row>
    <row r="97" spans="5:5">
      <c r="E97" s="208" t="s">
        <v>436</v>
      </c>
    </row>
    <row r="98" spans="5:5">
      <c r="E98" s="95" t="s">
        <v>179</v>
      </c>
    </row>
    <row r="99" spans="5:5" ht="61.5">
      <c r="E99" s="95" t="s">
        <v>181</v>
      </c>
    </row>
    <row r="100" spans="5:5" ht="62.25">
      <c r="E100" s="95" t="s">
        <v>187</v>
      </c>
    </row>
    <row r="101" spans="5:5">
      <c r="E101" s="115" t="s">
        <v>216</v>
      </c>
    </row>
    <row r="102" spans="5:5">
      <c r="E102" s="115"/>
    </row>
    <row r="103" spans="5:5">
      <c r="E103" s="208" t="s">
        <v>439</v>
      </c>
    </row>
    <row r="104" spans="5:5">
      <c r="E104" s="95" t="s">
        <v>179</v>
      </c>
    </row>
    <row r="105" spans="5:5" ht="61.5">
      <c r="E105" s="95" t="s">
        <v>181</v>
      </c>
    </row>
    <row r="106" spans="5:5" ht="62.25">
      <c r="E106" s="95" t="s">
        <v>187</v>
      </c>
    </row>
    <row r="107" spans="5:5">
      <c r="E107" s="115"/>
    </row>
    <row r="108" spans="5:5">
      <c r="E108" s="208" t="s">
        <v>438</v>
      </c>
    </row>
    <row r="109" spans="5:5">
      <c r="E109" s="95" t="s">
        <v>179</v>
      </c>
    </row>
    <row r="110" spans="5:5" ht="61.5">
      <c r="E110" s="95" t="s">
        <v>181</v>
      </c>
    </row>
    <row r="111" spans="5:5" ht="62.25">
      <c r="E111" s="95" t="s">
        <v>187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tabSelected="1" view="pageBreakPreview" zoomScaleNormal="115" zoomScaleSheetLayoutView="100" workbookViewId="0">
      <pane xSplit="6" ySplit="5" topLeftCell="G6" activePane="bottomRight" state="frozen"/>
      <selection pane="topRight" activeCell="J1" sqref="J1"/>
      <selection pane="bottomLeft" activeCell="A6" sqref="A6"/>
      <selection pane="bottomRight" activeCell="C18" sqref="C18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9" style="83"/>
    <col min="8" max="8" width="32.75" style="83" customWidth="1"/>
    <col min="9" max="9" width="9.5" style="83" bestFit="1" customWidth="1"/>
    <col min="10" max="256" width="9" style="83"/>
    <col min="257" max="257" width="4.625" style="83" customWidth="1"/>
    <col min="258" max="258" width="35.625" style="83" customWidth="1"/>
    <col min="259" max="259" width="30.625" style="83" customWidth="1"/>
    <col min="260" max="260" width="2.375" style="83" customWidth="1"/>
    <col min="261" max="261" width="10.625" style="83" customWidth="1"/>
    <col min="262" max="262" width="4.75" style="83" customWidth="1"/>
    <col min="263" max="263" width="9" style="83"/>
    <col min="264" max="264" width="32.75" style="83" customWidth="1"/>
    <col min="265" max="265" width="9.5" style="83" bestFit="1" customWidth="1"/>
    <col min="266" max="512" width="9" style="83"/>
    <col min="513" max="513" width="4.625" style="83" customWidth="1"/>
    <col min="514" max="514" width="35.625" style="83" customWidth="1"/>
    <col min="515" max="515" width="30.625" style="83" customWidth="1"/>
    <col min="516" max="516" width="2.375" style="83" customWidth="1"/>
    <col min="517" max="517" width="10.625" style="83" customWidth="1"/>
    <col min="518" max="518" width="4.75" style="83" customWidth="1"/>
    <col min="519" max="519" width="9" style="83"/>
    <col min="520" max="520" width="32.75" style="83" customWidth="1"/>
    <col min="521" max="521" width="9.5" style="83" bestFit="1" customWidth="1"/>
    <col min="522" max="768" width="9" style="83"/>
    <col min="769" max="769" width="4.625" style="83" customWidth="1"/>
    <col min="770" max="770" width="35.625" style="83" customWidth="1"/>
    <col min="771" max="771" width="30.625" style="83" customWidth="1"/>
    <col min="772" max="772" width="2.375" style="83" customWidth="1"/>
    <col min="773" max="773" width="10.625" style="83" customWidth="1"/>
    <col min="774" max="774" width="4.75" style="83" customWidth="1"/>
    <col min="775" max="775" width="9" style="83"/>
    <col min="776" max="776" width="32.75" style="83" customWidth="1"/>
    <col min="777" max="777" width="9.5" style="83" bestFit="1" customWidth="1"/>
    <col min="778" max="1024" width="9" style="83"/>
    <col min="1025" max="1025" width="4.625" style="83" customWidth="1"/>
    <col min="1026" max="1026" width="35.625" style="83" customWidth="1"/>
    <col min="1027" max="1027" width="30.625" style="83" customWidth="1"/>
    <col min="1028" max="1028" width="2.375" style="83" customWidth="1"/>
    <col min="1029" max="1029" width="10.625" style="83" customWidth="1"/>
    <col min="1030" max="1030" width="4.75" style="83" customWidth="1"/>
    <col min="1031" max="1031" width="9" style="83"/>
    <col min="1032" max="1032" width="32.75" style="83" customWidth="1"/>
    <col min="1033" max="1033" width="9.5" style="83" bestFit="1" customWidth="1"/>
    <col min="1034" max="1280" width="9" style="83"/>
    <col min="1281" max="1281" width="4.625" style="83" customWidth="1"/>
    <col min="1282" max="1282" width="35.625" style="83" customWidth="1"/>
    <col min="1283" max="1283" width="30.625" style="83" customWidth="1"/>
    <col min="1284" max="1284" width="2.375" style="83" customWidth="1"/>
    <col min="1285" max="1285" width="10.625" style="83" customWidth="1"/>
    <col min="1286" max="1286" width="4.75" style="83" customWidth="1"/>
    <col min="1287" max="1287" width="9" style="83"/>
    <col min="1288" max="1288" width="32.75" style="83" customWidth="1"/>
    <col min="1289" max="1289" width="9.5" style="83" bestFit="1" customWidth="1"/>
    <col min="1290" max="1536" width="9" style="83"/>
    <col min="1537" max="1537" width="4.625" style="83" customWidth="1"/>
    <col min="1538" max="1538" width="35.625" style="83" customWidth="1"/>
    <col min="1539" max="1539" width="30.625" style="83" customWidth="1"/>
    <col min="1540" max="1540" width="2.375" style="83" customWidth="1"/>
    <col min="1541" max="1541" width="10.625" style="83" customWidth="1"/>
    <col min="1542" max="1542" width="4.75" style="83" customWidth="1"/>
    <col min="1543" max="1543" width="9" style="83"/>
    <col min="1544" max="1544" width="32.75" style="83" customWidth="1"/>
    <col min="1545" max="1545" width="9.5" style="83" bestFit="1" customWidth="1"/>
    <col min="1546" max="1792" width="9" style="83"/>
    <col min="1793" max="1793" width="4.625" style="83" customWidth="1"/>
    <col min="1794" max="1794" width="35.625" style="83" customWidth="1"/>
    <col min="1795" max="1795" width="30.625" style="83" customWidth="1"/>
    <col min="1796" max="1796" width="2.375" style="83" customWidth="1"/>
    <col min="1797" max="1797" width="10.625" style="83" customWidth="1"/>
    <col min="1798" max="1798" width="4.75" style="83" customWidth="1"/>
    <col min="1799" max="1799" width="9" style="83"/>
    <col min="1800" max="1800" width="32.75" style="83" customWidth="1"/>
    <col min="1801" max="1801" width="9.5" style="83" bestFit="1" customWidth="1"/>
    <col min="1802" max="2048" width="9" style="83"/>
    <col min="2049" max="2049" width="4.625" style="83" customWidth="1"/>
    <col min="2050" max="2050" width="35.625" style="83" customWidth="1"/>
    <col min="2051" max="2051" width="30.625" style="83" customWidth="1"/>
    <col min="2052" max="2052" width="2.375" style="83" customWidth="1"/>
    <col min="2053" max="2053" width="10.625" style="83" customWidth="1"/>
    <col min="2054" max="2054" width="4.75" style="83" customWidth="1"/>
    <col min="2055" max="2055" width="9" style="83"/>
    <col min="2056" max="2056" width="32.75" style="83" customWidth="1"/>
    <col min="2057" max="2057" width="9.5" style="83" bestFit="1" customWidth="1"/>
    <col min="2058" max="2304" width="9" style="83"/>
    <col min="2305" max="2305" width="4.625" style="83" customWidth="1"/>
    <col min="2306" max="2306" width="35.625" style="83" customWidth="1"/>
    <col min="2307" max="2307" width="30.625" style="83" customWidth="1"/>
    <col min="2308" max="2308" width="2.375" style="83" customWidth="1"/>
    <col min="2309" max="2309" width="10.625" style="83" customWidth="1"/>
    <col min="2310" max="2310" width="4.75" style="83" customWidth="1"/>
    <col min="2311" max="2311" width="9" style="83"/>
    <col min="2312" max="2312" width="32.75" style="83" customWidth="1"/>
    <col min="2313" max="2313" width="9.5" style="83" bestFit="1" customWidth="1"/>
    <col min="2314" max="2560" width="9" style="83"/>
    <col min="2561" max="2561" width="4.625" style="83" customWidth="1"/>
    <col min="2562" max="2562" width="35.625" style="83" customWidth="1"/>
    <col min="2563" max="2563" width="30.625" style="83" customWidth="1"/>
    <col min="2564" max="2564" width="2.375" style="83" customWidth="1"/>
    <col min="2565" max="2565" width="10.625" style="83" customWidth="1"/>
    <col min="2566" max="2566" width="4.75" style="83" customWidth="1"/>
    <col min="2567" max="2567" width="9" style="83"/>
    <col min="2568" max="2568" width="32.75" style="83" customWidth="1"/>
    <col min="2569" max="2569" width="9.5" style="83" bestFit="1" customWidth="1"/>
    <col min="2570" max="2816" width="9" style="83"/>
    <col min="2817" max="2817" width="4.625" style="83" customWidth="1"/>
    <col min="2818" max="2818" width="35.625" style="83" customWidth="1"/>
    <col min="2819" max="2819" width="30.625" style="83" customWidth="1"/>
    <col min="2820" max="2820" width="2.375" style="83" customWidth="1"/>
    <col min="2821" max="2821" width="10.625" style="83" customWidth="1"/>
    <col min="2822" max="2822" width="4.75" style="83" customWidth="1"/>
    <col min="2823" max="2823" width="9" style="83"/>
    <col min="2824" max="2824" width="32.75" style="83" customWidth="1"/>
    <col min="2825" max="2825" width="9.5" style="83" bestFit="1" customWidth="1"/>
    <col min="2826" max="3072" width="9" style="83"/>
    <col min="3073" max="3073" width="4.625" style="83" customWidth="1"/>
    <col min="3074" max="3074" width="35.625" style="83" customWidth="1"/>
    <col min="3075" max="3075" width="30.625" style="83" customWidth="1"/>
    <col min="3076" max="3076" width="2.375" style="83" customWidth="1"/>
    <col min="3077" max="3077" width="10.625" style="83" customWidth="1"/>
    <col min="3078" max="3078" width="4.75" style="83" customWidth="1"/>
    <col min="3079" max="3079" width="9" style="83"/>
    <col min="3080" max="3080" width="32.75" style="83" customWidth="1"/>
    <col min="3081" max="3081" width="9.5" style="83" bestFit="1" customWidth="1"/>
    <col min="3082" max="3328" width="9" style="83"/>
    <col min="3329" max="3329" width="4.625" style="83" customWidth="1"/>
    <col min="3330" max="3330" width="35.625" style="83" customWidth="1"/>
    <col min="3331" max="3331" width="30.625" style="83" customWidth="1"/>
    <col min="3332" max="3332" width="2.375" style="83" customWidth="1"/>
    <col min="3333" max="3333" width="10.625" style="83" customWidth="1"/>
    <col min="3334" max="3334" width="4.75" style="83" customWidth="1"/>
    <col min="3335" max="3335" width="9" style="83"/>
    <col min="3336" max="3336" width="32.75" style="83" customWidth="1"/>
    <col min="3337" max="3337" width="9.5" style="83" bestFit="1" customWidth="1"/>
    <col min="3338" max="3584" width="9" style="83"/>
    <col min="3585" max="3585" width="4.625" style="83" customWidth="1"/>
    <col min="3586" max="3586" width="35.625" style="83" customWidth="1"/>
    <col min="3587" max="3587" width="30.625" style="83" customWidth="1"/>
    <col min="3588" max="3588" width="2.375" style="83" customWidth="1"/>
    <col min="3589" max="3589" width="10.625" style="83" customWidth="1"/>
    <col min="3590" max="3590" width="4.75" style="83" customWidth="1"/>
    <col min="3591" max="3591" width="9" style="83"/>
    <col min="3592" max="3592" width="32.75" style="83" customWidth="1"/>
    <col min="3593" max="3593" width="9.5" style="83" bestFit="1" customWidth="1"/>
    <col min="3594" max="3840" width="9" style="83"/>
    <col min="3841" max="3841" width="4.625" style="83" customWidth="1"/>
    <col min="3842" max="3842" width="35.625" style="83" customWidth="1"/>
    <col min="3843" max="3843" width="30.625" style="83" customWidth="1"/>
    <col min="3844" max="3844" width="2.375" style="83" customWidth="1"/>
    <col min="3845" max="3845" width="10.625" style="83" customWidth="1"/>
    <col min="3846" max="3846" width="4.75" style="83" customWidth="1"/>
    <col min="3847" max="3847" width="9" style="83"/>
    <col min="3848" max="3848" width="32.75" style="83" customWidth="1"/>
    <col min="3849" max="3849" width="9.5" style="83" bestFit="1" customWidth="1"/>
    <col min="3850" max="4096" width="9" style="83"/>
    <col min="4097" max="4097" width="4.625" style="83" customWidth="1"/>
    <col min="4098" max="4098" width="35.625" style="83" customWidth="1"/>
    <col min="4099" max="4099" width="30.625" style="83" customWidth="1"/>
    <col min="4100" max="4100" width="2.375" style="83" customWidth="1"/>
    <col min="4101" max="4101" width="10.625" style="83" customWidth="1"/>
    <col min="4102" max="4102" width="4.75" style="83" customWidth="1"/>
    <col min="4103" max="4103" width="9" style="83"/>
    <col min="4104" max="4104" width="32.75" style="83" customWidth="1"/>
    <col min="4105" max="4105" width="9.5" style="83" bestFit="1" customWidth="1"/>
    <col min="4106" max="4352" width="9" style="83"/>
    <col min="4353" max="4353" width="4.625" style="83" customWidth="1"/>
    <col min="4354" max="4354" width="35.625" style="83" customWidth="1"/>
    <col min="4355" max="4355" width="30.625" style="83" customWidth="1"/>
    <col min="4356" max="4356" width="2.375" style="83" customWidth="1"/>
    <col min="4357" max="4357" width="10.625" style="83" customWidth="1"/>
    <col min="4358" max="4358" width="4.75" style="83" customWidth="1"/>
    <col min="4359" max="4359" width="9" style="83"/>
    <col min="4360" max="4360" width="32.75" style="83" customWidth="1"/>
    <col min="4361" max="4361" width="9.5" style="83" bestFit="1" customWidth="1"/>
    <col min="4362" max="4608" width="9" style="83"/>
    <col min="4609" max="4609" width="4.625" style="83" customWidth="1"/>
    <col min="4610" max="4610" width="35.625" style="83" customWidth="1"/>
    <col min="4611" max="4611" width="30.625" style="83" customWidth="1"/>
    <col min="4612" max="4612" width="2.375" style="83" customWidth="1"/>
    <col min="4613" max="4613" width="10.625" style="83" customWidth="1"/>
    <col min="4614" max="4614" width="4.75" style="83" customWidth="1"/>
    <col min="4615" max="4615" width="9" style="83"/>
    <col min="4616" max="4616" width="32.75" style="83" customWidth="1"/>
    <col min="4617" max="4617" width="9.5" style="83" bestFit="1" customWidth="1"/>
    <col min="4618" max="4864" width="9" style="83"/>
    <col min="4865" max="4865" width="4.625" style="83" customWidth="1"/>
    <col min="4866" max="4866" width="35.625" style="83" customWidth="1"/>
    <col min="4867" max="4867" width="30.625" style="83" customWidth="1"/>
    <col min="4868" max="4868" width="2.375" style="83" customWidth="1"/>
    <col min="4869" max="4869" width="10.625" style="83" customWidth="1"/>
    <col min="4870" max="4870" width="4.75" style="83" customWidth="1"/>
    <col min="4871" max="4871" width="9" style="83"/>
    <col min="4872" max="4872" width="32.75" style="83" customWidth="1"/>
    <col min="4873" max="4873" width="9.5" style="83" bestFit="1" customWidth="1"/>
    <col min="4874" max="5120" width="9" style="83"/>
    <col min="5121" max="5121" width="4.625" style="83" customWidth="1"/>
    <col min="5122" max="5122" width="35.625" style="83" customWidth="1"/>
    <col min="5123" max="5123" width="30.625" style="83" customWidth="1"/>
    <col min="5124" max="5124" width="2.375" style="83" customWidth="1"/>
    <col min="5125" max="5125" width="10.625" style="83" customWidth="1"/>
    <col min="5126" max="5126" width="4.75" style="83" customWidth="1"/>
    <col min="5127" max="5127" width="9" style="83"/>
    <col min="5128" max="5128" width="32.75" style="83" customWidth="1"/>
    <col min="5129" max="5129" width="9.5" style="83" bestFit="1" customWidth="1"/>
    <col min="5130" max="5376" width="9" style="83"/>
    <col min="5377" max="5377" width="4.625" style="83" customWidth="1"/>
    <col min="5378" max="5378" width="35.625" style="83" customWidth="1"/>
    <col min="5379" max="5379" width="30.625" style="83" customWidth="1"/>
    <col min="5380" max="5380" width="2.375" style="83" customWidth="1"/>
    <col min="5381" max="5381" width="10.625" style="83" customWidth="1"/>
    <col min="5382" max="5382" width="4.75" style="83" customWidth="1"/>
    <col min="5383" max="5383" width="9" style="83"/>
    <col min="5384" max="5384" width="32.75" style="83" customWidth="1"/>
    <col min="5385" max="5385" width="9.5" style="83" bestFit="1" customWidth="1"/>
    <col min="5386" max="5632" width="9" style="83"/>
    <col min="5633" max="5633" width="4.625" style="83" customWidth="1"/>
    <col min="5634" max="5634" width="35.625" style="83" customWidth="1"/>
    <col min="5635" max="5635" width="30.625" style="83" customWidth="1"/>
    <col min="5636" max="5636" width="2.375" style="83" customWidth="1"/>
    <col min="5637" max="5637" width="10.625" style="83" customWidth="1"/>
    <col min="5638" max="5638" width="4.75" style="83" customWidth="1"/>
    <col min="5639" max="5639" width="9" style="83"/>
    <col min="5640" max="5640" width="32.75" style="83" customWidth="1"/>
    <col min="5641" max="5641" width="9.5" style="83" bestFit="1" customWidth="1"/>
    <col min="5642" max="5888" width="9" style="83"/>
    <col min="5889" max="5889" width="4.625" style="83" customWidth="1"/>
    <col min="5890" max="5890" width="35.625" style="83" customWidth="1"/>
    <col min="5891" max="5891" width="30.625" style="83" customWidth="1"/>
    <col min="5892" max="5892" width="2.375" style="83" customWidth="1"/>
    <col min="5893" max="5893" width="10.625" style="83" customWidth="1"/>
    <col min="5894" max="5894" width="4.75" style="83" customWidth="1"/>
    <col min="5895" max="5895" width="9" style="83"/>
    <col min="5896" max="5896" width="32.75" style="83" customWidth="1"/>
    <col min="5897" max="5897" width="9.5" style="83" bestFit="1" customWidth="1"/>
    <col min="5898" max="6144" width="9" style="83"/>
    <col min="6145" max="6145" width="4.625" style="83" customWidth="1"/>
    <col min="6146" max="6146" width="35.625" style="83" customWidth="1"/>
    <col min="6147" max="6147" width="30.625" style="83" customWidth="1"/>
    <col min="6148" max="6148" width="2.375" style="83" customWidth="1"/>
    <col min="6149" max="6149" width="10.625" style="83" customWidth="1"/>
    <col min="6150" max="6150" width="4.75" style="83" customWidth="1"/>
    <col min="6151" max="6151" width="9" style="83"/>
    <col min="6152" max="6152" width="32.75" style="83" customWidth="1"/>
    <col min="6153" max="6153" width="9.5" style="83" bestFit="1" customWidth="1"/>
    <col min="6154" max="6400" width="9" style="83"/>
    <col min="6401" max="6401" width="4.625" style="83" customWidth="1"/>
    <col min="6402" max="6402" width="35.625" style="83" customWidth="1"/>
    <col min="6403" max="6403" width="30.625" style="83" customWidth="1"/>
    <col min="6404" max="6404" width="2.375" style="83" customWidth="1"/>
    <col min="6405" max="6405" width="10.625" style="83" customWidth="1"/>
    <col min="6406" max="6406" width="4.75" style="83" customWidth="1"/>
    <col min="6407" max="6407" width="9" style="83"/>
    <col min="6408" max="6408" width="32.75" style="83" customWidth="1"/>
    <col min="6409" max="6409" width="9.5" style="83" bestFit="1" customWidth="1"/>
    <col min="6410" max="6656" width="9" style="83"/>
    <col min="6657" max="6657" width="4.625" style="83" customWidth="1"/>
    <col min="6658" max="6658" width="35.625" style="83" customWidth="1"/>
    <col min="6659" max="6659" width="30.625" style="83" customWidth="1"/>
    <col min="6660" max="6660" width="2.375" style="83" customWidth="1"/>
    <col min="6661" max="6661" width="10.625" style="83" customWidth="1"/>
    <col min="6662" max="6662" width="4.75" style="83" customWidth="1"/>
    <col min="6663" max="6663" width="9" style="83"/>
    <col min="6664" max="6664" width="32.75" style="83" customWidth="1"/>
    <col min="6665" max="6665" width="9.5" style="83" bestFit="1" customWidth="1"/>
    <col min="6666" max="6912" width="9" style="83"/>
    <col min="6913" max="6913" width="4.625" style="83" customWidth="1"/>
    <col min="6914" max="6914" width="35.625" style="83" customWidth="1"/>
    <col min="6915" max="6915" width="30.625" style="83" customWidth="1"/>
    <col min="6916" max="6916" width="2.375" style="83" customWidth="1"/>
    <col min="6917" max="6917" width="10.625" style="83" customWidth="1"/>
    <col min="6918" max="6918" width="4.75" style="83" customWidth="1"/>
    <col min="6919" max="6919" width="9" style="83"/>
    <col min="6920" max="6920" width="32.75" style="83" customWidth="1"/>
    <col min="6921" max="6921" width="9.5" style="83" bestFit="1" customWidth="1"/>
    <col min="6922" max="7168" width="9" style="83"/>
    <col min="7169" max="7169" width="4.625" style="83" customWidth="1"/>
    <col min="7170" max="7170" width="35.625" style="83" customWidth="1"/>
    <col min="7171" max="7171" width="30.625" style="83" customWidth="1"/>
    <col min="7172" max="7172" width="2.375" style="83" customWidth="1"/>
    <col min="7173" max="7173" width="10.625" style="83" customWidth="1"/>
    <col min="7174" max="7174" width="4.75" style="83" customWidth="1"/>
    <col min="7175" max="7175" width="9" style="83"/>
    <col min="7176" max="7176" width="32.75" style="83" customWidth="1"/>
    <col min="7177" max="7177" width="9.5" style="83" bestFit="1" customWidth="1"/>
    <col min="7178" max="7424" width="9" style="83"/>
    <col min="7425" max="7425" width="4.625" style="83" customWidth="1"/>
    <col min="7426" max="7426" width="35.625" style="83" customWidth="1"/>
    <col min="7427" max="7427" width="30.625" style="83" customWidth="1"/>
    <col min="7428" max="7428" width="2.375" style="83" customWidth="1"/>
    <col min="7429" max="7429" width="10.625" style="83" customWidth="1"/>
    <col min="7430" max="7430" width="4.75" style="83" customWidth="1"/>
    <col min="7431" max="7431" width="9" style="83"/>
    <col min="7432" max="7432" width="32.75" style="83" customWidth="1"/>
    <col min="7433" max="7433" width="9.5" style="83" bestFit="1" customWidth="1"/>
    <col min="7434" max="7680" width="9" style="83"/>
    <col min="7681" max="7681" width="4.625" style="83" customWidth="1"/>
    <col min="7682" max="7682" width="35.625" style="83" customWidth="1"/>
    <col min="7683" max="7683" width="30.625" style="83" customWidth="1"/>
    <col min="7684" max="7684" width="2.375" style="83" customWidth="1"/>
    <col min="7685" max="7685" width="10.625" style="83" customWidth="1"/>
    <col min="7686" max="7686" width="4.75" style="83" customWidth="1"/>
    <col min="7687" max="7687" width="9" style="83"/>
    <col min="7688" max="7688" width="32.75" style="83" customWidth="1"/>
    <col min="7689" max="7689" width="9.5" style="83" bestFit="1" customWidth="1"/>
    <col min="7690" max="7936" width="9" style="83"/>
    <col min="7937" max="7937" width="4.625" style="83" customWidth="1"/>
    <col min="7938" max="7938" width="35.625" style="83" customWidth="1"/>
    <col min="7939" max="7939" width="30.625" style="83" customWidth="1"/>
    <col min="7940" max="7940" width="2.375" style="83" customWidth="1"/>
    <col min="7941" max="7941" width="10.625" style="83" customWidth="1"/>
    <col min="7942" max="7942" width="4.75" style="83" customWidth="1"/>
    <col min="7943" max="7943" width="9" style="83"/>
    <col min="7944" max="7944" width="32.75" style="83" customWidth="1"/>
    <col min="7945" max="7945" width="9.5" style="83" bestFit="1" customWidth="1"/>
    <col min="7946" max="8192" width="9" style="83"/>
    <col min="8193" max="8193" width="4.625" style="83" customWidth="1"/>
    <col min="8194" max="8194" width="35.625" style="83" customWidth="1"/>
    <col min="8195" max="8195" width="30.625" style="83" customWidth="1"/>
    <col min="8196" max="8196" width="2.375" style="83" customWidth="1"/>
    <col min="8197" max="8197" width="10.625" style="83" customWidth="1"/>
    <col min="8198" max="8198" width="4.75" style="83" customWidth="1"/>
    <col min="8199" max="8199" width="9" style="83"/>
    <col min="8200" max="8200" width="32.75" style="83" customWidth="1"/>
    <col min="8201" max="8201" width="9.5" style="83" bestFit="1" customWidth="1"/>
    <col min="8202" max="8448" width="9" style="83"/>
    <col min="8449" max="8449" width="4.625" style="83" customWidth="1"/>
    <col min="8450" max="8450" width="35.625" style="83" customWidth="1"/>
    <col min="8451" max="8451" width="30.625" style="83" customWidth="1"/>
    <col min="8452" max="8452" width="2.375" style="83" customWidth="1"/>
    <col min="8453" max="8453" width="10.625" style="83" customWidth="1"/>
    <col min="8454" max="8454" width="4.75" style="83" customWidth="1"/>
    <col min="8455" max="8455" width="9" style="83"/>
    <col min="8456" max="8456" width="32.75" style="83" customWidth="1"/>
    <col min="8457" max="8457" width="9.5" style="83" bestFit="1" customWidth="1"/>
    <col min="8458" max="8704" width="9" style="83"/>
    <col min="8705" max="8705" width="4.625" style="83" customWidth="1"/>
    <col min="8706" max="8706" width="35.625" style="83" customWidth="1"/>
    <col min="8707" max="8707" width="30.625" style="83" customWidth="1"/>
    <col min="8708" max="8708" width="2.375" style="83" customWidth="1"/>
    <col min="8709" max="8709" width="10.625" style="83" customWidth="1"/>
    <col min="8710" max="8710" width="4.75" style="83" customWidth="1"/>
    <col min="8711" max="8711" width="9" style="83"/>
    <col min="8712" max="8712" width="32.75" style="83" customWidth="1"/>
    <col min="8713" max="8713" width="9.5" style="83" bestFit="1" customWidth="1"/>
    <col min="8714" max="8960" width="9" style="83"/>
    <col min="8961" max="8961" width="4.625" style="83" customWidth="1"/>
    <col min="8962" max="8962" width="35.625" style="83" customWidth="1"/>
    <col min="8963" max="8963" width="30.625" style="83" customWidth="1"/>
    <col min="8964" max="8964" width="2.375" style="83" customWidth="1"/>
    <col min="8965" max="8965" width="10.625" style="83" customWidth="1"/>
    <col min="8966" max="8966" width="4.75" style="83" customWidth="1"/>
    <col min="8967" max="8967" width="9" style="83"/>
    <col min="8968" max="8968" width="32.75" style="83" customWidth="1"/>
    <col min="8969" max="8969" width="9.5" style="83" bestFit="1" customWidth="1"/>
    <col min="8970" max="9216" width="9" style="83"/>
    <col min="9217" max="9217" width="4.625" style="83" customWidth="1"/>
    <col min="9218" max="9218" width="35.625" style="83" customWidth="1"/>
    <col min="9219" max="9219" width="30.625" style="83" customWidth="1"/>
    <col min="9220" max="9220" width="2.375" style="83" customWidth="1"/>
    <col min="9221" max="9221" width="10.625" style="83" customWidth="1"/>
    <col min="9222" max="9222" width="4.75" style="83" customWidth="1"/>
    <col min="9223" max="9223" width="9" style="83"/>
    <col min="9224" max="9224" width="32.75" style="83" customWidth="1"/>
    <col min="9225" max="9225" width="9.5" style="83" bestFit="1" customWidth="1"/>
    <col min="9226" max="9472" width="9" style="83"/>
    <col min="9473" max="9473" width="4.625" style="83" customWidth="1"/>
    <col min="9474" max="9474" width="35.625" style="83" customWidth="1"/>
    <col min="9475" max="9475" width="30.625" style="83" customWidth="1"/>
    <col min="9476" max="9476" width="2.375" style="83" customWidth="1"/>
    <col min="9477" max="9477" width="10.625" style="83" customWidth="1"/>
    <col min="9478" max="9478" width="4.75" style="83" customWidth="1"/>
    <col min="9479" max="9479" width="9" style="83"/>
    <col min="9480" max="9480" width="32.75" style="83" customWidth="1"/>
    <col min="9481" max="9481" width="9.5" style="83" bestFit="1" customWidth="1"/>
    <col min="9482" max="9728" width="9" style="83"/>
    <col min="9729" max="9729" width="4.625" style="83" customWidth="1"/>
    <col min="9730" max="9730" width="35.625" style="83" customWidth="1"/>
    <col min="9731" max="9731" width="30.625" style="83" customWidth="1"/>
    <col min="9732" max="9732" width="2.375" style="83" customWidth="1"/>
    <col min="9733" max="9733" width="10.625" style="83" customWidth="1"/>
    <col min="9734" max="9734" width="4.75" style="83" customWidth="1"/>
    <col min="9735" max="9735" width="9" style="83"/>
    <col min="9736" max="9736" width="32.75" style="83" customWidth="1"/>
    <col min="9737" max="9737" width="9.5" style="83" bestFit="1" customWidth="1"/>
    <col min="9738" max="9984" width="9" style="83"/>
    <col min="9985" max="9985" width="4.625" style="83" customWidth="1"/>
    <col min="9986" max="9986" width="35.625" style="83" customWidth="1"/>
    <col min="9987" max="9987" width="30.625" style="83" customWidth="1"/>
    <col min="9988" max="9988" width="2.375" style="83" customWidth="1"/>
    <col min="9989" max="9989" width="10.625" style="83" customWidth="1"/>
    <col min="9990" max="9990" width="4.75" style="83" customWidth="1"/>
    <col min="9991" max="9991" width="9" style="83"/>
    <col min="9992" max="9992" width="32.75" style="83" customWidth="1"/>
    <col min="9993" max="9993" width="9.5" style="83" bestFit="1" customWidth="1"/>
    <col min="9994" max="10240" width="9" style="83"/>
    <col min="10241" max="10241" width="4.625" style="83" customWidth="1"/>
    <col min="10242" max="10242" width="35.625" style="83" customWidth="1"/>
    <col min="10243" max="10243" width="30.625" style="83" customWidth="1"/>
    <col min="10244" max="10244" width="2.375" style="83" customWidth="1"/>
    <col min="10245" max="10245" width="10.625" style="83" customWidth="1"/>
    <col min="10246" max="10246" width="4.75" style="83" customWidth="1"/>
    <col min="10247" max="10247" width="9" style="83"/>
    <col min="10248" max="10248" width="32.75" style="83" customWidth="1"/>
    <col min="10249" max="10249" width="9.5" style="83" bestFit="1" customWidth="1"/>
    <col min="10250" max="10496" width="9" style="83"/>
    <col min="10497" max="10497" width="4.625" style="83" customWidth="1"/>
    <col min="10498" max="10498" width="35.625" style="83" customWidth="1"/>
    <col min="10499" max="10499" width="30.625" style="83" customWidth="1"/>
    <col min="10500" max="10500" width="2.375" style="83" customWidth="1"/>
    <col min="10501" max="10501" width="10.625" style="83" customWidth="1"/>
    <col min="10502" max="10502" width="4.75" style="83" customWidth="1"/>
    <col min="10503" max="10503" width="9" style="83"/>
    <col min="10504" max="10504" width="32.75" style="83" customWidth="1"/>
    <col min="10505" max="10505" width="9.5" style="83" bestFit="1" customWidth="1"/>
    <col min="10506" max="10752" width="9" style="83"/>
    <col min="10753" max="10753" width="4.625" style="83" customWidth="1"/>
    <col min="10754" max="10754" width="35.625" style="83" customWidth="1"/>
    <col min="10755" max="10755" width="30.625" style="83" customWidth="1"/>
    <col min="10756" max="10756" width="2.375" style="83" customWidth="1"/>
    <col min="10757" max="10757" width="10.625" style="83" customWidth="1"/>
    <col min="10758" max="10758" width="4.75" style="83" customWidth="1"/>
    <col min="10759" max="10759" width="9" style="83"/>
    <col min="10760" max="10760" width="32.75" style="83" customWidth="1"/>
    <col min="10761" max="10761" width="9.5" style="83" bestFit="1" customWidth="1"/>
    <col min="10762" max="11008" width="9" style="83"/>
    <col min="11009" max="11009" width="4.625" style="83" customWidth="1"/>
    <col min="11010" max="11010" width="35.625" style="83" customWidth="1"/>
    <col min="11011" max="11011" width="30.625" style="83" customWidth="1"/>
    <col min="11012" max="11012" width="2.375" style="83" customWidth="1"/>
    <col min="11013" max="11013" width="10.625" style="83" customWidth="1"/>
    <col min="11014" max="11014" width="4.75" style="83" customWidth="1"/>
    <col min="11015" max="11015" width="9" style="83"/>
    <col min="11016" max="11016" width="32.75" style="83" customWidth="1"/>
    <col min="11017" max="11017" width="9.5" style="83" bestFit="1" customWidth="1"/>
    <col min="11018" max="11264" width="9" style="83"/>
    <col min="11265" max="11265" width="4.625" style="83" customWidth="1"/>
    <col min="11266" max="11266" width="35.625" style="83" customWidth="1"/>
    <col min="11267" max="11267" width="30.625" style="83" customWidth="1"/>
    <col min="11268" max="11268" width="2.375" style="83" customWidth="1"/>
    <col min="11269" max="11269" width="10.625" style="83" customWidth="1"/>
    <col min="11270" max="11270" width="4.75" style="83" customWidth="1"/>
    <col min="11271" max="11271" width="9" style="83"/>
    <col min="11272" max="11272" width="32.75" style="83" customWidth="1"/>
    <col min="11273" max="11273" width="9.5" style="83" bestFit="1" customWidth="1"/>
    <col min="11274" max="11520" width="9" style="83"/>
    <col min="11521" max="11521" width="4.625" style="83" customWidth="1"/>
    <col min="11522" max="11522" width="35.625" style="83" customWidth="1"/>
    <col min="11523" max="11523" width="30.625" style="83" customWidth="1"/>
    <col min="11524" max="11524" width="2.375" style="83" customWidth="1"/>
    <col min="11525" max="11525" width="10.625" style="83" customWidth="1"/>
    <col min="11526" max="11526" width="4.75" style="83" customWidth="1"/>
    <col min="11527" max="11527" width="9" style="83"/>
    <col min="11528" max="11528" width="32.75" style="83" customWidth="1"/>
    <col min="11529" max="11529" width="9.5" style="83" bestFit="1" customWidth="1"/>
    <col min="11530" max="11776" width="9" style="83"/>
    <col min="11777" max="11777" width="4.625" style="83" customWidth="1"/>
    <col min="11778" max="11778" width="35.625" style="83" customWidth="1"/>
    <col min="11779" max="11779" width="30.625" style="83" customWidth="1"/>
    <col min="11780" max="11780" width="2.375" style="83" customWidth="1"/>
    <col min="11781" max="11781" width="10.625" style="83" customWidth="1"/>
    <col min="11782" max="11782" width="4.75" style="83" customWidth="1"/>
    <col min="11783" max="11783" width="9" style="83"/>
    <col min="11784" max="11784" width="32.75" style="83" customWidth="1"/>
    <col min="11785" max="11785" width="9.5" style="83" bestFit="1" customWidth="1"/>
    <col min="11786" max="12032" width="9" style="83"/>
    <col min="12033" max="12033" width="4.625" style="83" customWidth="1"/>
    <col min="12034" max="12034" width="35.625" style="83" customWidth="1"/>
    <col min="12035" max="12035" width="30.625" style="83" customWidth="1"/>
    <col min="12036" max="12036" width="2.375" style="83" customWidth="1"/>
    <col min="12037" max="12037" width="10.625" style="83" customWidth="1"/>
    <col min="12038" max="12038" width="4.75" style="83" customWidth="1"/>
    <col min="12039" max="12039" width="9" style="83"/>
    <col min="12040" max="12040" width="32.75" style="83" customWidth="1"/>
    <col min="12041" max="12041" width="9.5" style="83" bestFit="1" customWidth="1"/>
    <col min="12042" max="12288" width="9" style="83"/>
    <col min="12289" max="12289" width="4.625" style="83" customWidth="1"/>
    <col min="12290" max="12290" width="35.625" style="83" customWidth="1"/>
    <col min="12291" max="12291" width="30.625" style="83" customWidth="1"/>
    <col min="12292" max="12292" width="2.375" style="83" customWidth="1"/>
    <col min="12293" max="12293" width="10.625" style="83" customWidth="1"/>
    <col min="12294" max="12294" width="4.75" style="83" customWidth="1"/>
    <col min="12295" max="12295" width="9" style="83"/>
    <col min="12296" max="12296" width="32.75" style="83" customWidth="1"/>
    <col min="12297" max="12297" width="9.5" style="83" bestFit="1" customWidth="1"/>
    <col min="12298" max="12544" width="9" style="83"/>
    <col min="12545" max="12545" width="4.625" style="83" customWidth="1"/>
    <col min="12546" max="12546" width="35.625" style="83" customWidth="1"/>
    <col min="12547" max="12547" width="30.625" style="83" customWidth="1"/>
    <col min="12548" max="12548" width="2.375" style="83" customWidth="1"/>
    <col min="12549" max="12549" width="10.625" style="83" customWidth="1"/>
    <col min="12550" max="12550" width="4.75" style="83" customWidth="1"/>
    <col min="12551" max="12551" width="9" style="83"/>
    <col min="12552" max="12552" width="32.75" style="83" customWidth="1"/>
    <col min="12553" max="12553" width="9.5" style="83" bestFit="1" customWidth="1"/>
    <col min="12554" max="12800" width="9" style="83"/>
    <col min="12801" max="12801" width="4.625" style="83" customWidth="1"/>
    <col min="12802" max="12802" width="35.625" style="83" customWidth="1"/>
    <col min="12803" max="12803" width="30.625" style="83" customWidth="1"/>
    <col min="12804" max="12804" width="2.375" style="83" customWidth="1"/>
    <col min="12805" max="12805" width="10.625" style="83" customWidth="1"/>
    <col min="12806" max="12806" width="4.75" style="83" customWidth="1"/>
    <col min="12807" max="12807" width="9" style="83"/>
    <col min="12808" max="12808" width="32.75" style="83" customWidth="1"/>
    <col min="12809" max="12809" width="9.5" style="83" bestFit="1" customWidth="1"/>
    <col min="12810" max="13056" width="9" style="83"/>
    <col min="13057" max="13057" width="4.625" style="83" customWidth="1"/>
    <col min="13058" max="13058" width="35.625" style="83" customWidth="1"/>
    <col min="13059" max="13059" width="30.625" style="83" customWidth="1"/>
    <col min="13060" max="13060" width="2.375" style="83" customWidth="1"/>
    <col min="13061" max="13061" width="10.625" style="83" customWidth="1"/>
    <col min="13062" max="13062" width="4.75" style="83" customWidth="1"/>
    <col min="13063" max="13063" width="9" style="83"/>
    <col min="13064" max="13064" width="32.75" style="83" customWidth="1"/>
    <col min="13065" max="13065" width="9.5" style="83" bestFit="1" customWidth="1"/>
    <col min="13066" max="13312" width="9" style="83"/>
    <col min="13313" max="13313" width="4.625" style="83" customWidth="1"/>
    <col min="13314" max="13314" width="35.625" style="83" customWidth="1"/>
    <col min="13315" max="13315" width="30.625" style="83" customWidth="1"/>
    <col min="13316" max="13316" width="2.375" style="83" customWidth="1"/>
    <col min="13317" max="13317" width="10.625" style="83" customWidth="1"/>
    <col min="13318" max="13318" width="4.75" style="83" customWidth="1"/>
    <col min="13319" max="13319" width="9" style="83"/>
    <col min="13320" max="13320" width="32.75" style="83" customWidth="1"/>
    <col min="13321" max="13321" width="9.5" style="83" bestFit="1" customWidth="1"/>
    <col min="13322" max="13568" width="9" style="83"/>
    <col min="13569" max="13569" width="4.625" style="83" customWidth="1"/>
    <col min="13570" max="13570" width="35.625" style="83" customWidth="1"/>
    <col min="13571" max="13571" width="30.625" style="83" customWidth="1"/>
    <col min="13572" max="13572" width="2.375" style="83" customWidth="1"/>
    <col min="13573" max="13573" width="10.625" style="83" customWidth="1"/>
    <col min="13574" max="13574" width="4.75" style="83" customWidth="1"/>
    <col min="13575" max="13575" width="9" style="83"/>
    <col min="13576" max="13576" width="32.75" style="83" customWidth="1"/>
    <col min="13577" max="13577" width="9.5" style="83" bestFit="1" customWidth="1"/>
    <col min="13578" max="13824" width="9" style="83"/>
    <col min="13825" max="13825" width="4.625" style="83" customWidth="1"/>
    <col min="13826" max="13826" width="35.625" style="83" customWidth="1"/>
    <col min="13827" max="13827" width="30.625" style="83" customWidth="1"/>
    <col min="13828" max="13828" width="2.375" style="83" customWidth="1"/>
    <col min="13829" max="13829" width="10.625" style="83" customWidth="1"/>
    <col min="13830" max="13830" width="4.75" style="83" customWidth="1"/>
    <col min="13831" max="13831" width="9" style="83"/>
    <col min="13832" max="13832" width="32.75" style="83" customWidth="1"/>
    <col min="13833" max="13833" width="9.5" style="83" bestFit="1" customWidth="1"/>
    <col min="13834" max="14080" width="9" style="83"/>
    <col min="14081" max="14081" width="4.625" style="83" customWidth="1"/>
    <col min="14082" max="14082" width="35.625" style="83" customWidth="1"/>
    <col min="14083" max="14083" width="30.625" style="83" customWidth="1"/>
    <col min="14084" max="14084" width="2.375" style="83" customWidth="1"/>
    <col min="14085" max="14085" width="10.625" style="83" customWidth="1"/>
    <col min="14086" max="14086" width="4.75" style="83" customWidth="1"/>
    <col min="14087" max="14087" width="9" style="83"/>
    <col min="14088" max="14088" width="32.75" style="83" customWidth="1"/>
    <col min="14089" max="14089" width="9.5" style="83" bestFit="1" customWidth="1"/>
    <col min="14090" max="14336" width="9" style="83"/>
    <col min="14337" max="14337" width="4.625" style="83" customWidth="1"/>
    <col min="14338" max="14338" width="35.625" style="83" customWidth="1"/>
    <col min="14339" max="14339" width="30.625" style="83" customWidth="1"/>
    <col min="14340" max="14340" width="2.375" style="83" customWidth="1"/>
    <col min="14341" max="14341" width="10.625" style="83" customWidth="1"/>
    <col min="14342" max="14342" width="4.75" style="83" customWidth="1"/>
    <col min="14343" max="14343" width="9" style="83"/>
    <col min="14344" max="14344" width="32.75" style="83" customWidth="1"/>
    <col min="14345" max="14345" width="9.5" style="83" bestFit="1" customWidth="1"/>
    <col min="14346" max="14592" width="9" style="83"/>
    <col min="14593" max="14593" width="4.625" style="83" customWidth="1"/>
    <col min="14594" max="14594" width="35.625" style="83" customWidth="1"/>
    <col min="14595" max="14595" width="30.625" style="83" customWidth="1"/>
    <col min="14596" max="14596" width="2.375" style="83" customWidth="1"/>
    <col min="14597" max="14597" width="10.625" style="83" customWidth="1"/>
    <col min="14598" max="14598" width="4.75" style="83" customWidth="1"/>
    <col min="14599" max="14599" width="9" style="83"/>
    <col min="14600" max="14600" width="32.75" style="83" customWidth="1"/>
    <col min="14601" max="14601" width="9.5" style="83" bestFit="1" customWidth="1"/>
    <col min="14602" max="14848" width="9" style="83"/>
    <col min="14849" max="14849" width="4.625" style="83" customWidth="1"/>
    <col min="14850" max="14850" width="35.625" style="83" customWidth="1"/>
    <col min="14851" max="14851" width="30.625" style="83" customWidth="1"/>
    <col min="14852" max="14852" width="2.375" style="83" customWidth="1"/>
    <col min="14853" max="14853" width="10.625" style="83" customWidth="1"/>
    <col min="14854" max="14854" width="4.75" style="83" customWidth="1"/>
    <col min="14855" max="14855" width="9" style="83"/>
    <col min="14856" max="14856" width="32.75" style="83" customWidth="1"/>
    <col min="14857" max="14857" width="9.5" style="83" bestFit="1" customWidth="1"/>
    <col min="14858" max="15104" width="9" style="83"/>
    <col min="15105" max="15105" width="4.625" style="83" customWidth="1"/>
    <col min="15106" max="15106" width="35.625" style="83" customWidth="1"/>
    <col min="15107" max="15107" width="30.625" style="83" customWidth="1"/>
    <col min="15108" max="15108" width="2.375" style="83" customWidth="1"/>
    <col min="15109" max="15109" width="10.625" style="83" customWidth="1"/>
    <col min="15110" max="15110" width="4.75" style="83" customWidth="1"/>
    <col min="15111" max="15111" width="9" style="83"/>
    <col min="15112" max="15112" width="32.75" style="83" customWidth="1"/>
    <col min="15113" max="15113" width="9.5" style="83" bestFit="1" customWidth="1"/>
    <col min="15114" max="15360" width="9" style="83"/>
    <col min="15361" max="15361" width="4.625" style="83" customWidth="1"/>
    <col min="15362" max="15362" width="35.625" style="83" customWidth="1"/>
    <col min="15363" max="15363" width="30.625" style="83" customWidth="1"/>
    <col min="15364" max="15364" width="2.375" style="83" customWidth="1"/>
    <col min="15365" max="15365" width="10.625" style="83" customWidth="1"/>
    <col min="15366" max="15366" width="4.75" style="83" customWidth="1"/>
    <col min="15367" max="15367" width="9" style="83"/>
    <col min="15368" max="15368" width="32.75" style="83" customWidth="1"/>
    <col min="15369" max="15369" width="9.5" style="83" bestFit="1" customWidth="1"/>
    <col min="15370" max="15616" width="9" style="83"/>
    <col min="15617" max="15617" width="4.625" style="83" customWidth="1"/>
    <col min="15618" max="15618" width="35.625" style="83" customWidth="1"/>
    <col min="15619" max="15619" width="30.625" style="83" customWidth="1"/>
    <col min="15620" max="15620" width="2.375" style="83" customWidth="1"/>
    <col min="15621" max="15621" width="10.625" style="83" customWidth="1"/>
    <col min="15622" max="15622" width="4.75" style="83" customWidth="1"/>
    <col min="15623" max="15623" width="9" style="83"/>
    <col min="15624" max="15624" width="32.75" style="83" customWidth="1"/>
    <col min="15625" max="15625" width="9.5" style="83" bestFit="1" customWidth="1"/>
    <col min="15626" max="15872" width="9" style="83"/>
    <col min="15873" max="15873" width="4.625" style="83" customWidth="1"/>
    <col min="15874" max="15874" width="35.625" style="83" customWidth="1"/>
    <col min="15875" max="15875" width="30.625" style="83" customWidth="1"/>
    <col min="15876" max="15876" width="2.375" style="83" customWidth="1"/>
    <col min="15877" max="15877" width="10.625" style="83" customWidth="1"/>
    <col min="15878" max="15878" width="4.75" style="83" customWidth="1"/>
    <col min="15879" max="15879" width="9" style="83"/>
    <col min="15880" max="15880" width="32.75" style="83" customWidth="1"/>
    <col min="15881" max="15881" width="9.5" style="83" bestFit="1" customWidth="1"/>
    <col min="15882" max="16128" width="9" style="83"/>
    <col min="16129" max="16129" width="4.625" style="83" customWidth="1"/>
    <col min="16130" max="16130" width="35.625" style="83" customWidth="1"/>
    <col min="16131" max="16131" width="30.625" style="83" customWidth="1"/>
    <col min="16132" max="16132" width="2.375" style="83" customWidth="1"/>
    <col min="16133" max="16133" width="10.625" style="83" customWidth="1"/>
    <col min="16134" max="16134" width="4.75" style="83" customWidth="1"/>
    <col min="16135" max="16135" width="9" style="83"/>
    <col min="16136" max="16136" width="32.75" style="83" customWidth="1"/>
    <col min="16137" max="16137" width="9.5" style="83" bestFit="1" customWidth="1"/>
    <col min="16138" max="16384" width="9" style="83"/>
  </cols>
  <sheetData>
    <row r="1" spans="1:7" ht="16.5" customHeight="1">
      <c r="A1" s="248" t="str">
        <f>數量計算總表!A1</f>
        <v>OOO單位</v>
      </c>
      <c r="B1" s="248"/>
      <c r="C1" s="248"/>
      <c r="D1" s="248"/>
      <c r="E1" s="248"/>
      <c r="F1" s="248"/>
    </row>
    <row r="2" spans="1:7">
      <c r="A2" s="248"/>
      <c r="B2" s="248"/>
      <c r="C2" s="248"/>
      <c r="D2" s="248"/>
      <c r="E2" s="248"/>
      <c r="F2" s="248"/>
    </row>
    <row r="3" spans="1:7" ht="24.95" customHeight="1">
      <c r="A3" s="249" t="s">
        <v>173</v>
      </c>
      <c r="B3" s="249"/>
      <c r="C3" s="249"/>
      <c r="D3" s="249"/>
      <c r="E3" s="249"/>
      <c r="F3" s="249"/>
    </row>
    <row r="4" spans="1:7" s="84" customFormat="1" ht="24.95" customHeight="1">
      <c r="A4" s="250" t="str">
        <f>數量計算總表!A4</f>
        <v>工程名稱：OOOO工程</v>
      </c>
      <c r="B4" s="250"/>
      <c r="C4" s="250"/>
      <c r="D4" s="250"/>
      <c r="E4" s="250"/>
      <c r="F4" s="251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</row>
    <row r="6" spans="1:7" ht="19.5" customHeight="1">
      <c r="A6" s="180" t="s">
        <v>254</v>
      </c>
      <c r="B6" s="140" t="s">
        <v>223</v>
      </c>
      <c r="C6" s="86"/>
      <c r="D6" s="85"/>
      <c r="E6" s="87"/>
      <c r="F6" s="139"/>
    </row>
    <row r="7" spans="1:7" ht="24.75" customHeight="1">
      <c r="A7" s="88">
        <v>1</v>
      </c>
      <c r="B7" s="89" t="s">
        <v>330</v>
      </c>
      <c r="C7" s="90" t="s">
        <v>188</v>
      </c>
      <c r="D7" s="91"/>
      <c r="E7" s="92"/>
      <c r="F7" s="93"/>
      <c r="G7" s="83">
        <f>54</f>
        <v>54</v>
      </c>
    </row>
    <row r="8" spans="1:7" ht="19.5" customHeight="1">
      <c r="A8" s="94" t="s">
        <v>9</v>
      </c>
      <c r="B8" s="100" t="s">
        <v>242</v>
      </c>
      <c r="C8" s="96">
        <v>178</v>
      </c>
      <c r="D8" s="97" t="s">
        <v>180</v>
      </c>
      <c r="E8" s="98">
        <f t="shared" ref="E8:E16" si="0">C8</f>
        <v>178</v>
      </c>
      <c r="F8" s="97" t="s">
        <v>14</v>
      </c>
    </row>
    <row r="9" spans="1:7" ht="19.5" customHeight="1">
      <c r="A9" s="94" t="s">
        <v>10</v>
      </c>
      <c r="B9" s="100" t="s">
        <v>239</v>
      </c>
      <c r="C9" s="96">
        <v>144</v>
      </c>
      <c r="D9" s="97" t="s">
        <v>180</v>
      </c>
      <c r="E9" s="98">
        <f t="shared" si="0"/>
        <v>144</v>
      </c>
      <c r="F9" s="97" t="s">
        <v>14</v>
      </c>
    </row>
    <row r="10" spans="1:7" ht="19.5" customHeight="1">
      <c r="A10" s="94" t="s">
        <v>7</v>
      </c>
      <c r="B10" s="209" t="s">
        <v>361</v>
      </c>
      <c r="C10" s="96">
        <v>228.46</v>
      </c>
      <c r="D10" s="97" t="s">
        <v>180</v>
      </c>
      <c r="E10" s="98">
        <f t="shared" si="0"/>
        <v>228.46</v>
      </c>
      <c r="F10" s="97" t="s">
        <v>13</v>
      </c>
      <c r="G10" s="83">
        <f>E10*$G$95</f>
        <v>12565.300000000001</v>
      </c>
    </row>
    <row r="11" spans="1:7" ht="19.5" customHeight="1">
      <c r="A11" s="94" t="s">
        <v>8</v>
      </c>
      <c r="B11" s="95" t="s">
        <v>181</v>
      </c>
      <c r="C11" s="99">
        <v>3822</v>
      </c>
      <c r="D11" s="97" t="s">
        <v>180</v>
      </c>
      <c r="E11" s="98">
        <f t="shared" si="0"/>
        <v>3822</v>
      </c>
      <c r="F11" s="97" t="s">
        <v>12</v>
      </c>
      <c r="G11" s="83">
        <f>E11*$G$95</f>
        <v>210210</v>
      </c>
    </row>
    <row r="12" spans="1:7" ht="19.5" customHeight="1">
      <c r="A12" s="94" t="s">
        <v>31</v>
      </c>
      <c r="B12" s="95" t="s">
        <v>182</v>
      </c>
      <c r="C12" s="99">
        <v>14262.2</v>
      </c>
      <c r="D12" s="97" t="s">
        <v>180</v>
      </c>
      <c r="E12" s="98">
        <f t="shared" si="0"/>
        <v>14262.2</v>
      </c>
      <c r="F12" s="97" t="s">
        <v>12</v>
      </c>
      <c r="G12" s="83">
        <f>E12*$G$95</f>
        <v>784421</v>
      </c>
    </row>
    <row r="13" spans="1:7" ht="19.5" customHeight="1">
      <c r="A13" s="94" t="s">
        <v>69</v>
      </c>
      <c r="B13" s="95" t="s">
        <v>189</v>
      </c>
      <c r="C13" s="96">
        <v>254.52</v>
      </c>
      <c r="D13" s="97" t="s">
        <v>180</v>
      </c>
      <c r="E13" s="98">
        <f t="shared" si="0"/>
        <v>254.52</v>
      </c>
      <c r="F13" s="97" t="s">
        <v>14</v>
      </c>
      <c r="G13" s="83">
        <f>E13*$G$95</f>
        <v>13998.6</v>
      </c>
    </row>
    <row r="14" spans="1:7" ht="19.5" customHeight="1">
      <c r="A14" s="94" t="s">
        <v>70</v>
      </c>
      <c r="B14" s="95" t="s">
        <v>183</v>
      </c>
      <c r="C14" s="96">
        <v>7.38</v>
      </c>
      <c r="D14" s="97" t="s">
        <v>180</v>
      </c>
      <c r="E14" s="98">
        <f t="shared" si="0"/>
        <v>7.38</v>
      </c>
      <c r="F14" s="97" t="s">
        <v>14</v>
      </c>
      <c r="G14" s="83">
        <f>E14*$G$95</f>
        <v>405.9</v>
      </c>
    </row>
    <row r="15" spans="1:7" ht="19.5" customHeight="1">
      <c r="A15" s="94" t="s">
        <v>71</v>
      </c>
      <c r="B15" s="181" t="s">
        <v>271</v>
      </c>
      <c r="C15" s="101">
        <v>4</v>
      </c>
      <c r="D15" s="97" t="s">
        <v>180</v>
      </c>
      <c r="E15" s="98">
        <f t="shared" si="0"/>
        <v>4</v>
      </c>
      <c r="F15" s="103" t="s">
        <v>185</v>
      </c>
    </row>
    <row r="16" spans="1:7" ht="19.5" customHeight="1">
      <c r="A16" s="94" t="s">
        <v>331</v>
      </c>
      <c r="B16" s="113" t="s">
        <v>363</v>
      </c>
      <c r="C16" s="101">
        <v>4</v>
      </c>
      <c r="D16" s="97" t="s">
        <v>180</v>
      </c>
      <c r="E16" s="98">
        <f t="shared" si="0"/>
        <v>4</v>
      </c>
      <c r="F16" s="103" t="s">
        <v>185</v>
      </c>
    </row>
    <row r="17" spans="1:7" ht="19.5" customHeight="1">
      <c r="A17" s="94"/>
      <c r="B17" s="100"/>
      <c r="C17" s="96"/>
      <c r="D17" s="97"/>
      <c r="E17" s="98"/>
      <c r="F17" s="121"/>
    </row>
    <row r="18" spans="1:7" ht="24.75" customHeight="1">
      <c r="A18" s="88">
        <v>2</v>
      </c>
      <c r="B18" s="89" t="s">
        <v>190</v>
      </c>
      <c r="C18" s="90" t="s">
        <v>191</v>
      </c>
      <c r="D18" s="91"/>
      <c r="E18" s="92"/>
      <c r="F18" s="93"/>
      <c r="G18" s="83">
        <f>54</f>
        <v>54</v>
      </c>
    </row>
    <row r="19" spans="1:7" ht="19.5" customHeight="1">
      <c r="A19" s="94" t="s">
        <v>9</v>
      </c>
      <c r="B19" s="100" t="s">
        <v>242</v>
      </c>
      <c r="C19" s="96">
        <v>232.04</v>
      </c>
      <c r="D19" s="97" t="s">
        <v>180</v>
      </c>
      <c r="E19" s="98">
        <f>C19</f>
        <v>232.04</v>
      </c>
      <c r="F19" s="97" t="s">
        <v>14</v>
      </c>
    </row>
    <row r="20" spans="1:7" ht="19.5" customHeight="1">
      <c r="A20" s="94" t="s">
        <v>10</v>
      </c>
      <c r="B20" s="100" t="s">
        <v>239</v>
      </c>
      <c r="C20" s="96">
        <v>66.540000000000006</v>
      </c>
      <c r="D20" s="97" t="s">
        <v>180</v>
      </c>
      <c r="E20" s="98">
        <f>C20</f>
        <v>66.540000000000006</v>
      </c>
      <c r="F20" s="97" t="s">
        <v>14</v>
      </c>
    </row>
    <row r="21" spans="1:7" ht="19.5" customHeight="1">
      <c r="A21" s="94" t="s">
        <v>7</v>
      </c>
      <c r="B21" s="209" t="s">
        <v>362</v>
      </c>
      <c r="C21" s="96">
        <v>126.48</v>
      </c>
      <c r="D21" s="97" t="s">
        <v>180</v>
      </c>
      <c r="E21" s="98">
        <f t="shared" ref="E21:E28" si="1">C21</f>
        <v>126.48</v>
      </c>
      <c r="F21" s="97" t="s">
        <v>13</v>
      </c>
      <c r="G21" s="83">
        <f t="shared" ref="G21:G26" si="2">E21*$G$95</f>
        <v>6956.4000000000005</v>
      </c>
    </row>
    <row r="22" spans="1:7" ht="19.5" customHeight="1">
      <c r="A22" s="94" t="s">
        <v>8</v>
      </c>
      <c r="B22" s="113" t="s">
        <v>193</v>
      </c>
      <c r="C22" s="96">
        <v>82.14</v>
      </c>
      <c r="D22" s="97" t="s">
        <v>180</v>
      </c>
      <c r="E22" s="98">
        <f t="shared" si="1"/>
        <v>82.14</v>
      </c>
      <c r="F22" s="97" t="s">
        <v>13</v>
      </c>
      <c r="G22" s="83">
        <f t="shared" si="2"/>
        <v>4517.7</v>
      </c>
    </row>
    <row r="23" spans="1:7" ht="19.5" customHeight="1">
      <c r="A23" s="94" t="s">
        <v>31</v>
      </c>
      <c r="B23" s="95" t="s">
        <v>181</v>
      </c>
      <c r="C23" s="99">
        <v>3469.29</v>
      </c>
      <c r="D23" s="97" t="s">
        <v>180</v>
      </c>
      <c r="E23" s="98">
        <f t="shared" si="1"/>
        <v>3469.29</v>
      </c>
      <c r="F23" s="97" t="s">
        <v>12</v>
      </c>
      <c r="G23" s="83">
        <f t="shared" si="2"/>
        <v>190810.95</v>
      </c>
    </row>
    <row r="24" spans="1:7" ht="19.5" customHeight="1">
      <c r="A24" s="94" t="s">
        <v>69</v>
      </c>
      <c r="B24" s="95" t="s">
        <v>182</v>
      </c>
      <c r="C24" s="99">
        <v>32381.59</v>
      </c>
      <c r="D24" s="97" t="s">
        <v>180</v>
      </c>
      <c r="E24" s="98">
        <f t="shared" si="1"/>
        <v>32381.59</v>
      </c>
      <c r="F24" s="97" t="s">
        <v>12</v>
      </c>
      <c r="G24" s="83">
        <f t="shared" si="2"/>
        <v>1780987.45</v>
      </c>
    </row>
    <row r="25" spans="1:7" ht="19.5" customHeight="1">
      <c r="A25" s="94" t="s">
        <v>70</v>
      </c>
      <c r="B25" s="95" t="s">
        <v>442</v>
      </c>
      <c r="C25" s="96">
        <v>251.22</v>
      </c>
      <c r="D25" s="97" t="s">
        <v>180</v>
      </c>
      <c r="E25" s="98">
        <f t="shared" si="1"/>
        <v>251.22</v>
      </c>
      <c r="F25" s="97" t="s">
        <v>14</v>
      </c>
      <c r="G25" s="83">
        <f t="shared" si="2"/>
        <v>13817.1</v>
      </c>
    </row>
    <row r="26" spans="1:7" ht="19.5" customHeight="1">
      <c r="A26" s="94" t="s">
        <v>71</v>
      </c>
      <c r="B26" s="95" t="s">
        <v>183</v>
      </c>
      <c r="C26" s="96">
        <v>8.4600000000000009</v>
      </c>
      <c r="D26" s="97" t="s">
        <v>180</v>
      </c>
      <c r="E26" s="98">
        <f t="shared" si="1"/>
        <v>8.4600000000000009</v>
      </c>
      <c r="F26" s="97" t="s">
        <v>14</v>
      </c>
      <c r="G26" s="83">
        <f t="shared" si="2"/>
        <v>465.30000000000007</v>
      </c>
    </row>
    <row r="27" spans="1:7" ht="19.5" customHeight="1">
      <c r="A27" s="94" t="s">
        <v>331</v>
      </c>
      <c r="B27" s="181" t="s">
        <v>271</v>
      </c>
      <c r="C27" s="101">
        <v>4</v>
      </c>
      <c r="D27" s="97" t="s">
        <v>180</v>
      </c>
      <c r="E27" s="98">
        <f t="shared" si="1"/>
        <v>4</v>
      </c>
      <c r="F27" s="103" t="s">
        <v>185</v>
      </c>
    </row>
    <row r="28" spans="1:7" ht="19.5" customHeight="1">
      <c r="A28" s="94" t="s">
        <v>353</v>
      </c>
      <c r="B28" s="113" t="s">
        <v>364</v>
      </c>
      <c r="C28" s="101">
        <v>8</v>
      </c>
      <c r="D28" s="97" t="s">
        <v>180</v>
      </c>
      <c r="E28" s="98">
        <f t="shared" si="1"/>
        <v>8</v>
      </c>
      <c r="F28" s="103" t="s">
        <v>185</v>
      </c>
    </row>
    <row r="29" spans="1:7" ht="19.5" customHeight="1">
      <c r="A29" s="94"/>
      <c r="B29" s="100"/>
      <c r="C29" s="96"/>
      <c r="D29" s="97"/>
      <c r="E29" s="98"/>
      <c r="F29" s="97"/>
    </row>
    <row r="30" spans="1:7" ht="19.5" customHeight="1">
      <c r="A30" s="88">
        <v>3</v>
      </c>
      <c r="B30" s="89" t="s">
        <v>194</v>
      </c>
      <c r="C30" s="114" t="s">
        <v>188</v>
      </c>
      <c r="D30" s="91"/>
      <c r="E30" s="92"/>
      <c r="F30" s="91"/>
    </row>
    <row r="31" spans="1:7" ht="19.5" customHeight="1">
      <c r="A31" s="94" t="s">
        <v>9</v>
      </c>
      <c r="B31" s="95" t="s">
        <v>186</v>
      </c>
      <c r="C31" s="96">
        <v>2414.39</v>
      </c>
      <c r="D31" s="97" t="s">
        <v>180</v>
      </c>
      <c r="E31" s="98">
        <f>C31</f>
        <v>2414.39</v>
      </c>
      <c r="F31" s="97" t="s">
        <v>13</v>
      </c>
    </row>
    <row r="32" spans="1:7" ht="19.5" customHeight="1">
      <c r="A32" s="94" t="s">
        <v>10</v>
      </c>
      <c r="B32" s="95" t="s">
        <v>181</v>
      </c>
      <c r="C32" s="106">
        <v>40615.19</v>
      </c>
      <c r="D32" s="97" t="s">
        <v>180</v>
      </c>
      <c r="E32" s="98">
        <f>C32</f>
        <v>40615.19</v>
      </c>
      <c r="F32" s="97" t="s">
        <v>12</v>
      </c>
    </row>
    <row r="33" spans="1:7" ht="19.5" customHeight="1">
      <c r="A33" s="94" t="s">
        <v>7</v>
      </c>
      <c r="B33" s="95" t="s">
        <v>189</v>
      </c>
      <c r="C33" s="96">
        <v>415.61</v>
      </c>
      <c r="D33" s="97" t="s">
        <v>180</v>
      </c>
      <c r="E33" s="98">
        <f>C33</f>
        <v>415.61</v>
      </c>
      <c r="F33" s="97" t="s">
        <v>14</v>
      </c>
    </row>
    <row r="34" spans="1:7" ht="19.5" customHeight="1">
      <c r="A34" s="94" t="s">
        <v>8</v>
      </c>
      <c r="B34" s="182" t="s">
        <v>417</v>
      </c>
      <c r="C34" s="96" t="s">
        <v>343</v>
      </c>
      <c r="D34" s="97" t="s">
        <v>180</v>
      </c>
      <c r="E34" s="98">
        <v>50</v>
      </c>
      <c r="F34" s="215" t="s">
        <v>416</v>
      </c>
    </row>
    <row r="35" spans="1:7" ht="20.100000000000001" customHeight="1">
      <c r="A35" s="94" t="s">
        <v>31</v>
      </c>
      <c r="B35" s="181" t="s">
        <v>262</v>
      </c>
      <c r="C35" s="104" t="s">
        <v>344</v>
      </c>
      <c r="D35" s="97" t="s">
        <v>180</v>
      </c>
      <c r="E35" s="98">
        <v>18</v>
      </c>
      <c r="F35" s="103" t="s">
        <v>57</v>
      </c>
    </row>
    <row r="36" spans="1:7" ht="19.5" customHeight="1">
      <c r="A36" s="94" t="s">
        <v>69</v>
      </c>
      <c r="B36" s="115" t="s">
        <v>266</v>
      </c>
      <c r="C36" s="104">
        <v>2</v>
      </c>
      <c r="D36" s="97" t="s">
        <v>180</v>
      </c>
      <c r="E36" s="98">
        <v>2</v>
      </c>
      <c r="F36" s="116" t="s">
        <v>79</v>
      </c>
    </row>
    <row r="37" spans="1:7" ht="19.5" customHeight="1">
      <c r="A37" s="94" t="s">
        <v>70</v>
      </c>
      <c r="B37" s="115" t="s">
        <v>267</v>
      </c>
      <c r="C37" s="104" t="s">
        <v>345</v>
      </c>
      <c r="D37" s="97" t="s">
        <v>180</v>
      </c>
      <c r="E37" s="98">
        <v>250</v>
      </c>
      <c r="F37" s="103" t="s">
        <v>57</v>
      </c>
    </row>
    <row r="38" spans="1:7" ht="19.5" customHeight="1">
      <c r="A38" s="94"/>
      <c r="B38" s="95"/>
      <c r="C38" s="106"/>
      <c r="D38" s="97"/>
      <c r="E38" s="98"/>
      <c r="F38" s="97"/>
    </row>
    <row r="39" spans="1:7" ht="52.5" customHeight="1">
      <c r="A39" s="88">
        <v>4</v>
      </c>
      <c r="B39" s="107" t="s">
        <v>333</v>
      </c>
      <c r="C39" s="90" t="s">
        <v>195</v>
      </c>
      <c r="D39" s="91"/>
      <c r="E39" s="92"/>
      <c r="F39" s="91"/>
      <c r="G39" s="83">
        <f>10+14+8</f>
        <v>32</v>
      </c>
    </row>
    <row r="40" spans="1:7" ht="19.5" customHeight="1">
      <c r="A40" s="94" t="s">
        <v>9</v>
      </c>
      <c r="B40" s="181" t="s">
        <v>249</v>
      </c>
      <c r="C40" s="96">
        <v>0.96</v>
      </c>
      <c r="D40" s="97" t="s">
        <v>180</v>
      </c>
      <c r="E40" s="98">
        <f>C40</f>
        <v>0.96</v>
      </c>
      <c r="F40" s="97" t="s">
        <v>13</v>
      </c>
      <c r="G40" s="83" t="e">
        <f>E40*#REF!</f>
        <v>#REF!</v>
      </c>
    </row>
    <row r="41" spans="1:7" ht="19.5" customHeight="1">
      <c r="A41" s="94" t="s">
        <v>10</v>
      </c>
      <c r="B41" s="95" t="s">
        <v>181</v>
      </c>
      <c r="C41" s="99">
        <v>28.19</v>
      </c>
      <c r="D41" s="97" t="s">
        <v>180</v>
      </c>
      <c r="E41" s="98">
        <f>C41</f>
        <v>28.19</v>
      </c>
      <c r="F41" s="97" t="s">
        <v>12</v>
      </c>
      <c r="G41" s="83" t="e">
        <f>E41*#REF!</f>
        <v>#REF!</v>
      </c>
    </row>
    <row r="42" spans="1:7" ht="19.5" customHeight="1">
      <c r="A42" s="94" t="s">
        <v>7</v>
      </c>
      <c r="B42" s="95" t="s">
        <v>192</v>
      </c>
      <c r="C42" s="96">
        <v>0.14000000000000001</v>
      </c>
      <c r="D42" s="97" t="s">
        <v>180</v>
      </c>
      <c r="E42" s="98">
        <f>C42</f>
        <v>0.14000000000000001</v>
      </c>
      <c r="F42" s="97" t="s">
        <v>14</v>
      </c>
      <c r="G42" s="83" t="e">
        <f>E42*#REF!</f>
        <v>#REF!</v>
      </c>
    </row>
    <row r="43" spans="1:7" ht="19.5" customHeight="1">
      <c r="A43" s="94"/>
      <c r="B43" s="95"/>
      <c r="C43" s="106"/>
      <c r="D43" s="97"/>
      <c r="E43" s="98"/>
      <c r="F43" s="97"/>
    </row>
    <row r="44" spans="1:7" ht="52.5" customHeight="1">
      <c r="A44" s="88">
        <v>5</v>
      </c>
      <c r="B44" s="107" t="s">
        <v>334</v>
      </c>
      <c r="C44" s="90" t="s">
        <v>196</v>
      </c>
      <c r="D44" s="91"/>
      <c r="E44" s="92"/>
      <c r="F44" s="91"/>
      <c r="G44" s="83">
        <f>10+14+8</f>
        <v>32</v>
      </c>
    </row>
    <row r="45" spans="1:7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>
        <f>C45</f>
        <v>1.2</v>
      </c>
      <c r="F45" s="97" t="s">
        <v>13</v>
      </c>
      <c r="G45" s="83" t="e">
        <f>E45*#REF!</f>
        <v>#REF!</v>
      </c>
    </row>
    <row r="46" spans="1:7" ht="19.5" customHeight="1">
      <c r="A46" s="94" t="s">
        <v>10</v>
      </c>
      <c r="B46" s="95" t="s">
        <v>181</v>
      </c>
      <c r="C46" s="99">
        <v>54.21</v>
      </c>
      <c r="D46" s="97" t="s">
        <v>180</v>
      </c>
      <c r="E46" s="98">
        <f>C46</f>
        <v>54.21</v>
      </c>
      <c r="F46" s="97" t="s">
        <v>12</v>
      </c>
      <c r="G46" s="83" t="e">
        <f>E46*#REF!</f>
        <v>#REF!</v>
      </c>
    </row>
    <row r="47" spans="1:7" ht="19.5" customHeight="1">
      <c r="A47" s="94" t="s">
        <v>7</v>
      </c>
      <c r="B47" s="95" t="s">
        <v>192</v>
      </c>
      <c r="C47" s="96">
        <v>0.25</v>
      </c>
      <c r="D47" s="97" t="s">
        <v>180</v>
      </c>
      <c r="E47" s="98">
        <f>C47</f>
        <v>0.25</v>
      </c>
      <c r="F47" s="97" t="s">
        <v>14</v>
      </c>
      <c r="G47" s="83" t="e">
        <f>E47*#REF!</f>
        <v>#REF!</v>
      </c>
    </row>
    <row r="48" spans="1:7" ht="19.5" customHeight="1">
      <c r="A48" s="94"/>
      <c r="B48" s="95"/>
      <c r="C48" s="106"/>
      <c r="D48" s="97"/>
      <c r="E48" s="98"/>
      <c r="F48" s="97"/>
    </row>
    <row r="49" spans="1:7" ht="53.25" customHeight="1">
      <c r="A49" s="88">
        <v>6</v>
      </c>
      <c r="B49" s="107" t="s">
        <v>335</v>
      </c>
      <c r="C49" s="90" t="s">
        <v>197</v>
      </c>
      <c r="D49" s="91"/>
      <c r="E49" s="92"/>
      <c r="F49" s="91"/>
      <c r="G49" s="83">
        <v>40</v>
      </c>
    </row>
    <row r="50" spans="1:7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>
        <f>C50</f>
        <v>0.49</v>
      </c>
      <c r="F50" s="97" t="s">
        <v>13</v>
      </c>
      <c r="G50" s="83">
        <f>$G$49*E50</f>
        <v>19.600000000000001</v>
      </c>
    </row>
    <row r="51" spans="1:7" ht="19.5" customHeight="1">
      <c r="A51" s="94" t="s">
        <v>10</v>
      </c>
      <c r="B51" s="95" t="s">
        <v>181</v>
      </c>
      <c r="C51" s="99">
        <v>31.26</v>
      </c>
      <c r="D51" s="97" t="s">
        <v>180</v>
      </c>
      <c r="E51" s="98">
        <f>C51</f>
        <v>31.26</v>
      </c>
      <c r="F51" s="97" t="s">
        <v>12</v>
      </c>
      <c r="G51" s="83">
        <f>$G$49*E51</f>
        <v>1250.4000000000001</v>
      </c>
    </row>
    <row r="52" spans="1:7" ht="19.5" customHeight="1">
      <c r="A52" s="94" t="s">
        <v>7</v>
      </c>
      <c r="B52" s="95" t="s">
        <v>192</v>
      </c>
      <c r="C52" s="96">
        <v>0.1</v>
      </c>
      <c r="D52" s="97" t="s">
        <v>180</v>
      </c>
      <c r="E52" s="98">
        <f>ROUND(C52,2)</f>
        <v>0.1</v>
      </c>
      <c r="F52" s="97" t="s">
        <v>14</v>
      </c>
      <c r="G52" s="83">
        <f>$G$49*E52</f>
        <v>4</v>
      </c>
    </row>
    <row r="53" spans="1:7" ht="19.5" customHeight="1">
      <c r="A53" s="94" t="s">
        <v>8</v>
      </c>
      <c r="B53" s="115" t="s">
        <v>198</v>
      </c>
      <c r="C53" s="96">
        <v>0.27</v>
      </c>
      <c r="D53" s="97" t="s">
        <v>180</v>
      </c>
      <c r="E53" s="98">
        <f>ROUND(C53,2)</f>
        <v>0.27</v>
      </c>
      <c r="F53" s="97" t="s">
        <v>13</v>
      </c>
    </row>
    <row r="54" spans="1:7" ht="19.5" customHeight="1">
      <c r="A54" s="94"/>
      <c r="B54" s="95"/>
      <c r="C54" s="106"/>
      <c r="D54" s="97"/>
      <c r="E54" s="98"/>
      <c r="F54" s="97"/>
    </row>
    <row r="55" spans="1:7" ht="31.5" customHeight="1">
      <c r="A55" s="88">
        <v>7</v>
      </c>
      <c r="B55" s="117" t="s">
        <v>203</v>
      </c>
      <c r="C55" s="90" t="s">
        <v>337</v>
      </c>
      <c r="D55" s="91"/>
      <c r="E55" s="92"/>
      <c r="F55" s="91"/>
      <c r="G55" s="83">
        <v>40</v>
      </c>
    </row>
    <row r="56" spans="1:7" ht="19.5" customHeight="1">
      <c r="A56" s="94" t="s">
        <v>9</v>
      </c>
      <c r="B56" s="100" t="s">
        <v>199</v>
      </c>
      <c r="C56" s="96">
        <v>246.91</v>
      </c>
      <c r="D56" s="97" t="s">
        <v>180</v>
      </c>
      <c r="E56" s="98">
        <f>C56</f>
        <v>246.91</v>
      </c>
      <c r="F56" s="97" t="s">
        <v>13</v>
      </c>
      <c r="G56" s="83">
        <f>$G$49*E56</f>
        <v>9876.4</v>
      </c>
    </row>
    <row r="57" spans="1:7" ht="19.5" customHeight="1">
      <c r="A57" s="94" t="s">
        <v>10</v>
      </c>
      <c r="B57" s="95" t="s">
        <v>181</v>
      </c>
      <c r="C57" s="99">
        <v>4818.18</v>
      </c>
      <c r="D57" s="97" t="s">
        <v>180</v>
      </c>
      <c r="E57" s="98">
        <f>C57</f>
        <v>4818.18</v>
      </c>
      <c r="F57" s="97" t="s">
        <v>12</v>
      </c>
      <c r="G57" s="83">
        <f>$G$49*E57</f>
        <v>192727.2</v>
      </c>
    </row>
    <row r="58" spans="1:7" ht="19.5" customHeight="1">
      <c r="A58" s="94" t="s">
        <v>7</v>
      </c>
      <c r="B58" s="95" t="s">
        <v>182</v>
      </c>
      <c r="C58" s="99">
        <v>969.15</v>
      </c>
      <c r="D58" s="97" t="s">
        <v>180</v>
      </c>
      <c r="E58" s="98">
        <f>C58</f>
        <v>969.15</v>
      </c>
      <c r="F58" s="97" t="s">
        <v>12</v>
      </c>
      <c r="G58" s="83">
        <f>E58*$G$95</f>
        <v>53303.25</v>
      </c>
    </row>
    <row r="59" spans="1:7" ht="19.5" customHeight="1">
      <c r="A59" s="94" t="s">
        <v>8</v>
      </c>
      <c r="B59" s="95" t="s">
        <v>338</v>
      </c>
      <c r="C59" s="96">
        <v>47.2</v>
      </c>
      <c r="D59" s="97" t="s">
        <v>180</v>
      </c>
      <c r="E59" s="98">
        <f t="shared" ref="E59:E64" si="3">ROUND(C59,2)</f>
        <v>47.2</v>
      </c>
      <c r="F59" s="97" t="s">
        <v>14</v>
      </c>
      <c r="G59" s="83">
        <f>$G$49*E59</f>
        <v>1888</v>
      </c>
    </row>
    <row r="60" spans="1:7" ht="19.5" customHeight="1">
      <c r="A60" s="94" t="s">
        <v>31</v>
      </c>
      <c r="B60" s="115" t="s">
        <v>339</v>
      </c>
      <c r="C60" s="96">
        <v>3025.84</v>
      </c>
      <c r="D60" s="97" t="s">
        <v>180</v>
      </c>
      <c r="E60" s="98">
        <f t="shared" si="3"/>
        <v>3025.84</v>
      </c>
      <c r="F60" s="97" t="s">
        <v>12</v>
      </c>
    </row>
    <row r="61" spans="1:7" ht="19.5" customHeight="1">
      <c r="A61" s="94" t="s">
        <v>69</v>
      </c>
      <c r="B61" s="115" t="s">
        <v>200</v>
      </c>
      <c r="C61" s="96">
        <v>279.72000000000003</v>
      </c>
      <c r="D61" s="97" t="s">
        <v>180</v>
      </c>
      <c r="E61" s="98">
        <f t="shared" si="3"/>
        <v>279.72000000000003</v>
      </c>
      <c r="F61" s="97" t="s">
        <v>57</v>
      </c>
    </row>
    <row r="62" spans="1:7" ht="19.5" customHeight="1">
      <c r="A62" s="94" t="s">
        <v>70</v>
      </c>
      <c r="B62" s="115" t="s">
        <v>201</v>
      </c>
      <c r="C62" s="96">
        <v>283.22000000000003</v>
      </c>
      <c r="D62" s="97" t="s">
        <v>180</v>
      </c>
      <c r="E62" s="98">
        <f t="shared" si="3"/>
        <v>283.22000000000003</v>
      </c>
      <c r="F62" s="97" t="s">
        <v>57</v>
      </c>
    </row>
    <row r="63" spans="1:7" ht="19.5" customHeight="1">
      <c r="A63" s="94" t="s">
        <v>71</v>
      </c>
      <c r="B63" s="115" t="s">
        <v>340</v>
      </c>
      <c r="C63" s="96">
        <v>14</v>
      </c>
      <c r="D63" s="97" t="s">
        <v>180</v>
      </c>
      <c r="E63" s="98">
        <f t="shared" si="3"/>
        <v>14</v>
      </c>
      <c r="F63" s="118" t="s">
        <v>202</v>
      </c>
    </row>
    <row r="64" spans="1:7" ht="19.5" customHeight="1">
      <c r="A64" s="94" t="s">
        <v>331</v>
      </c>
      <c r="B64" s="115" t="s">
        <v>268</v>
      </c>
      <c r="C64" s="96">
        <v>1</v>
      </c>
      <c r="D64" s="97" t="s">
        <v>180</v>
      </c>
      <c r="E64" s="98">
        <f t="shared" si="3"/>
        <v>1</v>
      </c>
      <c r="F64" s="118" t="s">
        <v>269</v>
      </c>
    </row>
    <row r="65" spans="1:7" ht="19.5" customHeight="1">
      <c r="A65" s="94"/>
      <c r="B65" s="95"/>
      <c r="C65" s="106"/>
      <c r="D65" s="97"/>
      <c r="E65" s="98"/>
      <c r="F65" s="97"/>
    </row>
    <row r="66" spans="1:7" ht="31.5" customHeight="1">
      <c r="A66" s="88">
        <v>8</v>
      </c>
      <c r="B66" s="117" t="s">
        <v>336</v>
      </c>
      <c r="C66" s="90" t="s">
        <v>204</v>
      </c>
      <c r="D66" s="91"/>
      <c r="E66" s="92"/>
      <c r="F66" s="91"/>
      <c r="G66" s="83">
        <v>40</v>
      </c>
    </row>
    <row r="67" spans="1:7" ht="19.5" customHeight="1">
      <c r="A67" s="94" t="s">
        <v>9</v>
      </c>
      <c r="B67" s="100" t="s">
        <v>199</v>
      </c>
      <c r="C67" s="96">
        <v>277.31</v>
      </c>
      <c r="D67" s="97" t="s">
        <v>180</v>
      </c>
      <c r="E67" s="98">
        <f>C67</f>
        <v>277.31</v>
      </c>
      <c r="F67" s="97" t="s">
        <v>13</v>
      </c>
      <c r="G67" s="83">
        <f>$G$49*E67</f>
        <v>11092.4</v>
      </c>
    </row>
    <row r="68" spans="1:7" ht="19.5" customHeight="1">
      <c r="A68" s="94" t="s">
        <v>10</v>
      </c>
      <c r="B68" s="95" t="s">
        <v>181</v>
      </c>
      <c r="C68" s="99">
        <v>5231.46</v>
      </c>
      <c r="D68" s="97" t="s">
        <v>180</v>
      </c>
      <c r="E68" s="98">
        <f>C68</f>
        <v>5231.46</v>
      </c>
      <c r="F68" s="97" t="s">
        <v>12</v>
      </c>
      <c r="G68" s="83">
        <f>$G$49*E68</f>
        <v>209258.4</v>
      </c>
    </row>
    <row r="69" spans="1:7" ht="19.5" customHeight="1">
      <c r="A69" s="94" t="s">
        <v>7</v>
      </c>
      <c r="B69" s="95" t="s">
        <v>182</v>
      </c>
      <c r="C69" s="99">
        <v>1090.75</v>
      </c>
      <c r="D69" s="97" t="s">
        <v>180</v>
      </c>
      <c r="E69" s="98">
        <f>C69</f>
        <v>1090.75</v>
      </c>
      <c r="F69" s="97" t="s">
        <v>12</v>
      </c>
      <c r="G69" s="83">
        <f>E69*$G$95</f>
        <v>59991.25</v>
      </c>
    </row>
    <row r="70" spans="1:7" ht="19.5" customHeight="1">
      <c r="A70" s="94" t="s">
        <v>8</v>
      </c>
      <c r="B70" s="95" t="s">
        <v>338</v>
      </c>
      <c r="C70" s="96">
        <v>53.1</v>
      </c>
      <c r="D70" s="97" t="s">
        <v>180</v>
      </c>
      <c r="E70" s="98">
        <f t="shared" ref="E70:E75" si="4">ROUND(C70,2)</f>
        <v>53.1</v>
      </c>
      <c r="F70" s="97" t="s">
        <v>14</v>
      </c>
      <c r="G70" s="83">
        <f>$G$49*E70</f>
        <v>2124</v>
      </c>
    </row>
    <row r="71" spans="1:7" ht="19.5" customHeight="1">
      <c r="A71" s="94" t="s">
        <v>31</v>
      </c>
      <c r="B71" s="115" t="s">
        <v>341</v>
      </c>
      <c r="C71" s="96">
        <v>4416.88</v>
      </c>
      <c r="D71" s="97" t="s">
        <v>180</v>
      </c>
      <c r="E71" s="98">
        <f t="shared" si="4"/>
        <v>4416.88</v>
      </c>
      <c r="F71" s="97" t="s">
        <v>12</v>
      </c>
    </row>
    <row r="72" spans="1:7" ht="19.5" customHeight="1">
      <c r="A72" s="94" t="s">
        <v>69</v>
      </c>
      <c r="B72" s="115" t="s">
        <v>200</v>
      </c>
      <c r="C72" s="96">
        <v>314.68</v>
      </c>
      <c r="D72" s="97" t="s">
        <v>180</v>
      </c>
      <c r="E72" s="98">
        <f t="shared" si="4"/>
        <v>314.68</v>
      </c>
      <c r="F72" s="97" t="s">
        <v>57</v>
      </c>
    </row>
    <row r="73" spans="1:7" ht="19.5" customHeight="1">
      <c r="A73" s="94" t="s">
        <v>70</v>
      </c>
      <c r="B73" s="115" t="s">
        <v>201</v>
      </c>
      <c r="C73" s="96">
        <v>318.18</v>
      </c>
      <c r="D73" s="97" t="s">
        <v>180</v>
      </c>
      <c r="E73" s="98">
        <f t="shared" si="4"/>
        <v>318.18</v>
      </c>
      <c r="F73" s="97" t="s">
        <v>57</v>
      </c>
    </row>
    <row r="74" spans="1:7" ht="19.5" customHeight="1">
      <c r="A74" s="94" t="s">
        <v>71</v>
      </c>
      <c r="B74" s="115" t="s">
        <v>342</v>
      </c>
      <c r="C74" s="96">
        <v>14</v>
      </c>
      <c r="D74" s="97" t="s">
        <v>180</v>
      </c>
      <c r="E74" s="98">
        <f t="shared" si="4"/>
        <v>14</v>
      </c>
      <c r="F74" s="118" t="s">
        <v>202</v>
      </c>
    </row>
    <row r="75" spans="1:7" ht="19.5" customHeight="1">
      <c r="A75" s="94" t="s">
        <v>331</v>
      </c>
      <c r="B75" s="115" t="s">
        <v>268</v>
      </c>
      <c r="C75" s="96">
        <v>1</v>
      </c>
      <c r="D75" s="97" t="s">
        <v>180</v>
      </c>
      <c r="E75" s="98">
        <f t="shared" si="4"/>
        <v>1</v>
      </c>
      <c r="F75" s="118" t="s">
        <v>269</v>
      </c>
    </row>
    <row r="76" spans="1:7" ht="19.5" customHeight="1">
      <c r="A76" s="94"/>
      <c r="B76" s="95"/>
      <c r="C76" s="106"/>
      <c r="D76" s="97"/>
      <c r="E76" s="98"/>
      <c r="F76" s="97"/>
    </row>
    <row r="77" spans="1:7" ht="31.5" customHeight="1">
      <c r="A77" s="88">
        <v>9</v>
      </c>
      <c r="B77" s="207" t="s">
        <v>497</v>
      </c>
      <c r="C77" s="90" t="s">
        <v>351</v>
      </c>
      <c r="D77" s="91"/>
      <c r="E77" s="92"/>
      <c r="F77" s="91"/>
      <c r="G77" s="83">
        <v>40</v>
      </c>
    </row>
    <row r="78" spans="1:7" ht="19.5" customHeight="1">
      <c r="A78" s="94" t="s">
        <v>9</v>
      </c>
      <c r="B78" s="100" t="s">
        <v>249</v>
      </c>
      <c r="C78" s="96">
        <v>13.44</v>
      </c>
      <c r="D78" s="97" t="s">
        <v>180</v>
      </c>
      <c r="E78" s="98">
        <f>C78</f>
        <v>13.44</v>
      </c>
      <c r="F78" s="97" t="s">
        <v>13</v>
      </c>
      <c r="G78" s="83">
        <f>$G$49*E78</f>
        <v>537.6</v>
      </c>
    </row>
    <row r="79" spans="1:7" ht="19.5" customHeight="1">
      <c r="A79" s="94" t="s">
        <v>10</v>
      </c>
      <c r="B79" s="95" t="s">
        <v>181</v>
      </c>
      <c r="C79" s="99">
        <v>93.44</v>
      </c>
      <c r="D79" s="97" t="s">
        <v>180</v>
      </c>
      <c r="E79" s="98">
        <f>C79</f>
        <v>93.44</v>
      </c>
      <c r="F79" s="97" t="s">
        <v>12</v>
      </c>
      <c r="G79" s="83">
        <f>$G$49*E79</f>
        <v>3737.6</v>
      </c>
    </row>
    <row r="80" spans="1:7" ht="19.5" customHeight="1">
      <c r="A80" s="94" t="s">
        <v>7</v>
      </c>
      <c r="B80" s="95" t="s">
        <v>182</v>
      </c>
      <c r="C80" s="99">
        <v>741.05</v>
      </c>
      <c r="D80" s="97" t="s">
        <v>180</v>
      </c>
      <c r="E80" s="98">
        <f>C80</f>
        <v>741.05</v>
      </c>
      <c r="F80" s="97" t="s">
        <v>12</v>
      </c>
      <c r="G80" s="83">
        <f>E80*$G$95</f>
        <v>40757.75</v>
      </c>
    </row>
    <row r="81" spans="1:7" ht="19.5" customHeight="1">
      <c r="A81" s="94" t="s">
        <v>8</v>
      </c>
      <c r="B81" s="95" t="s">
        <v>183</v>
      </c>
      <c r="C81" s="96">
        <v>0.51</v>
      </c>
      <c r="D81" s="97" t="s">
        <v>180</v>
      </c>
      <c r="E81" s="98">
        <f>ROUND(C81,2)</f>
        <v>0.51</v>
      </c>
      <c r="F81" s="97" t="s">
        <v>14</v>
      </c>
      <c r="G81" s="83">
        <f>$G$49*E81</f>
        <v>20.399999999999999</v>
      </c>
    </row>
    <row r="82" spans="1:7" ht="19.5" customHeight="1">
      <c r="A82" s="94" t="s">
        <v>31</v>
      </c>
      <c r="B82" s="95" t="s">
        <v>187</v>
      </c>
      <c r="C82" s="96">
        <v>8.77</v>
      </c>
      <c r="D82" s="97" t="s">
        <v>180</v>
      </c>
      <c r="E82" s="98">
        <f>ROUND(C82,2)</f>
        <v>8.77</v>
      </c>
      <c r="F82" s="97" t="s">
        <v>14</v>
      </c>
      <c r="G82" s="83">
        <f>$G$49*E82</f>
        <v>350.79999999999995</v>
      </c>
    </row>
    <row r="83" spans="1:7" ht="19.5" customHeight="1">
      <c r="A83" s="94"/>
      <c r="B83" s="95"/>
      <c r="C83" s="106"/>
      <c r="D83" s="97"/>
      <c r="E83" s="98"/>
      <c r="F83" s="97"/>
    </row>
    <row r="84" spans="1:7" ht="31.5" customHeight="1">
      <c r="A84" s="88">
        <v>10</v>
      </c>
      <c r="B84" s="207" t="s">
        <v>352</v>
      </c>
      <c r="C84" s="90" t="s">
        <v>213</v>
      </c>
      <c r="D84" s="91"/>
      <c r="E84" s="92"/>
      <c r="F84" s="91"/>
      <c r="G84" s="83">
        <v>40</v>
      </c>
    </row>
    <row r="85" spans="1:7" ht="19.5" customHeight="1">
      <c r="A85" s="94" t="s">
        <v>9</v>
      </c>
      <c r="B85" s="100" t="s">
        <v>249</v>
      </c>
      <c r="C85" s="96">
        <v>48.57</v>
      </c>
      <c r="D85" s="97" t="s">
        <v>180</v>
      </c>
      <c r="E85" s="98">
        <f>C85</f>
        <v>48.57</v>
      </c>
      <c r="F85" s="97" t="s">
        <v>13</v>
      </c>
      <c r="G85" s="83">
        <f>$G$49*E85</f>
        <v>1942.8</v>
      </c>
    </row>
    <row r="86" spans="1:7" ht="19.5" customHeight="1">
      <c r="A86" s="94" t="s">
        <v>10</v>
      </c>
      <c r="B86" s="95" t="s">
        <v>182</v>
      </c>
      <c r="C86" s="99">
        <v>1116.5</v>
      </c>
      <c r="D86" s="97" t="s">
        <v>180</v>
      </c>
      <c r="E86" s="98">
        <f>C86</f>
        <v>1116.5</v>
      </c>
      <c r="F86" s="97" t="s">
        <v>12</v>
      </c>
      <c r="G86" s="83">
        <f>E86*$G$95</f>
        <v>61407.5</v>
      </c>
    </row>
    <row r="87" spans="1:7" ht="19.5" customHeight="1">
      <c r="A87" s="94" t="s">
        <v>7</v>
      </c>
      <c r="B87" s="95" t="s">
        <v>187</v>
      </c>
      <c r="C87" s="96">
        <v>11.36</v>
      </c>
      <c r="D87" s="97" t="s">
        <v>180</v>
      </c>
      <c r="E87" s="98">
        <f>ROUND(C87,2)</f>
        <v>11.36</v>
      </c>
      <c r="F87" s="97" t="s">
        <v>14</v>
      </c>
      <c r="G87" s="83">
        <f>$G$49*E87</f>
        <v>454.4</v>
      </c>
    </row>
    <row r="88" spans="1:7" ht="19.5" customHeight="1">
      <c r="A88" s="94"/>
      <c r="B88" s="115"/>
      <c r="C88" s="96"/>
      <c r="D88" s="97"/>
      <c r="E88" s="98"/>
      <c r="F88" s="97"/>
    </row>
    <row r="89" spans="1:7" ht="31.5" customHeight="1">
      <c r="A89" s="88">
        <v>11</v>
      </c>
      <c r="B89" s="119" t="s">
        <v>206</v>
      </c>
      <c r="C89" s="90" t="s">
        <v>498</v>
      </c>
      <c r="D89" s="91"/>
      <c r="E89" s="92"/>
      <c r="F89" s="91"/>
      <c r="G89" s="83">
        <v>40</v>
      </c>
    </row>
    <row r="90" spans="1:7" ht="19.5" customHeight="1">
      <c r="A90" s="94" t="s">
        <v>9</v>
      </c>
      <c r="B90" s="95" t="s">
        <v>181</v>
      </c>
      <c r="C90" s="99">
        <v>61.15</v>
      </c>
      <c r="D90" s="97" t="s">
        <v>180</v>
      </c>
      <c r="E90" s="98">
        <f>C90</f>
        <v>61.15</v>
      </c>
      <c r="F90" s="97" t="s">
        <v>12</v>
      </c>
      <c r="G90" s="83">
        <f>$G$49*E90</f>
        <v>2446</v>
      </c>
    </row>
    <row r="91" spans="1:7" ht="19.5" customHeight="1">
      <c r="A91" s="94" t="s">
        <v>10</v>
      </c>
      <c r="B91" s="95" t="s">
        <v>182</v>
      </c>
      <c r="C91" s="99">
        <v>2837.8</v>
      </c>
      <c r="D91" s="97" t="s">
        <v>180</v>
      </c>
      <c r="E91" s="98">
        <f>C91</f>
        <v>2837.8</v>
      </c>
      <c r="F91" s="97" t="s">
        <v>12</v>
      </c>
      <c r="G91" s="83">
        <f>E91*$G$95</f>
        <v>156079</v>
      </c>
    </row>
    <row r="92" spans="1:7" ht="19.5" customHeight="1">
      <c r="A92" s="94" t="s">
        <v>7</v>
      </c>
      <c r="B92" s="120" t="s">
        <v>205</v>
      </c>
      <c r="C92" s="96">
        <v>17.66</v>
      </c>
      <c r="D92" s="97" t="s">
        <v>180</v>
      </c>
      <c r="E92" s="98">
        <f>ROUND(C92,2)</f>
        <v>17.66</v>
      </c>
      <c r="F92" s="97" t="s">
        <v>14</v>
      </c>
      <c r="G92" s="83">
        <f>$G$49*E92</f>
        <v>706.4</v>
      </c>
    </row>
    <row r="93" spans="1:7" ht="19.5" customHeight="1">
      <c r="A93" s="94"/>
      <c r="B93" s="115"/>
      <c r="C93" s="96"/>
      <c r="D93" s="97"/>
      <c r="E93" s="98"/>
      <c r="F93" s="97"/>
    </row>
    <row r="94" spans="1:7" ht="19.5" customHeight="1">
      <c r="A94" s="102" t="s">
        <v>253</v>
      </c>
      <c r="B94" s="115" t="s">
        <v>224</v>
      </c>
      <c r="C94" s="96"/>
      <c r="D94" s="97"/>
      <c r="E94" s="98"/>
      <c r="F94" s="121"/>
    </row>
    <row r="95" spans="1:7" ht="28.5" customHeight="1">
      <c r="A95" s="88">
        <v>1</v>
      </c>
      <c r="B95" s="89" t="s">
        <v>471</v>
      </c>
      <c r="C95" s="90" t="s">
        <v>312</v>
      </c>
      <c r="D95" s="91"/>
      <c r="E95" s="92"/>
      <c r="F95" s="93"/>
      <c r="G95" s="83">
        <v>55</v>
      </c>
    </row>
    <row r="96" spans="1:7" ht="19.5" customHeight="1">
      <c r="A96" s="94" t="s">
        <v>9</v>
      </c>
      <c r="B96" s="181" t="s">
        <v>361</v>
      </c>
      <c r="C96" s="96">
        <v>6</v>
      </c>
      <c r="D96" s="97" t="s">
        <v>180</v>
      </c>
      <c r="E96" s="98">
        <f t="shared" ref="E96:E101" si="5">C96</f>
        <v>6</v>
      </c>
      <c r="F96" s="97" t="s">
        <v>13</v>
      </c>
      <c r="G96" s="83">
        <f>E96*$G$95</f>
        <v>330</v>
      </c>
    </row>
    <row r="97" spans="1:7" ht="19.5" customHeight="1">
      <c r="A97" s="94" t="s">
        <v>10</v>
      </c>
      <c r="B97" s="95" t="s">
        <v>181</v>
      </c>
      <c r="C97" s="99">
        <v>45.24</v>
      </c>
      <c r="D97" s="97" t="s">
        <v>180</v>
      </c>
      <c r="E97" s="98">
        <f t="shared" si="5"/>
        <v>45.24</v>
      </c>
      <c r="F97" s="97" t="s">
        <v>12</v>
      </c>
      <c r="G97" s="83">
        <f>E97*$G$95</f>
        <v>2488.2000000000003</v>
      </c>
    </row>
    <row r="98" spans="1:7" ht="19.5" customHeight="1">
      <c r="A98" s="94" t="s">
        <v>7</v>
      </c>
      <c r="B98" s="95" t="s">
        <v>182</v>
      </c>
      <c r="C98" s="99">
        <v>64.13</v>
      </c>
      <c r="D98" s="97" t="s">
        <v>180</v>
      </c>
      <c r="E98" s="98">
        <f t="shared" si="5"/>
        <v>64.13</v>
      </c>
      <c r="F98" s="97" t="s">
        <v>12</v>
      </c>
      <c r="G98" s="83">
        <f>E98*$G$95</f>
        <v>3527.1499999999996</v>
      </c>
    </row>
    <row r="99" spans="1:7" ht="19.5" customHeight="1">
      <c r="A99" s="94" t="s">
        <v>8</v>
      </c>
      <c r="B99" s="95" t="s">
        <v>187</v>
      </c>
      <c r="C99" s="96">
        <v>0.92</v>
      </c>
      <c r="D99" s="97" t="s">
        <v>180</v>
      </c>
      <c r="E99" s="98">
        <f t="shared" si="5"/>
        <v>0.92</v>
      </c>
      <c r="F99" s="97" t="s">
        <v>14</v>
      </c>
      <c r="G99" s="83">
        <f>E99*$G$95</f>
        <v>50.6</v>
      </c>
    </row>
    <row r="100" spans="1:7" ht="19.5" customHeight="1">
      <c r="A100" s="94" t="s">
        <v>31</v>
      </c>
      <c r="B100" s="95" t="s">
        <v>183</v>
      </c>
      <c r="C100" s="96">
        <v>0.14000000000000001</v>
      </c>
      <c r="D100" s="97" t="s">
        <v>180</v>
      </c>
      <c r="E100" s="98">
        <f t="shared" si="5"/>
        <v>0.14000000000000001</v>
      </c>
      <c r="F100" s="97" t="s">
        <v>14</v>
      </c>
      <c r="G100" s="83">
        <f>E100*$G$95</f>
        <v>7.7000000000000011</v>
      </c>
    </row>
    <row r="101" spans="1:7" ht="24.95" customHeight="1">
      <c r="A101" s="94" t="s">
        <v>69</v>
      </c>
      <c r="B101" s="95" t="s">
        <v>207</v>
      </c>
      <c r="C101" s="101">
        <v>0.5</v>
      </c>
      <c r="D101" s="97" t="s">
        <v>180</v>
      </c>
      <c r="E101" s="98">
        <f t="shared" si="5"/>
        <v>0.5</v>
      </c>
      <c r="F101" s="103" t="s">
        <v>184</v>
      </c>
    </row>
    <row r="102" spans="1:7" ht="19.5" customHeight="1">
      <c r="A102" s="94" t="s">
        <v>70</v>
      </c>
      <c r="B102" s="115" t="s">
        <v>230</v>
      </c>
      <c r="C102" s="101" t="s">
        <v>366</v>
      </c>
      <c r="D102" s="97" t="s">
        <v>180</v>
      </c>
      <c r="E102" s="98">
        <v>1</v>
      </c>
      <c r="F102" s="142" t="s">
        <v>401</v>
      </c>
    </row>
    <row r="103" spans="1:7" ht="19.5" customHeight="1">
      <c r="A103" s="94" t="s">
        <v>71</v>
      </c>
      <c r="B103" s="115" t="s">
        <v>257</v>
      </c>
      <c r="C103" s="101" t="s">
        <v>367</v>
      </c>
      <c r="D103" s="97" t="s">
        <v>180</v>
      </c>
      <c r="E103" s="98">
        <v>0.96</v>
      </c>
      <c r="F103" s="97" t="s">
        <v>13</v>
      </c>
    </row>
    <row r="104" spans="1:7" ht="19.5" customHeight="1">
      <c r="A104" s="94" t="s">
        <v>331</v>
      </c>
      <c r="B104" s="115" t="s">
        <v>256</v>
      </c>
      <c r="C104" s="101" t="s">
        <v>368</v>
      </c>
      <c r="D104" s="97" t="s">
        <v>180</v>
      </c>
      <c r="E104" s="98">
        <v>4</v>
      </c>
      <c r="F104" s="97" t="s">
        <v>57</v>
      </c>
    </row>
    <row r="105" spans="1:7" ht="19.5" customHeight="1">
      <c r="A105" s="94"/>
      <c r="B105" s="115"/>
      <c r="C105" s="101"/>
      <c r="D105" s="97"/>
      <c r="E105" s="98"/>
      <c r="F105" s="121"/>
    </row>
    <row r="106" spans="1:7" ht="28.5" customHeight="1">
      <c r="A106" s="88">
        <v>2</v>
      </c>
      <c r="B106" s="89" t="s">
        <v>313</v>
      </c>
      <c r="C106" s="90" t="s">
        <v>350</v>
      </c>
      <c r="D106" s="91"/>
      <c r="E106" s="92"/>
      <c r="F106" s="93"/>
      <c r="G106" s="83">
        <v>40</v>
      </c>
    </row>
    <row r="107" spans="1:7" ht="19.5" customHeight="1">
      <c r="A107" s="94" t="s">
        <v>9</v>
      </c>
      <c r="B107" s="209" t="s">
        <v>370</v>
      </c>
      <c r="C107" s="99" t="s">
        <v>372</v>
      </c>
      <c r="D107" s="97" t="s">
        <v>180</v>
      </c>
      <c r="E107" s="98">
        <f t="shared" ref="E107:E112" si="6">G107</f>
        <v>27.019999999999996</v>
      </c>
      <c r="F107" s="97" t="s">
        <v>13</v>
      </c>
      <c r="G107" s="96">
        <f>(17.63+36.41)/2</f>
        <v>27.019999999999996</v>
      </c>
    </row>
    <row r="108" spans="1:7" ht="19.5" customHeight="1">
      <c r="A108" s="94" t="s">
        <v>10</v>
      </c>
      <c r="B108" s="95" t="s">
        <v>181</v>
      </c>
      <c r="C108" s="99" t="s">
        <v>374</v>
      </c>
      <c r="D108" s="97" t="s">
        <v>180</v>
      </c>
      <c r="E108" s="98">
        <f t="shared" si="6"/>
        <v>449.49</v>
      </c>
      <c r="F108" s="97" t="s">
        <v>12</v>
      </c>
      <c r="G108" s="99">
        <f>(390.21+508.77)/2</f>
        <v>449.49</v>
      </c>
    </row>
    <row r="109" spans="1:7" ht="19.5" customHeight="1">
      <c r="A109" s="94" t="s">
        <v>7</v>
      </c>
      <c r="B109" s="143" t="s">
        <v>182</v>
      </c>
      <c r="C109" s="99" t="s">
        <v>437</v>
      </c>
      <c r="D109" s="97" t="s">
        <v>180</v>
      </c>
      <c r="E109" s="98">
        <f t="shared" si="6"/>
        <v>2352.9899999999998</v>
      </c>
      <c r="F109" s="97" t="s">
        <v>12</v>
      </c>
      <c r="G109" s="99">
        <f>(1978.87+2727.11)/2</f>
        <v>2352.9899999999998</v>
      </c>
    </row>
    <row r="110" spans="1:7" ht="19.5" customHeight="1">
      <c r="A110" s="94" t="s">
        <v>8</v>
      </c>
      <c r="B110" s="95" t="s">
        <v>189</v>
      </c>
      <c r="C110" s="99" t="s">
        <v>375</v>
      </c>
      <c r="D110" s="97" t="s">
        <v>180</v>
      </c>
      <c r="E110" s="98">
        <f t="shared" si="6"/>
        <v>13.615</v>
      </c>
      <c r="F110" s="97" t="s">
        <v>14</v>
      </c>
      <c r="G110" s="96">
        <f>(11.27+15.96)/2</f>
        <v>13.615</v>
      </c>
    </row>
    <row r="111" spans="1:7" ht="19.5" customHeight="1">
      <c r="A111" s="94" t="s">
        <v>31</v>
      </c>
      <c r="B111" s="95" t="s">
        <v>183</v>
      </c>
      <c r="C111" s="99">
        <v>0.9</v>
      </c>
      <c r="D111" s="97" t="s">
        <v>180</v>
      </c>
      <c r="E111" s="98">
        <f t="shared" si="6"/>
        <v>0.9</v>
      </c>
      <c r="F111" s="97" t="s">
        <v>14</v>
      </c>
      <c r="G111" s="96">
        <v>0.9</v>
      </c>
    </row>
    <row r="112" spans="1:7" ht="19.5" customHeight="1">
      <c r="A112" s="94" t="s">
        <v>69</v>
      </c>
      <c r="B112" s="115" t="s">
        <v>208</v>
      </c>
      <c r="C112" s="99" t="s">
        <v>376</v>
      </c>
      <c r="D112" s="97" t="s">
        <v>180</v>
      </c>
      <c r="E112" s="98">
        <f t="shared" si="6"/>
        <v>15.620000000000001</v>
      </c>
      <c r="F112" s="97" t="s">
        <v>14</v>
      </c>
      <c r="G112" s="101">
        <f>(5.28+25.96)/2</f>
        <v>15.620000000000001</v>
      </c>
    </row>
    <row r="113" spans="1:7" ht="19.5" customHeight="1">
      <c r="A113" s="94" t="s">
        <v>70</v>
      </c>
      <c r="B113" s="115" t="s">
        <v>257</v>
      </c>
      <c r="C113" s="101" t="s">
        <v>369</v>
      </c>
      <c r="D113" s="97" t="s">
        <v>180</v>
      </c>
      <c r="E113" s="98">
        <v>15.62</v>
      </c>
      <c r="F113" s="97" t="s">
        <v>13</v>
      </c>
    </row>
    <row r="114" spans="1:7" ht="19.5" customHeight="1">
      <c r="A114" s="94" t="s">
        <v>71</v>
      </c>
      <c r="B114" s="115" t="s">
        <v>256</v>
      </c>
      <c r="C114" s="101" t="s">
        <v>373</v>
      </c>
      <c r="D114" s="97" t="s">
        <v>180</v>
      </c>
      <c r="E114" s="98">
        <v>14.8</v>
      </c>
      <c r="F114" s="97" t="s">
        <v>57</v>
      </c>
    </row>
    <row r="115" spans="1:7" ht="19.5" customHeight="1">
      <c r="A115" s="94" t="s">
        <v>331</v>
      </c>
      <c r="B115" s="115" t="s">
        <v>258</v>
      </c>
      <c r="C115" s="101" t="s">
        <v>369</v>
      </c>
      <c r="D115" s="97" t="s">
        <v>180</v>
      </c>
      <c r="E115" s="98">
        <v>72</v>
      </c>
      <c r="F115" s="102" t="s">
        <v>259</v>
      </c>
    </row>
    <row r="116" spans="1:7" ht="19.5" customHeight="1">
      <c r="A116" s="94"/>
      <c r="B116" s="95"/>
      <c r="C116" s="101"/>
      <c r="D116" s="97"/>
      <c r="E116" s="98"/>
      <c r="F116" s="103"/>
    </row>
    <row r="117" spans="1:7" ht="28.5" customHeight="1">
      <c r="A117" s="88">
        <v>3</v>
      </c>
      <c r="B117" s="89" t="s">
        <v>346</v>
      </c>
      <c r="C117" s="90" t="s">
        <v>316</v>
      </c>
      <c r="D117" s="91"/>
      <c r="E117" s="92"/>
      <c r="F117" s="93"/>
      <c r="G117" s="83">
        <f>54</f>
        <v>54</v>
      </c>
    </row>
    <row r="118" spans="1:7" ht="19.5" customHeight="1">
      <c r="A118" s="94" t="s">
        <v>9</v>
      </c>
      <c r="B118" s="209" t="s">
        <v>370</v>
      </c>
      <c r="C118" s="96">
        <v>36.409999999999997</v>
      </c>
      <c r="D118" s="97" t="s">
        <v>180</v>
      </c>
      <c r="E118" s="98">
        <f t="shared" ref="E118:E123" si="7">C118</f>
        <v>36.409999999999997</v>
      </c>
      <c r="F118" s="97" t="s">
        <v>13</v>
      </c>
      <c r="G118" s="96"/>
    </row>
    <row r="119" spans="1:7" ht="19.5" customHeight="1">
      <c r="A119" s="94" t="s">
        <v>10</v>
      </c>
      <c r="B119" s="95" t="s">
        <v>181</v>
      </c>
      <c r="C119" s="99">
        <v>508.77</v>
      </c>
      <c r="D119" s="97" t="s">
        <v>180</v>
      </c>
      <c r="E119" s="98">
        <f t="shared" si="7"/>
        <v>508.77</v>
      </c>
      <c r="F119" s="97" t="s">
        <v>12</v>
      </c>
      <c r="G119" s="99"/>
    </row>
    <row r="120" spans="1:7" ht="19.5" customHeight="1">
      <c r="A120" s="94" t="s">
        <v>7</v>
      </c>
      <c r="B120" s="95" t="s">
        <v>182</v>
      </c>
      <c r="C120" s="99">
        <v>2727.11</v>
      </c>
      <c r="D120" s="97" t="s">
        <v>180</v>
      </c>
      <c r="E120" s="98">
        <f t="shared" si="7"/>
        <v>2727.11</v>
      </c>
      <c r="F120" s="97" t="s">
        <v>12</v>
      </c>
      <c r="G120" s="99"/>
    </row>
    <row r="121" spans="1:7" ht="19.5" customHeight="1">
      <c r="A121" s="94" t="s">
        <v>8</v>
      </c>
      <c r="B121" s="95" t="s">
        <v>189</v>
      </c>
      <c r="C121" s="96">
        <v>15.96</v>
      </c>
      <c r="D121" s="97" t="s">
        <v>180</v>
      </c>
      <c r="E121" s="98">
        <f t="shared" si="7"/>
        <v>15.96</v>
      </c>
      <c r="F121" s="97" t="s">
        <v>14</v>
      </c>
      <c r="G121" s="96"/>
    </row>
    <row r="122" spans="1:7" ht="19.5" customHeight="1">
      <c r="A122" s="94" t="s">
        <v>31</v>
      </c>
      <c r="B122" s="95" t="s">
        <v>183</v>
      </c>
      <c r="C122" s="96">
        <v>0.9</v>
      </c>
      <c r="D122" s="97" t="s">
        <v>180</v>
      </c>
      <c r="E122" s="98">
        <f t="shared" si="7"/>
        <v>0.9</v>
      </c>
      <c r="F122" s="97" t="s">
        <v>14</v>
      </c>
      <c r="G122" s="96"/>
    </row>
    <row r="123" spans="1:7" ht="19.5" customHeight="1">
      <c r="A123" s="94" t="s">
        <v>69</v>
      </c>
      <c r="B123" s="115" t="s">
        <v>208</v>
      </c>
      <c r="C123" s="101">
        <v>25.96</v>
      </c>
      <c r="D123" s="97" t="s">
        <v>180</v>
      </c>
      <c r="E123" s="98">
        <f t="shared" si="7"/>
        <v>25.96</v>
      </c>
      <c r="F123" s="97" t="s">
        <v>14</v>
      </c>
      <c r="G123" s="101"/>
    </row>
    <row r="124" spans="1:7" ht="18" customHeight="1">
      <c r="A124" s="94"/>
      <c r="B124" s="115"/>
      <c r="C124" s="101"/>
      <c r="D124" s="97"/>
      <c r="E124" s="98"/>
      <c r="F124" s="121"/>
      <c r="G124" s="122"/>
    </row>
    <row r="125" spans="1:7" ht="28.5" customHeight="1">
      <c r="A125" s="88">
        <v>4</v>
      </c>
      <c r="B125" s="89" t="s">
        <v>314</v>
      </c>
      <c r="C125" s="90" t="s">
        <v>347</v>
      </c>
      <c r="D125" s="91"/>
      <c r="E125" s="92"/>
      <c r="F125" s="93"/>
      <c r="G125" s="83">
        <f>54</f>
        <v>54</v>
      </c>
    </row>
    <row r="126" spans="1:7" ht="19.5" customHeight="1">
      <c r="A126" s="94" t="s">
        <v>9</v>
      </c>
      <c r="B126" s="209" t="s">
        <v>371</v>
      </c>
      <c r="C126" s="96">
        <v>60</v>
      </c>
      <c r="D126" s="97" t="s">
        <v>180</v>
      </c>
      <c r="E126" s="98">
        <f>C126</f>
        <v>60</v>
      </c>
      <c r="F126" s="97" t="s">
        <v>13</v>
      </c>
      <c r="G126" s="96"/>
    </row>
    <row r="127" spans="1:7" ht="19.5" customHeight="1">
      <c r="A127" s="94" t="s">
        <v>10</v>
      </c>
      <c r="B127" s="95" t="s">
        <v>182</v>
      </c>
      <c r="C127" s="99">
        <v>3086.14</v>
      </c>
      <c r="D127" s="97" t="s">
        <v>180</v>
      </c>
      <c r="E127" s="98">
        <f>C127</f>
        <v>3086.14</v>
      </c>
      <c r="F127" s="97" t="s">
        <v>12</v>
      </c>
      <c r="G127" s="99"/>
    </row>
    <row r="128" spans="1:7" ht="19.5" customHeight="1">
      <c r="A128" s="94" t="s">
        <v>7</v>
      </c>
      <c r="B128" s="95" t="s">
        <v>189</v>
      </c>
      <c r="C128" s="96">
        <v>15</v>
      </c>
      <c r="D128" s="97" t="s">
        <v>180</v>
      </c>
      <c r="E128" s="98">
        <f>C128</f>
        <v>15</v>
      </c>
      <c r="F128" s="97" t="s">
        <v>14</v>
      </c>
      <c r="G128" s="96"/>
    </row>
    <row r="129" spans="1:7" ht="24.95" customHeight="1">
      <c r="A129" s="94"/>
      <c r="B129" s="115"/>
      <c r="C129" s="101"/>
      <c r="D129" s="97"/>
      <c r="E129" s="98"/>
      <c r="F129" s="97"/>
      <c r="G129" s="101"/>
    </row>
    <row r="130" spans="1:7" ht="28.5" customHeight="1">
      <c r="A130" s="88">
        <v>5</v>
      </c>
      <c r="B130" s="89" t="s">
        <v>315</v>
      </c>
      <c r="C130" s="90" t="s">
        <v>213</v>
      </c>
      <c r="D130" s="91"/>
      <c r="E130" s="92"/>
      <c r="F130" s="93"/>
      <c r="G130" s="83">
        <f>54</f>
        <v>54</v>
      </c>
    </row>
    <row r="131" spans="1:7" ht="19.5" customHeight="1">
      <c r="A131" s="94" t="s">
        <v>9</v>
      </c>
      <c r="B131" s="209" t="s">
        <v>249</v>
      </c>
      <c r="C131" s="96">
        <v>19</v>
      </c>
      <c r="D131" s="97" t="s">
        <v>180</v>
      </c>
      <c r="E131" s="98">
        <f>C131</f>
        <v>19</v>
      </c>
      <c r="F131" s="97" t="s">
        <v>13</v>
      </c>
      <c r="G131" s="96"/>
    </row>
    <row r="132" spans="1:7" ht="19.5" customHeight="1">
      <c r="A132" s="94" t="s">
        <v>7</v>
      </c>
      <c r="B132" s="95" t="s">
        <v>182</v>
      </c>
      <c r="C132" s="99">
        <v>971.97</v>
      </c>
      <c r="D132" s="97" t="s">
        <v>180</v>
      </c>
      <c r="E132" s="98">
        <f>C132</f>
        <v>971.97</v>
      </c>
      <c r="F132" s="97" t="s">
        <v>12</v>
      </c>
      <c r="G132" s="99"/>
    </row>
    <row r="133" spans="1:7" ht="19.5" customHeight="1">
      <c r="A133" s="94" t="s">
        <v>8</v>
      </c>
      <c r="B133" s="95" t="s">
        <v>189</v>
      </c>
      <c r="C133" s="96">
        <v>4.75</v>
      </c>
      <c r="D133" s="97" t="s">
        <v>180</v>
      </c>
      <c r="E133" s="98">
        <f>C133</f>
        <v>4.75</v>
      </c>
      <c r="F133" s="97" t="s">
        <v>14</v>
      </c>
      <c r="G133" s="96"/>
    </row>
    <row r="134" spans="1:7" ht="18" customHeight="1">
      <c r="A134" s="94"/>
      <c r="B134" s="115"/>
      <c r="C134" s="101"/>
      <c r="D134" s="97"/>
      <c r="E134" s="98"/>
      <c r="F134" s="121"/>
      <c r="G134" s="122"/>
    </row>
    <row r="135" spans="1:7" ht="25.5" customHeight="1">
      <c r="A135" s="88">
        <v>6</v>
      </c>
      <c r="B135" s="89" t="s">
        <v>472</v>
      </c>
      <c r="C135" s="90" t="s">
        <v>209</v>
      </c>
      <c r="D135" s="91"/>
      <c r="E135" s="92"/>
      <c r="F135" s="93"/>
      <c r="G135" s="83">
        <v>4</v>
      </c>
    </row>
    <row r="136" spans="1:7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>
        <f>C136</f>
        <v>13.44</v>
      </c>
      <c r="F136" s="97" t="s">
        <v>13</v>
      </c>
      <c r="G136" s="83">
        <f>E136*$G$95</f>
        <v>739.19999999999993</v>
      </c>
    </row>
    <row r="137" spans="1:7" ht="19.5" customHeight="1">
      <c r="A137" s="94" t="s">
        <v>10</v>
      </c>
      <c r="B137" s="95" t="s">
        <v>181</v>
      </c>
      <c r="C137" s="99">
        <v>160.82</v>
      </c>
      <c r="D137" s="97" t="s">
        <v>180</v>
      </c>
      <c r="E137" s="98">
        <f>C137</f>
        <v>160.82</v>
      </c>
      <c r="F137" s="97" t="s">
        <v>12</v>
      </c>
      <c r="G137" s="83">
        <f>E137*$G$95</f>
        <v>8845.1</v>
      </c>
    </row>
    <row r="138" spans="1:7" ht="19.5" customHeight="1">
      <c r="A138" s="94" t="s">
        <v>7</v>
      </c>
      <c r="B138" s="95" t="s">
        <v>187</v>
      </c>
      <c r="C138" s="96">
        <v>1.84</v>
      </c>
      <c r="D138" s="97" t="s">
        <v>180</v>
      </c>
      <c r="E138" s="98">
        <f>C138</f>
        <v>1.84</v>
      </c>
      <c r="F138" s="97" t="s">
        <v>14</v>
      </c>
      <c r="G138" s="83">
        <f>E138*$G$95</f>
        <v>101.2</v>
      </c>
    </row>
    <row r="139" spans="1:7" ht="19.5" customHeight="1">
      <c r="A139" s="94" t="s">
        <v>8</v>
      </c>
      <c r="B139" s="95" t="s">
        <v>183</v>
      </c>
      <c r="C139" s="96">
        <v>0.32</v>
      </c>
      <c r="D139" s="97" t="s">
        <v>180</v>
      </c>
      <c r="E139" s="98">
        <f>C139</f>
        <v>0.32</v>
      </c>
      <c r="F139" s="97" t="s">
        <v>14</v>
      </c>
      <c r="G139" s="83">
        <f>E139*$G$95</f>
        <v>17.600000000000001</v>
      </c>
    </row>
    <row r="140" spans="1:7" ht="24.95" customHeight="1">
      <c r="A140" s="94" t="s">
        <v>31</v>
      </c>
      <c r="B140" s="95" t="s">
        <v>210</v>
      </c>
      <c r="C140" s="101">
        <v>2</v>
      </c>
      <c r="D140" s="97" t="s">
        <v>180</v>
      </c>
      <c r="E140" s="98">
        <f>C140</f>
        <v>2</v>
      </c>
      <c r="F140" s="116" t="s">
        <v>401</v>
      </c>
    </row>
    <row r="141" spans="1:7" ht="24.95" customHeight="1">
      <c r="A141" s="94"/>
      <c r="B141" s="95"/>
      <c r="C141" s="101"/>
      <c r="D141" s="97"/>
      <c r="E141" s="98"/>
      <c r="F141" s="123"/>
    </row>
    <row r="142" spans="1:7" ht="28.5" customHeight="1">
      <c r="A142" s="88">
        <v>7</v>
      </c>
      <c r="B142" s="89" t="s">
        <v>211</v>
      </c>
      <c r="C142" s="90" t="s">
        <v>348</v>
      </c>
      <c r="D142" s="91"/>
      <c r="E142" s="92"/>
      <c r="F142" s="93"/>
      <c r="G142" s="83">
        <f>54</f>
        <v>54</v>
      </c>
    </row>
    <row r="143" spans="1:7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>
        <f>C143</f>
        <v>4.8</v>
      </c>
      <c r="F143" s="97" t="s">
        <v>13</v>
      </c>
      <c r="G143" s="96">
        <f>(17.4+23)/2</f>
        <v>20.2</v>
      </c>
    </row>
    <row r="144" spans="1:7" ht="19.5" customHeight="1">
      <c r="A144" s="94" t="s">
        <v>10</v>
      </c>
      <c r="B144" s="95" t="s">
        <v>181</v>
      </c>
      <c r="C144" s="99">
        <v>32.76</v>
      </c>
      <c r="D144" s="97" t="s">
        <v>180</v>
      </c>
      <c r="E144" s="98">
        <f>C144</f>
        <v>32.76</v>
      </c>
      <c r="F144" s="97" t="s">
        <v>12</v>
      </c>
      <c r="G144" s="99">
        <f>(367.08+404.52)/2</f>
        <v>385.79999999999995</v>
      </c>
    </row>
    <row r="145" spans="1:7" ht="19.5" customHeight="1">
      <c r="A145" s="94" t="s">
        <v>7</v>
      </c>
      <c r="B145" s="95" t="s">
        <v>182</v>
      </c>
      <c r="C145" s="99">
        <v>47.25</v>
      </c>
      <c r="D145" s="97" t="s">
        <v>180</v>
      </c>
      <c r="E145" s="98">
        <f>C145</f>
        <v>47.25</v>
      </c>
      <c r="F145" s="97" t="s">
        <v>12</v>
      </c>
      <c r="G145" s="99">
        <f>(1434.45+1612.75)/2</f>
        <v>1523.6</v>
      </c>
    </row>
    <row r="146" spans="1:7" ht="19.5" customHeight="1">
      <c r="A146" s="94" t="s">
        <v>8</v>
      </c>
      <c r="B146" s="95" t="s">
        <v>187</v>
      </c>
      <c r="C146" s="96">
        <v>0.8</v>
      </c>
      <c r="D146" s="97" t="s">
        <v>180</v>
      </c>
      <c r="E146" s="98">
        <f>C146</f>
        <v>0.8</v>
      </c>
      <c r="F146" s="97" t="s">
        <v>14</v>
      </c>
      <c r="G146" s="96">
        <f>(10.36+11.76)/2</f>
        <v>11.059999999999999</v>
      </c>
    </row>
    <row r="147" spans="1:7" ht="19.5" customHeight="1">
      <c r="A147" s="94" t="s">
        <v>31</v>
      </c>
      <c r="B147" s="95" t="s">
        <v>183</v>
      </c>
      <c r="C147" s="96">
        <v>0.14000000000000001</v>
      </c>
      <c r="D147" s="97" t="s">
        <v>180</v>
      </c>
      <c r="E147" s="98">
        <f>C147</f>
        <v>0.14000000000000001</v>
      </c>
      <c r="F147" s="97" t="s">
        <v>14</v>
      </c>
      <c r="G147" s="96">
        <v>0.8</v>
      </c>
    </row>
    <row r="148" spans="1:7" ht="24.95" customHeight="1">
      <c r="A148" s="94"/>
      <c r="B148" s="115"/>
      <c r="C148" s="101"/>
      <c r="D148" s="97"/>
      <c r="E148" s="98"/>
      <c r="F148" s="97"/>
      <c r="G148" s="101"/>
    </row>
    <row r="149" spans="1:7" ht="28.5" customHeight="1">
      <c r="A149" s="88">
        <v>8</v>
      </c>
      <c r="B149" s="89" t="s">
        <v>473</v>
      </c>
      <c r="C149" s="90" t="s">
        <v>357</v>
      </c>
      <c r="D149" s="91"/>
      <c r="E149" s="92"/>
      <c r="F149" s="93"/>
      <c r="G149" s="83">
        <f>365*2-40*2-15*2-49</f>
        <v>571</v>
      </c>
    </row>
    <row r="150" spans="1:7" ht="19.5" customHeight="1">
      <c r="A150" s="94" t="s">
        <v>9</v>
      </c>
      <c r="B150" s="113" t="s">
        <v>193</v>
      </c>
      <c r="C150" s="96">
        <v>1.98</v>
      </c>
      <c r="D150" s="97" t="s">
        <v>180</v>
      </c>
      <c r="E150" s="98">
        <f>C150</f>
        <v>1.98</v>
      </c>
      <c r="F150" s="97" t="s">
        <v>13</v>
      </c>
      <c r="G150" s="96">
        <f>(17.4+23)/2</f>
        <v>20.2</v>
      </c>
    </row>
    <row r="151" spans="1:7" ht="19.5" customHeight="1">
      <c r="A151" s="94" t="s">
        <v>10</v>
      </c>
      <c r="B151" s="95" t="s">
        <v>181</v>
      </c>
      <c r="C151" s="99">
        <v>9.24</v>
      </c>
      <c r="D151" s="97" t="s">
        <v>180</v>
      </c>
      <c r="E151" s="98">
        <f>C151</f>
        <v>9.24</v>
      </c>
      <c r="F151" s="97" t="s">
        <v>12</v>
      </c>
      <c r="G151" s="99">
        <f>(367.08+404.52)/2</f>
        <v>385.79999999999995</v>
      </c>
    </row>
    <row r="152" spans="1:7" ht="19.5" customHeight="1">
      <c r="A152" s="94" t="s">
        <v>7</v>
      </c>
      <c r="B152" s="95" t="s">
        <v>187</v>
      </c>
      <c r="C152" s="96">
        <v>0.22</v>
      </c>
      <c r="D152" s="97" t="s">
        <v>180</v>
      </c>
      <c r="E152" s="98">
        <f>C152</f>
        <v>0.22</v>
      </c>
      <c r="F152" s="97" t="s">
        <v>14</v>
      </c>
      <c r="G152" s="96">
        <f>(10.36+11.76)/2</f>
        <v>11.059999999999999</v>
      </c>
    </row>
    <row r="153" spans="1:7" ht="19.5" customHeight="1">
      <c r="A153" s="94" t="s">
        <v>8</v>
      </c>
      <c r="B153" s="120" t="s">
        <v>232</v>
      </c>
      <c r="C153" s="96">
        <v>0.2</v>
      </c>
      <c r="D153" s="97" t="s">
        <v>180</v>
      </c>
      <c r="E153" s="98">
        <f>C153</f>
        <v>0.2</v>
      </c>
      <c r="F153" s="118" t="s">
        <v>79</v>
      </c>
      <c r="G153" s="96"/>
    </row>
    <row r="154" spans="1:7" ht="19.5" customHeight="1">
      <c r="A154" s="94" t="s">
        <v>31</v>
      </c>
      <c r="B154" s="115" t="s">
        <v>257</v>
      </c>
      <c r="C154" s="101" t="s">
        <v>377</v>
      </c>
      <c r="D154" s="97" t="s">
        <v>180</v>
      </c>
      <c r="E154" s="98">
        <v>0.22</v>
      </c>
      <c r="F154" s="97" t="s">
        <v>13</v>
      </c>
    </row>
    <row r="155" spans="1:7" ht="24.95" customHeight="1">
      <c r="A155" s="94"/>
      <c r="B155" s="115"/>
      <c r="C155" s="101"/>
      <c r="D155" s="97"/>
      <c r="E155" s="98"/>
      <c r="F155" s="97"/>
      <c r="G155" s="101"/>
    </row>
    <row r="156" spans="1:7" ht="28.5" customHeight="1">
      <c r="A156" s="88">
        <v>9</v>
      </c>
      <c r="B156" s="89" t="s">
        <v>238</v>
      </c>
      <c r="C156" s="90" t="s">
        <v>358</v>
      </c>
      <c r="D156" s="91"/>
      <c r="E156" s="92"/>
      <c r="F156" s="93"/>
      <c r="G156" s="83">
        <f>365*2-40*2-15*2-49</f>
        <v>571</v>
      </c>
    </row>
    <row r="157" spans="1:7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>
        <f>C157</f>
        <v>1.25</v>
      </c>
      <c r="F157" s="97" t="s">
        <v>13</v>
      </c>
      <c r="G157" s="96">
        <f>(17.4+23)/2</f>
        <v>20.2</v>
      </c>
    </row>
    <row r="158" spans="1:7" ht="19.5" customHeight="1">
      <c r="A158" s="94" t="s">
        <v>10</v>
      </c>
      <c r="B158" s="95" t="s">
        <v>181</v>
      </c>
      <c r="C158" s="99">
        <v>9.24</v>
      </c>
      <c r="D158" s="97" t="s">
        <v>180</v>
      </c>
      <c r="E158" s="98">
        <f>C158</f>
        <v>9.24</v>
      </c>
      <c r="F158" s="97" t="s">
        <v>12</v>
      </c>
      <c r="G158" s="99">
        <f>(367.08+404.52)/2</f>
        <v>385.79999999999995</v>
      </c>
    </row>
    <row r="159" spans="1:7" ht="19.5" customHeight="1">
      <c r="A159" s="94" t="s">
        <v>7</v>
      </c>
      <c r="B159" s="95" t="s">
        <v>187</v>
      </c>
      <c r="C159" s="96">
        <v>0.13</v>
      </c>
      <c r="D159" s="97" t="s">
        <v>180</v>
      </c>
      <c r="E159" s="98">
        <f>C159</f>
        <v>0.13</v>
      </c>
      <c r="F159" s="97" t="s">
        <v>14</v>
      </c>
      <c r="G159" s="96">
        <f>(10.36+11.76)/2</f>
        <v>11.059999999999999</v>
      </c>
    </row>
    <row r="160" spans="1:7" ht="19.5" customHeight="1">
      <c r="A160" s="94" t="s">
        <v>8</v>
      </c>
      <c r="B160" s="100" t="s">
        <v>255</v>
      </c>
      <c r="C160" s="96">
        <v>1</v>
      </c>
      <c r="D160" s="97" t="s">
        <v>180</v>
      </c>
      <c r="E160" s="98">
        <f>C160</f>
        <v>1</v>
      </c>
      <c r="F160" s="102" t="s">
        <v>252</v>
      </c>
      <c r="G160" s="96"/>
    </row>
    <row r="161" spans="1:7" ht="19.5" customHeight="1">
      <c r="A161" s="94"/>
      <c r="B161" s="120"/>
      <c r="C161" s="96"/>
      <c r="D161" s="97"/>
      <c r="E161" s="98"/>
      <c r="F161" s="118"/>
      <c r="G161" s="96"/>
    </row>
    <row r="162" spans="1:7" ht="28.5" customHeight="1">
      <c r="A162" s="88">
        <v>10</v>
      </c>
      <c r="B162" s="89" t="s">
        <v>214</v>
      </c>
      <c r="C162" s="90" t="s">
        <v>349</v>
      </c>
      <c r="D162" s="91"/>
      <c r="E162" s="92"/>
      <c r="F162" s="93"/>
      <c r="G162" s="83">
        <f>365*2-40*2-15*2-49</f>
        <v>571</v>
      </c>
    </row>
    <row r="163" spans="1:7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>
        <f>C163</f>
        <v>18</v>
      </c>
      <c r="F163" s="97" t="s">
        <v>13</v>
      </c>
      <c r="G163" s="96">
        <f>(17.4+23)/2</f>
        <v>20.2</v>
      </c>
    </row>
    <row r="164" spans="1:7" ht="19.5" customHeight="1">
      <c r="A164" s="94" t="s">
        <v>10</v>
      </c>
      <c r="B164" s="95" t="s">
        <v>181</v>
      </c>
      <c r="C164" s="99">
        <v>12.4</v>
      </c>
      <c r="D164" s="97" t="s">
        <v>180</v>
      </c>
      <c r="E164" s="98">
        <f>C164</f>
        <v>12.4</v>
      </c>
      <c r="F164" s="97" t="s">
        <v>12</v>
      </c>
      <c r="G164" s="99">
        <f>(367.08+404.52)/2</f>
        <v>385.79999999999995</v>
      </c>
    </row>
    <row r="165" spans="1:7" ht="19.5" customHeight="1">
      <c r="A165" s="94" t="s">
        <v>7</v>
      </c>
      <c r="B165" s="95" t="s">
        <v>187</v>
      </c>
      <c r="C165" s="96">
        <v>4.68</v>
      </c>
      <c r="D165" s="97" t="s">
        <v>180</v>
      </c>
      <c r="E165" s="98">
        <f>C165</f>
        <v>4.68</v>
      </c>
      <c r="F165" s="97" t="s">
        <v>14</v>
      </c>
      <c r="G165" s="96">
        <f>(10.36+11.76)/2</f>
        <v>11.059999999999999</v>
      </c>
    </row>
    <row r="166" spans="1:7" ht="19.5" customHeight="1">
      <c r="A166" s="94" t="s">
        <v>8</v>
      </c>
      <c r="B166" s="115" t="s">
        <v>215</v>
      </c>
      <c r="C166" s="96">
        <v>7</v>
      </c>
      <c r="D166" s="97" t="s">
        <v>180</v>
      </c>
      <c r="E166" s="98">
        <f>C166</f>
        <v>7</v>
      </c>
      <c r="F166" s="97" t="s">
        <v>57</v>
      </c>
      <c r="G166" s="96"/>
    </row>
    <row r="167" spans="1:7" ht="24.95" customHeight="1">
      <c r="A167" s="94"/>
      <c r="B167" s="115"/>
      <c r="C167" s="101"/>
      <c r="D167" s="97"/>
      <c r="E167" s="98"/>
      <c r="F167" s="97"/>
      <c r="G167" s="101"/>
    </row>
    <row r="168" spans="1:7" ht="28.5" customHeight="1">
      <c r="A168" s="88">
        <v>11</v>
      </c>
      <c r="B168" s="208" t="s">
        <v>474</v>
      </c>
      <c r="C168" s="90" t="s">
        <v>317</v>
      </c>
      <c r="D168" s="91"/>
      <c r="E168" s="92"/>
      <c r="F168" s="93"/>
    </row>
    <row r="169" spans="1:7" ht="19.5" customHeight="1">
      <c r="A169" s="94" t="s">
        <v>9</v>
      </c>
      <c r="B169" s="95" t="s">
        <v>179</v>
      </c>
      <c r="C169" s="96" t="s">
        <v>489</v>
      </c>
      <c r="D169" s="97" t="s">
        <v>180</v>
      </c>
      <c r="E169" s="98">
        <f>G169</f>
        <v>230.38000000000002</v>
      </c>
      <c r="F169" s="97" t="s">
        <v>13</v>
      </c>
      <c r="G169" s="96">
        <f>5.72+3.68*57+2.6+12.3</f>
        <v>230.38000000000002</v>
      </c>
    </row>
    <row r="170" spans="1:7" ht="19.5" customHeight="1">
      <c r="A170" s="94" t="s">
        <v>10</v>
      </c>
      <c r="B170" s="95" t="s">
        <v>181</v>
      </c>
      <c r="C170" s="99" t="s">
        <v>490</v>
      </c>
      <c r="D170" s="97" t="s">
        <v>180</v>
      </c>
      <c r="E170" s="98">
        <f>G170</f>
        <v>340.04999999999995</v>
      </c>
      <c r="F170" s="97" t="s">
        <v>12</v>
      </c>
      <c r="G170" s="99">
        <f>16.2+4.97*57+40.56</f>
        <v>340.04999999999995</v>
      </c>
    </row>
    <row r="171" spans="1:7" ht="19.5" customHeight="1">
      <c r="A171" s="94" t="s">
        <v>7</v>
      </c>
      <c r="B171" s="95" t="s">
        <v>187</v>
      </c>
      <c r="C171" s="96" t="s">
        <v>491</v>
      </c>
      <c r="D171" s="97" t="s">
        <v>180</v>
      </c>
      <c r="E171" s="98">
        <f>G171</f>
        <v>44.349999999999994</v>
      </c>
      <c r="F171" s="97" t="s">
        <v>14</v>
      </c>
      <c r="G171" s="96">
        <f>1.28+0.74*57+0.16+0.73</f>
        <v>44.349999999999994</v>
      </c>
    </row>
    <row r="172" spans="1:7" ht="19.5" customHeight="1">
      <c r="A172" s="94" t="s">
        <v>8</v>
      </c>
      <c r="B172" s="115" t="s">
        <v>216</v>
      </c>
      <c r="C172" s="96" t="s">
        <v>492</v>
      </c>
      <c r="D172" s="97" t="s">
        <v>180</v>
      </c>
      <c r="E172" s="98">
        <f>G172</f>
        <v>131.35</v>
      </c>
      <c r="F172" s="97" t="s">
        <v>57</v>
      </c>
      <c r="G172" s="96">
        <f>3.67+2.24*57</f>
        <v>131.35</v>
      </c>
    </row>
    <row r="173" spans="1:7" ht="24.95" customHeight="1">
      <c r="A173" s="94"/>
      <c r="B173" s="115"/>
      <c r="C173" s="101"/>
      <c r="D173" s="97"/>
      <c r="E173" s="98"/>
      <c r="F173" s="97"/>
      <c r="G173" s="101"/>
    </row>
    <row r="174" spans="1:7" ht="28.5" customHeight="1">
      <c r="A174" s="88">
        <v>12</v>
      </c>
      <c r="B174" s="208" t="s">
        <v>475</v>
      </c>
      <c r="C174" s="90" t="s">
        <v>212</v>
      </c>
      <c r="D174" s="91"/>
      <c r="E174" s="92"/>
      <c r="F174" s="93"/>
    </row>
    <row r="175" spans="1:7" ht="19.5" customHeight="1">
      <c r="A175" s="94" t="s">
        <v>9</v>
      </c>
      <c r="B175" s="95" t="s">
        <v>179</v>
      </c>
      <c r="C175" s="96" t="s">
        <v>477</v>
      </c>
      <c r="D175" s="97" t="s">
        <v>180</v>
      </c>
      <c r="E175" s="98">
        <f t="shared" ref="E175:E180" si="8">G175</f>
        <v>497.42500000000001</v>
      </c>
      <c r="F175" s="97" t="s">
        <v>13</v>
      </c>
      <c r="G175" s="96">
        <f>23.86*5+13.23*25.5+39.52+1.24</f>
        <v>497.42500000000001</v>
      </c>
    </row>
    <row r="176" spans="1:7" ht="19.5" customHeight="1">
      <c r="A176" s="94" t="s">
        <v>10</v>
      </c>
      <c r="B176" s="95" t="s">
        <v>181</v>
      </c>
      <c r="C176" s="99" t="s">
        <v>478</v>
      </c>
      <c r="D176" s="97" t="s">
        <v>180</v>
      </c>
      <c r="E176" s="98">
        <f t="shared" si="8"/>
        <v>4553.53</v>
      </c>
      <c r="F176" s="97" t="s">
        <v>12</v>
      </c>
      <c r="G176" s="99">
        <f>164.01*5+116.3*25.5+767.83</f>
        <v>4553.53</v>
      </c>
    </row>
    <row r="177" spans="1:7" ht="19.5" customHeight="1">
      <c r="A177" s="94" t="s">
        <v>7</v>
      </c>
      <c r="B177" s="95" t="s">
        <v>182</v>
      </c>
      <c r="C177" s="99" t="s">
        <v>479</v>
      </c>
      <c r="D177" s="97" t="s">
        <v>180</v>
      </c>
      <c r="E177" s="98">
        <f t="shared" si="8"/>
        <v>11910.014999999999</v>
      </c>
      <c r="F177" s="97" t="s">
        <v>12</v>
      </c>
      <c r="G177" s="99">
        <f>514.74*5+366.13*25.5</f>
        <v>11910.014999999999</v>
      </c>
    </row>
    <row r="178" spans="1:7" ht="19.5" customHeight="1">
      <c r="A178" s="94" t="s">
        <v>354</v>
      </c>
      <c r="B178" s="95" t="s">
        <v>187</v>
      </c>
      <c r="C178" s="96" t="s">
        <v>480</v>
      </c>
      <c r="D178" s="97" t="s">
        <v>180</v>
      </c>
      <c r="E178" s="98">
        <f t="shared" si="8"/>
        <v>274.54499999999996</v>
      </c>
      <c r="F178" s="97" t="s">
        <v>14</v>
      </c>
      <c r="G178" s="96">
        <f>11.75*5+8.07*25.5+9.88+0.13</f>
        <v>274.54499999999996</v>
      </c>
    </row>
    <row r="179" spans="1:7" ht="19.5" customHeight="1">
      <c r="A179" s="94" t="s">
        <v>355</v>
      </c>
      <c r="B179" s="95" t="s">
        <v>183</v>
      </c>
      <c r="C179" s="96" t="s">
        <v>481</v>
      </c>
      <c r="D179" s="97" t="s">
        <v>180</v>
      </c>
      <c r="E179" s="98">
        <f t="shared" si="8"/>
        <v>15.86</v>
      </c>
      <c r="F179" s="97" t="s">
        <v>14</v>
      </c>
      <c r="G179" s="96">
        <f>0.52*5+0.52*25.5</f>
        <v>15.86</v>
      </c>
    </row>
    <row r="180" spans="1:7" ht="19.5" customHeight="1">
      <c r="A180" s="94" t="s">
        <v>356</v>
      </c>
      <c r="B180" s="115" t="s">
        <v>216</v>
      </c>
      <c r="C180" s="96" t="s">
        <v>482</v>
      </c>
      <c r="D180" s="97" t="s">
        <v>180</v>
      </c>
      <c r="E180" s="98">
        <f t="shared" si="8"/>
        <v>471.86500000000001</v>
      </c>
      <c r="F180" s="97" t="s">
        <v>57</v>
      </c>
      <c r="G180" s="96">
        <f>19.76*5+14.63*25.5</f>
        <v>471.86500000000001</v>
      </c>
    </row>
    <row r="181" spans="1:7" ht="24.95" customHeight="1">
      <c r="A181" s="94"/>
      <c r="B181" s="115"/>
      <c r="C181" s="101"/>
      <c r="D181" s="97"/>
      <c r="E181" s="98"/>
      <c r="F181" s="97"/>
      <c r="G181" s="101"/>
    </row>
    <row r="182" spans="1:7" ht="28.5" customHeight="1">
      <c r="A182" s="88">
        <v>13</v>
      </c>
      <c r="B182" s="208" t="s">
        <v>476</v>
      </c>
      <c r="C182" s="90" t="s">
        <v>318</v>
      </c>
      <c r="D182" s="91"/>
      <c r="E182" s="92"/>
      <c r="F182" s="93"/>
    </row>
    <row r="183" spans="1:7" ht="19.5" customHeight="1">
      <c r="A183" s="94" t="s">
        <v>9</v>
      </c>
      <c r="B183" s="95" t="s">
        <v>179</v>
      </c>
      <c r="C183" s="96" t="s">
        <v>483</v>
      </c>
      <c r="D183" s="97" t="s">
        <v>180</v>
      </c>
      <c r="E183" s="98">
        <f t="shared" ref="E183:E188" si="9">G183</f>
        <v>387.59999999999997</v>
      </c>
      <c r="F183" s="97" t="s">
        <v>13</v>
      </c>
      <c r="G183" s="96">
        <f>21.04*5+13*21.5+2.9</f>
        <v>387.59999999999997</v>
      </c>
    </row>
    <row r="184" spans="1:7" ht="19.5" customHeight="1">
      <c r="A184" s="94" t="s">
        <v>10</v>
      </c>
      <c r="B184" s="95" t="s">
        <v>181</v>
      </c>
      <c r="C184" s="99" t="s">
        <v>484</v>
      </c>
      <c r="D184" s="97" t="s">
        <v>180</v>
      </c>
      <c r="E184" s="98">
        <f t="shared" si="9"/>
        <v>3089.9250000000002</v>
      </c>
      <c r="F184" s="97" t="s">
        <v>12</v>
      </c>
      <c r="G184" s="99">
        <f>152.08*5+108.35*21.5</f>
        <v>3089.9250000000002</v>
      </c>
    </row>
    <row r="185" spans="1:7" ht="19.5" customHeight="1">
      <c r="A185" s="94" t="s">
        <v>7</v>
      </c>
      <c r="B185" s="95" t="s">
        <v>182</v>
      </c>
      <c r="C185" s="99" t="s">
        <v>485</v>
      </c>
      <c r="D185" s="97" t="s">
        <v>180</v>
      </c>
      <c r="E185" s="98">
        <f t="shared" si="9"/>
        <v>8515.68</v>
      </c>
      <c r="F185" s="97" t="s">
        <v>12</v>
      </c>
      <c r="G185" s="99">
        <f>406.6*5+301.52*21.5</f>
        <v>8515.68</v>
      </c>
    </row>
    <row r="186" spans="1:7" ht="19.5" customHeight="1">
      <c r="A186" s="94" t="s">
        <v>354</v>
      </c>
      <c r="B186" s="95" t="s">
        <v>187</v>
      </c>
      <c r="C186" s="96" t="s">
        <v>486</v>
      </c>
      <c r="D186" s="97" t="s">
        <v>180</v>
      </c>
      <c r="E186" s="98">
        <f t="shared" si="9"/>
        <v>173.64499999999998</v>
      </c>
      <c r="F186" s="97" t="s">
        <v>14</v>
      </c>
      <c r="G186" s="96">
        <f>9*5+5.97*21.5+0.29</f>
        <v>173.64499999999998</v>
      </c>
    </row>
    <row r="187" spans="1:7" ht="19.5" customHeight="1">
      <c r="A187" s="94" t="s">
        <v>355</v>
      </c>
      <c r="B187" s="95" t="s">
        <v>183</v>
      </c>
      <c r="C187" s="96" t="s">
        <v>487</v>
      </c>
      <c r="D187" s="97" t="s">
        <v>180</v>
      </c>
      <c r="E187" s="98">
        <f t="shared" si="9"/>
        <v>13.78</v>
      </c>
      <c r="F187" s="97" t="s">
        <v>14</v>
      </c>
      <c r="G187" s="96">
        <f>0.52*5+0.52*21.5</f>
        <v>13.78</v>
      </c>
    </row>
    <row r="188" spans="1:7" ht="19.5" customHeight="1">
      <c r="A188" s="94" t="s">
        <v>356</v>
      </c>
      <c r="B188" s="115" t="s">
        <v>216</v>
      </c>
      <c r="C188" s="96" t="s">
        <v>488</v>
      </c>
      <c r="D188" s="97" t="s">
        <v>180</v>
      </c>
      <c r="E188" s="98">
        <f t="shared" si="9"/>
        <v>297.04000000000002</v>
      </c>
      <c r="F188" s="97" t="s">
        <v>57</v>
      </c>
      <c r="G188" s="96">
        <f>17.87*5+9.66*21.5</f>
        <v>297.04000000000002</v>
      </c>
    </row>
    <row r="189" spans="1:7" ht="25.5" customHeight="1">
      <c r="A189" s="94"/>
      <c r="B189" s="95"/>
      <c r="C189" s="104"/>
      <c r="D189" s="97"/>
      <c r="E189" s="98"/>
      <c r="F189" s="103"/>
    </row>
    <row r="190" spans="1:7" ht="28.5" customHeight="1">
      <c r="A190" s="88">
        <v>14</v>
      </c>
      <c r="B190" s="208" t="s">
        <v>436</v>
      </c>
      <c r="C190" s="90" t="s">
        <v>212</v>
      </c>
      <c r="D190" s="91"/>
      <c r="E190" s="92"/>
      <c r="F190" s="93"/>
    </row>
    <row r="191" spans="1:7" ht="19.5" customHeight="1">
      <c r="A191" s="94" t="s">
        <v>9</v>
      </c>
      <c r="B191" s="95" t="s">
        <v>179</v>
      </c>
      <c r="C191" s="96" t="s">
        <v>494</v>
      </c>
      <c r="D191" s="97" t="s">
        <v>180</v>
      </c>
      <c r="E191" s="98">
        <f>G191</f>
        <v>40.86</v>
      </c>
      <c r="F191" s="97" t="s">
        <v>13</v>
      </c>
      <c r="G191" s="96">
        <f>5.72+3.68*5.5+2.6+12.3</f>
        <v>40.86</v>
      </c>
    </row>
    <row r="192" spans="1:7" ht="19.5" customHeight="1">
      <c r="A192" s="94" t="s">
        <v>10</v>
      </c>
      <c r="B192" s="95" t="s">
        <v>181</v>
      </c>
      <c r="C192" s="99" t="s">
        <v>495</v>
      </c>
      <c r="D192" s="97" t="s">
        <v>180</v>
      </c>
      <c r="E192" s="98">
        <f>G192</f>
        <v>84.094999999999999</v>
      </c>
      <c r="F192" s="97" t="s">
        <v>12</v>
      </c>
      <c r="G192" s="99">
        <f>16.2+4.97*5.5+40.56</f>
        <v>84.094999999999999</v>
      </c>
    </row>
    <row r="193" spans="1:7" ht="19.5" customHeight="1">
      <c r="A193" s="94" t="s">
        <v>7</v>
      </c>
      <c r="B193" s="95" t="s">
        <v>187</v>
      </c>
      <c r="C193" s="96" t="s">
        <v>496</v>
      </c>
      <c r="D193" s="97" t="s">
        <v>180</v>
      </c>
      <c r="E193" s="98">
        <f>G193</f>
        <v>6.24</v>
      </c>
      <c r="F193" s="97" t="s">
        <v>14</v>
      </c>
      <c r="G193" s="96">
        <f>1.28+0.74*5.5+0.16+0.73</f>
        <v>6.24</v>
      </c>
    </row>
    <row r="194" spans="1:7" ht="19.5" customHeight="1">
      <c r="A194" s="94" t="s">
        <v>8</v>
      </c>
      <c r="B194" s="115" t="s">
        <v>216</v>
      </c>
      <c r="C194" s="96" t="s">
        <v>493</v>
      </c>
      <c r="D194" s="97" t="s">
        <v>180</v>
      </c>
      <c r="E194" s="98">
        <f>G194</f>
        <v>15.99</v>
      </c>
      <c r="F194" s="97" t="s">
        <v>57</v>
      </c>
      <c r="G194" s="96">
        <f>3.67+2.24*5.5</f>
        <v>15.99</v>
      </c>
    </row>
    <row r="195" spans="1:7" ht="24.95" customHeight="1">
      <c r="A195" s="94"/>
      <c r="B195" s="115"/>
      <c r="C195" s="101"/>
      <c r="D195" s="97"/>
      <c r="E195" s="98"/>
      <c r="F195" s="97"/>
      <c r="G195" s="101"/>
    </row>
    <row r="196" spans="1:7" ht="28.5" customHeight="1">
      <c r="A196" s="88">
        <v>15</v>
      </c>
      <c r="B196" s="208" t="s">
        <v>439</v>
      </c>
      <c r="C196" s="90" t="s">
        <v>441</v>
      </c>
      <c r="D196" s="91"/>
      <c r="E196" s="92"/>
      <c r="F196" s="93"/>
    </row>
    <row r="197" spans="1:7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>
        <f>C197</f>
        <v>2</v>
      </c>
      <c r="F197" s="97" t="s">
        <v>13</v>
      </c>
      <c r="G197" s="96">
        <f>3.68*6.5+2.6+12.3</f>
        <v>38.820000000000007</v>
      </c>
    </row>
    <row r="198" spans="1:7" ht="19.5" customHeight="1">
      <c r="A198" s="94" t="s">
        <v>10</v>
      </c>
      <c r="B198" s="95" t="s">
        <v>181</v>
      </c>
      <c r="C198" s="99">
        <v>12.77</v>
      </c>
      <c r="D198" s="97" t="s">
        <v>180</v>
      </c>
      <c r="E198" s="98">
        <f>C198</f>
        <v>12.77</v>
      </c>
      <c r="F198" s="97" t="s">
        <v>12</v>
      </c>
      <c r="G198" s="99">
        <f>4.97*6.5+63.42</f>
        <v>95.724999999999994</v>
      </c>
    </row>
    <row r="199" spans="1:7" ht="19.5" customHeight="1">
      <c r="A199" s="94" t="s">
        <v>7</v>
      </c>
      <c r="B199" s="95" t="s">
        <v>187</v>
      </c>
      <c r="C199" s="96">
        <v>0.3</v>
      </c>
      <c r="D199" s="97" t="s">
        <v>180</v>
      </c>
      <c r="E199" s="98">
        <f>C199</f>
        <v>0.3</v>
      </c>
      <c r="F199" s="97" t="s">
        <v>14</v>
      </c>
      <c r="G199" s="96">
        <f>0.89*6.5+0.26+1.23</f>
        <v>7.2750000000000004</v>
      </c>
    </row>
    <row r="200" spans="1:7" ht="24.95" customHeight="1">
      <c r="A200" s="94"/>
      <c r="B200" s="115"/>
      <c r="C200" s="101"/>
      <c r="D200" s="97"/>
      <c r="E200" s="98"/>
      <c r="F200" s="97"/>
      <c r="G200" s="101"/>
    </row>
    <row r="201" spans="1:7" ht="28.5" customHeight="1">
      <c r="A201" s="88">
        <v>16</v>
      </c>
      <c r="B201" s="208" t="s">
        <v>438</v>
      </c>
      <c r="C201" s="90" t="s">
        <v>440</v>
      </c>
      <c r="D201" s="91"/>
      <c r="E201" s="92"/>
      <c r="F201" s="93"/>
    </row>
    <row r="202" spans="1:7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>
        <f>C202</f>
        <v>2</v>
      </c>
      <c r="F202" s="97" t="s">
        <v>13</v>
      </c>
      <c r="G202" s="96">
        <f>3.68*6.5+2.6+12.3</f>
        <v>38.820000000000007</v>
      </c>
    </row>
    <row r="203" spans="1:7" ht="19.5" customHeight="1">
      <c r="A203" s="94" t="s">
        <v>10</v>
      </c>
      <c r="B203" s="95" t="s">
        <v>181</v>
      </c>
      <c r="C203" s="99">
        <v>12.77</v>
      </c>
      <c r="D203" s="97" t="s">
        <v>180</v>
      </c>
      <c r="E203" s="98">
        <f>C203</f>
        <v>12.77</v>
      </c>
      <c r="F203" s="97" t="s">
        <v>12</v>
      </c>
      <c r="G203" s="99">
        <f>4.97*6.5+63.42</f>
        <v>95.724999999999994</v>
      </c>
    </row>
    <row r="204" spans="1:7" ht="19.5" customHeight="1">
      <c r="A204" s="94" t="s">
        <v>7</v>
      </c>
      <c r="B204" s="95" t="s">
        <v>187</v>
      </c>
      <c r="C204" s="96">
        <v>0.2</v>
      </c>
      <c r="D204" s="97" t="s">
        <v>180</v>
      </c>
      <c r="E204" s="98">
        <f>C204</f>
        <v>0.2</v>
      </c>
      <c r="F204" s="97" t="s">
        <v>14</v>
      </c>
      <c r="G204" s="96">
        <f>0.89*6.5+0.26+1.23</f>
        <v>7.2750000000000004</v>
      </c>
    </row>
    <row r="205" spans="1:7" ht="24.95" customHeight="1">
      <c r="A205" s="94"/>
      <c r="B205" s="115"/>
      <c r="C205" s="101"/>
      <c r="D205" s="97"/>
      <c r="E205" s="98"/>
      <c r="F205" s="97"/>
      <c r="G205" s="101"/>
    </row>
    <row r="206" spans="1:7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65" t="str">
        <f>數量計算總表!A1</f>
        <v>OOO單位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</row>
    <row r="2" spans="1:14" s="56" customFormat="1" ht="30" customHeight="1">
      <c r="A2" s="267" t="s">
        <v>158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</row>
    <row r="3" spans="1:14" s="58" customFormat="1" ht="34.15" customHeight="1" thickBot="1">
      <c r="A3" s="57"/>
      <c r="B3" s="57"/>
      <c r="C3" s="269" t="str">
        <f>數量計算總表!A4</f>
        <v>工程名稱：OOOO工程</v>
      </c>
      <c r="D3" s="270"/>
      <c r="E3" s="270"/>
      <c r="F3" s="270"/>
      <c r="G3" s="270"/>
      <c r="H3" s="270"/>
      <c r="I3" s="270"/>
      <c r="J3" s="270"/>
      <c r="K3" s="270"/>
      <c r="L3" s="271"/>
      <c r="M3" s="271"/>
      <c r="N3" s="57"/>
    </row>
    <row r="4" spans="1:14" ht="24.95" customHeight="1">
      <c r="A4" s="59"/>
      <c r="B4" s="272" t="s">
        <v>159</v>
      </c>
      <c r="C4" s="273"/>
      <c r="D4" s="273"/>
      <c r="E4" s="274"/>
      <c r="F4" s="281" t="s">
        <v>160</v>
      </c>
      <c r="G4" s="274"/>
      <c r="H4" s="283" t="s">
        <v>161</v>
      </c>
      <c r="I4" s="284"/>
      <c r="J4" s="285"/>
      <c r="K4" s="283" t="s">
        <v>162</v>
      </c>
      <c r="L4" s="284"/>
      <c r="M4" s="286"/>
      <c r="N4" s="59"/>
    </row>
    <row r="5" spans="1:14" ht="24.95" customHeight="1">
      <c r="A5" s="59"/>
      <c r="B5" s="275"/>
      <c r="C5" s="276"/>
      <c r="D5" s="276"/>
      <c r="E5" s="277"/>
      <c r="F5" s="282"/>
      <c r="G5" s="277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78"/>
      <c r="C6" s="279"/>
      <c r="D6" s="279"/>
      <c r="E6" s="280"/>
      <c r="F6" s="287" t="s">
        <v>11</v>
      </c>
      <c r="G6" s="280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62" t="s">
        <v>169</v>
      </c>
      <c r="C7" s="263"/>
      <c r="D7" s="263"/>
      <c r="E7" s="263"/>
      <c r="F7" s="263"/>
      <c r="G7" s="263"/>
      <c r="H7" s="263"/>
      <c r="I7" s="263"/>
      <c r="J7" s="263"/>
      <c r="K7" s="263"/>
      <c r="L7" s="263"/>
      <c r="M7" s="264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55"/>
      <c r="G8" s="256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55">
        <f t="shared" ref="F9:F14" si="1">D9-D8</f>
        <v>20</v>
      </c>
      <c r="G9" s="256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55">
        <f t="shared" si="1"/>
        <v>20</v>
      </c>
      <c r="G10" s="256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55">
        <f t="shared" si="1"/>
        <v>3</v>
      </c>
      <c r="G11" s="256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55">
        <f t="shared" si="1"/>
        <v>0</v>
      </c>
      <c r="G12" s="256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55">
        <f t="shared" si="1"/>
        <v>17</v>
      </c>
      <c r="G13" s="256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55">
        <f t="shared" si="1"/>
        <v>20</v>
      </c>
      <c r="G14" s="256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55">
        <f>D15-D14</f>
        <v>20</v>
      </c>
      <c r="G15" s="256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55">
        <f t="shared" ref="F16:F22" si="5">D16-D15</f>
        <v>1</v>
      </c>
      <c r="G16" s="256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55">
        <f t="shared" si="5"/>
        <v>0</v>
      </c>
      <c r="G17" s="256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55">
        <f t="shared" si="5"/>
        <v>125</v>
      </c>
      <c r="G18" s="256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55">
        <f t="shared" si="5"/>
        <v>0</v>
      </c>
      <c r="G19" s="256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55">
        <f t="shared" si="5"/>
        <v>14</v>
      </c>
      <c r="G20" s="256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55">
        <f t="shared" si="5"/>
        <v>20</v>
      </c>
      <c r="G21" s="256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55">
        <f t="shared" si="5"/>
        <v>14</v>
      </c>
      <c r="G22" s="256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55">
        <f>D23-D22</f>
        <v>0</v>
      </c>
      <c r="G23" s="256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55">
        <f>D24-D23</f>
        <v>6</v>
      </c>
      <c r="G24" s="256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55">
        <f>D25-D24</f>
        <v>20</v>
      </c>
      <c r="G25" s="256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55">
        <f>D26-D25</f>
        <v>20</v>
      </c>
      <c r="G26" s="256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55">
        <f>D27-D26</f>
        <v>5</v>
      </c>
      <c r="G27" s="256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55"/>
      <c r="G28" s="256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55"/>
      <c r="G29" s="256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55"/>
      <c r="G30" s="256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55"/>
      <c r="G31" s="256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55"/>
      <c r="G32" s="256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55"/>
      <c r="G33" s="256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57" t="s">
        <v>233</v>
      </c>
      <c r="C34" s="258"/>
      <c r="D34" s="258"/>
      <c r="E34" s="259"/>
      <c r="F34" s="260"/>
      <c r="G34" s="261"/>
      <c r="H34" s="252">
        <f>ROUND(SUM(J9:J33),2)</f>
        <v>2434.42</v>
      </c>
      <c r="I34" s="253"/>
      <c r="J34" s="254"/>
      <c r="K34" s="252">
        <f>ROUND(SUM(M9:M33),2)</f>
        <v>680.1</v>
      </c>
      <c r="L34" s="253"/>
      <c r="M34" s="254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A1:N1"/>
    <mergeCell ref="A2:N2"/>
    <mergeCell ref="C3:M3"/>
    <mergeCell ref="B4:E6"/>
    <mergeCell ref="F4:G5"/>
    <mergeCell ref="H4:J4"/>
    <mergeCell ref="K4:M4"/>
    <mergeCell ref="F6:G6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K34:M34"/>
    <mergeCell ref="H34:J34"/>
    <mergeCell ref="F31:G31"/>
    <mergeCell ref="F32:G32"/>
    <mergeCell ref="F33:G33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65" t="str">
        <f>數量計算總表!A1</f>
        <v>OOO單位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</row>
    <row r="2" spans="1:14" s="56" customFormat="1" ht="30" customHeight="1">
      <c r="A2" s="267" t="s">
        <v>103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</row>
    <row r="3" spans="1:14" s="58" customFormat="1" ht="34.15" customHeight="1" thickBot="1">
      <c r="A3" s="57"/>
      <c r="B3" s="57"/>
      <c r="C3" s="269" t="str">
        <f>數量計算總表!A4</f>
        <v>工程名稱：OOOO工程</v>
      </c>
      <c r="D3" s="270"/>
      <c r="E3" s="270"/>
      <c r="F3" s="270"/>
      <c r="G3" s="270"/>
      <c r="H3" s="270"/>
      <c r="I3" s="270"/>
      <c r="J3" s="270"/>
      <c r="K3" s="270"/>
      <c r="L3" s="271"/>
      <c r="M3" s="271"/>
      <c r="N3" s="57"/>
    </row>
    <row r="4" spans="1:14" ht="24.95" customHeight="1">
      <c r="A4" s="59"/>
      <c r="B4" s="272" t="s">
        <v>159</v>
      </c>
      <c r="C4" s="273"/>
      <c r="D4" s="273"/>
      <c r="E4" s="274"/>
      <c r="F4" s="281" t="s">
        <v>160</v>
      </c>
      <c r="G4" s="274"/>
      <c r="H4" s="289" t="s">
        <v>392</v>
      </c>
      <c r="I4" s="290"/>
      <c r="J4" s="291"/>
      <c r="K4" s="289" t="s">
        <v>393</v>
      </c>
      <c r="L4" s="290"/>
      <c r="M4" s="291"/>
      <c r="N4" s="59"/>
    </row>
    <row r="5" spans="1:14" ht="24.95" customHeight="1">
      <c r="A5" s="59"/>
      <c r="B5" s="275"/>
      <c r="C5" s="276"/>
      <c r="D5" s="276"/>
      <c r="E5" s="277"/>
      <c r="F5" s="282"/>
      <c r="G5" s="277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78"/>
      <c r="C6" s="279"/>
      <c r="D6" s="279"/>
      <c r="E6" s="280"/>
      <c r="F6" s="287" t="s">
        <v>11</v>
      </c>
      <c r="G6" s="280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288" t="s">
        <v>394</v>
      </c>
      <c r="C7" s="263"/>
      <c r="D7" s="263"/>
      <c r="E7" s="263"/>
      <c r="F7" s="263"/>
      <c r="G7" s="263"/>
      <c r="H7" s="263"/>
      <c r="I7" s="263"/>
      <c r="J7" s="263"/>
      <c r="K7" s="263"/>
      <c r="L7" s="263"/>
      <c r="M7" s="264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55"/>
      <c r="G8" s="256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55">
        <f>D9-D8</f>
        <v>20</v>
      </c>
      <c r="G9" s="256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55">
        <f>D10-D9</f>
        <v>20</v>
      </c>
      <c r="G10" s="256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55">
        <f t="shared" ref="F11:F25" si="0">D11-D10</f>
        <v>3</v>
      </c>
      <c r="G11" s="256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55">
        <f t="shared" si="0"/>
        <v>0</v>
      </c>
      <c r="G12" s="256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55">
        <f t="shared" si="0"/>
        <v>17</v>
      </c>
      <c r="G13" s="256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55">
        <f t="shared" si="0"/>
        <v>20</v>
      </c>
      <c r="G14" s="256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55">
        <f t="shared" si="0"/>
        <v>20</v>
      </c>
      <c r="G15" s="256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55">
        <f t="shared" si="0"/>
        <v>0</v>
      </c>
      <c r="G16" s="256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55">
        <f t="shared" si="0"/>
        <v>126</v>
      </c>
      <c r="G17" s="256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55">
        <f t="shared" si="0"/>
        <v>0</v>
      </c>
      <c r="G18" s="256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55">
        <f t="shared" si="0"/>
        <v>14</v>
      </c>
      <c r="G19" s="256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55">
        <f t="shared" si="0"/>
        <v>20</v>
      </c>
      <c r="G20" s="256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55">
        <f t="shared" si="0"/>
        <v>14</v>
      </c>
      <c r="G21" s="256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55">
        <f t="shared" si="0"/>
        <v>0</v>
      </c>
      <c r="G22" s="256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55">
        <f t="shared" si="0"/>
        <v>26</v>
      </c>
      <c r="G23" s="256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55">
        <f t="shared" si="0"/>
        <v>20</v>
      </c>
      <c r="G24" s="256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55">
        <f t="shared" si="0"/>
        <v>5</v>
      </c>
      <c r="G25" s="256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55"/>
      <c r="G26" s="256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55"/>
      <c r="G27" s="256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55"/>
      <c r="G28" s="256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55"/>
      <c r="G29" s="256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55"/>
      <c r="G30" s="256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57" t="s">
        <v>233</v>
      </c>
      <c r="C31" s="258"/>
      <c r="D31" s="258"/>
      <c r="E31" s="259"/>
      <c r="F31" s="260"/>
      <c r="G31" s="261"/>
      <c r="H31" s="252">
        <f>ROUND(SUM(J9:J30),2)</f>
        <v>2145</v>
      </c>
      <c r="I31" s="253"/>
      <c r="J31" s="254"/>
      <c r="K31" s="252">
        <f>ROUND(SUM(M9:M30),2)</f>
        <v>2145</v>
      </c>
      <c r="L31" s="253"/>
      <c r="M31" s="254"/>
      <c r="N31" s="59"/>
    </row>
    <row r="32" spans="1:14" ht="24.95" customHeight="1">
      <c r="A32" s="59"/>
      <c r="B32" s="272" t="s">
        <v>159</v>
      </c>
      <c r="C32" s="273"/>
      <c r="D32" s="273"/>
      <c r="E32" s="274"/>
      <c r="F32" s="281" t="s">
        <v>160</v>
      </c>
      <c r="G32" s="274"/>
      <c r="H32" s="289" t="s">
        <v>395</v>
      </c>
      <c r="I32" s="290"/>
      <c r="J32" s="291"/>
      <c r="K32" s="289"/>
      <c r="L32" s="290"/>
      <c r="M32" s="291"/>
      <c r="N32" s="59"/>
    </row>
    <row r="33" spans="1:14" ht="24.95" customHeight="1">
      <c r="A33" s="59"/>
      <c r="B33" s="275"/>
      <c r="C33" s="276"/>
      <c r="D33" s="276"/>
      <c r="E33" s="277"/>
      <c r="F33" s="282"/>
      <c r="G33" s="277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78"/>
      <c r="C34" s="279"/>
      <c r="D34" s="279"/>
      <c r="E34" s="280"/>
      <c r="F34" s="287" t="s">
        <v>11</v>
      </c>
      <c r="G34" s="280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288" t="s">
        <v>396</v>
      </c>
      <c r="C35" s="263"/>
      <c r="D35" s="263"/>
      <c r="E35" s="263"/>
      <c r="F35" s="263"/>
      <c r="G35" s="263"/>
      <c r="H35" s="263"/>
      <c r="I35" s="263"/>
      <c r="J35" s="263"/>
      <c r="K35" s="263"/>
      <c r="L35" s="263"/>
      <c r="M35" s="264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55"/>
      <c r="G36" s="256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55">
        <f>D37-D36</f>
        <v>20</v>
      </c>
      <c r="G37" s="256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55">
        <f>D38-D37</f>
        <v>20</v>
      </c>
      <c r="G38" s="256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55">
        <f t="shared" ref="F39:F53" si="6">D39-D38</f>
        <v>3</v>
      </c>
      <c r="G39" s="256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55">
        <f t="shared" si="6"/>
        <v>0</v>
      </c>
      <c r="G40" s="256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55">
        <f t="shared" si="6"/>
        <v>17</v>
      </c>
      <c r="G41" s="256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55">
        <f t="shared" si="6"/>
        <v>20</v>
      </c>
      <c r="G42" s="256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55">
        <f t="shared" si="6"/>
        <v>20</v>
      </c>
      <c r="G43" s="256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55">
        <f t="shared" si="6"/>
        <v>0</v>
      </c>
      <c r="G44" s="256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55">
        <f t="shared" si="6"/>
        <v>126</v>
      </c>
      <c r="G45" s="256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55">
        <f t="shared" si="6"/>
        <v>0</v>
      </c>
      <c r="G46" s="256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55">
        <f t="shared" si="6"/>
        <v>14</v>
      </c>
      <c r="G47" s="256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55">
        <f t="shared" si="6"/>
        <v>20</v>
      </c>
      <c r="G48" s="256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55">
        <f t="shared" si="6"/>
        <v>14</v>
      </c>
      <c r="G49" s="256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55">
        <f t="shared" si="6"/>
        <v>0</v>
      </c>
      <c r="G50" s="256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55">
        <f t="shared" si="6"/>
        <v>26</v>
      </c>
      <c r="G51" s="256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55">
        <f t="shared" si="6"/>
        <v>20</v>
      </c>
      <c r="G52" s="256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55">
        <f t="shared" si="6"/>
        <v>5</v>
      </c>
      <c r="G53" s="256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55"/>
      <c r="G54" s="256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55"/>
      <c r="G55" s="256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55"/>
      <c r="G56" s="256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55"/>
      <c r="G57" s="256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55"/>
      <c r="G58" s="256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57" t="s">
        <v>233</v>
      </c>
      <c r="C59" s="258"/>
      <c r="D59" s="258"/>
      <c r="E59" s="259"/>
      <c r="F59" s="260"/>
      <c r="G59" s="261"/>
      <c r="H59" s="252">
        <f>ROUND(SUM(J37:J58),2)</f>
        <v>620.4</v>
      </c>
      <c r="I59" s="253"/>
      <c r="J59" s="254"/>
      <c r="K59" s="252"/>
      <c r="L59" s="253"/>
      <c r="M59" s="254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  <mergeCell ref="F11:G11"/>
    <mergeCell ref="F12:G12"/>
    <mergeCell ref="F14:G14"/>
    <mergeCell ref="F13:G13"/>
    <mergeCell ref="F15:G15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28:G28"/>
    <mergeCell ref="F29:G29"/>
    <mergeCell ref="F30:G30"/>
    <mergeCell ref="B32:E34"/>
    <mergeCell ref="F32:G33"/>
    <mergeCell ref="F34:G34"/>
    <mergeCell ref="B31:E31"/>
    <mergeCell ref="F31:G31"/>
    <mergeCell ref="B35:M35"/>
    <mergeCell ref="F36:G36"/>
    <mergeCell ref="F37:G37"/>
    <mergeCell ref="F38:G38"/>
    <mergeCell ref="K31:M31"/>
    <mergeCell ref="H32:J32"/>
    <mergeCell ref="K32:M32"/>
    <mergeCell ref="H31:J31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35" t="str">
        <f>數量計算總表!A1</f>
        <v>OOO單位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7"/>
    </row>
    <row r="2" spans="1:14" s="2" customFormat="1" ht="15" customHeight="1"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8"/>
    </row>
    <row r="3" spans="1:14" ht="21.95" customHeight="1">
      <c r="B3" s="237" t="s">
        <v>81</v>
      </c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9"/>
    </row>
    <row r="4" spans="1:14" s="4" customFormat="1" ht="20.100000000000001" customHeight="1" thickBot="1">
      <c r="B4" s="238" t="str">
        <f>數量計算總表!A4</f>
        <v>工程名稱：OOOO工程</v>
      </c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11"/>
    </row>
    <row r="5" spans="1:14" s="4" customFormat="1" ht="20.100000000000001" customHeight="1" thickBot="1">
      <c r="A5" s="183" t="s">
        <v>290</v>
      </c>
      <c r="B5" s="191" t="s">
        <v>281</v>
      </c>
      <c r="C5" s="192"/>
      <c r="D5" s="192"/>
      <c r="E5" s="192"/>
      <c r="F5" s="192"/>
      <c r="G5" s="192"/>
      <c r="H5" s="192"/>
      <c r="I5" s="192"/>
      <c r="J5" s="192"/>
      <c r="K5" s="193"/>
      <c r="L5" s="184"/>
      <c r="M5" s="184"/>
      <c r="N5" s="11"/>
    </row>
    <row r="6" spans="1:14" s="5" customFormat="1" ht="20.100000000000001" customHeight="1" thickBot="1">
      <c r="A6" s="185">
        <v>1</v>
      </c>
      <c r="B6" s="294" t="s">
        <v>278</v>
      </c>
      <c r="C6" s="295"/>
      <c r="D6" s="186" t="s">
        <v>66</v>
      </c>
      <c r="E6" s="296" t="s">
        <v>285</v>
      </c>
      <c r="F6" s="296"/>
      <c r="G6" s="296"/>
      <c r="H6" s="296"/>
      <c r="I6" s="296"/>
      <c r="J6" s="296"/>
      <c r="K6" s="187" t="s">
        <v>66</v>
      </c>
      <c r="L6" s="188">
        <v>3780</v>
      </c>
      <c r="M6" s="189" t="s">
        <v>284</v>
      </c>
      <c r="N6" s="10"/>
    </row>
    <row r="7" spans="1:14" ht="20.100000000000001" customHeight="1" thickBot="1">
      <c r="A7" s="190">
        <v>2</v>
      </c>
      <c r="B7" s="294" t="s">
        <v>279</v>
      </c>
      <c r="C7" s="295"/>
      <c r="D7" s="186" t="s">
        <v>66</v>
      </c>
      <c r="E7" s="293" t="s">
        <v>282</v>
      </c>
      <c r="F7" s="293"/>
      <c r="G7" s="293"/>
      <c r="H7" s="293"/>
      <c r="I7" s="293"/>
      <c r="J7" s="293"/>
      <c r="K7" s="187" t="s">
        <v>66</v>
      </c>
      <c r="L7" s="188">
        <f>(26*2+25*2)</f>
        <v>102</v>
      </c>
      <c r="M7" s="189" t="s">
        <v>283</v>
      </c>
    </row>
    <row r="8" spans="1:14" ht="20.100000000000001" customHeight="1" thickBot="1">
      <c r="A8" s="190">
        <v>3</v>
      </c>
      <c r="B8" s="294" t="s">
        <v>276</v>
      </c>
      <c r="C8" s="295"/>
      <c r="D8" s="186" t="s">
        <v>66</v>
      </c>
      <c r="E8" s="293" t="s">
        <v>286</v>
      </c>
      <c r="F8" s="293"/>
      <c r="G8" s="293"/>
      <c r="H8" s="293"/>
      <c r="I8" s="293"/>
      <c r="J8" s="293"/>
      <c r="K8" s="187" t="s">
        <v>66</v>
      </c>
      <c r="L8" s="188">
        <v>3856</v>
      </c>
      <c r="M8" s="189" t="s">
        <v>67</v>
      </c>
    </row>
    <row r="9" spans="1:14" ht="20.100000000000001" customHeight="1" thickBot="1">
      <c r="A9" s="190">
        <v>4</v>
      </c>
      <c r="B9" s="294" t="s">
        <v>277</v>
      </c>
      <c r="C9" s="295"/>
      <c r="D9" s="186" t="s">
        <v>66</v>
      </c>
      <c r="E9" s="293" t="s">
        <v>287</v>
      </c>
      <c r="F9" s="293"/>
      <c r="G9" s="293"/>
      <c r="H9" s="293"/>
      <c r="I9" s="293"/>
      <c r="J9" s="293"/>
      <c r="K9" s="187" t="s">
        <v>66</v>
      </c>
      <c r="L9" s="188">
        <v>1110</v>
      </c>
      <c r="M9" s="189" t="s">
        <v>284</v>
      </c>
    </row>
    <row r="10" spans="1:14" ht="20.100000000000001" customHeight="1" thickBot="1">
      <c r="A10" s="190">
        <v>5</v>
      </c>
      <c r="B10" s="294" t="s">
        <v>288</v>
      </c>
      <c r="C10" s="295"/>
      <c r="D10" s="186" t="s">
        <v>66</v>
      </c>
      <c r="E10" s="293" t="s">
        <v>287</v>
      </c>
      <c r="F10" s="293"/>
      <c r="G10" s="293"/>
      <c r="H10" s="293"/>
      <c r="I10" s="293"/>
      <c r="J10" s="293"/>
      <c r="K10" s="187" t="s">
        <v>66</v>
      </c>
      <c r="L10" s="188">
        <v>1110</v>
      </c>
      <c r="M10" s="189" t="s">
        <v>284</v>
      </c>
    </row>
    <row r="11" spans="1:14" ht="20.100000000000001" customHeight="1" thickBot="1">
      <c r="A11" s="190"/>
      <c r="B11" s="202"/>
      <c r="C11" s="203"/>
      <c r="D11" s="196"/>
      <c r="E11" s="197"/>
      <c r="F11" s="197"/>
      <c r="G11" s="197"/>
      <c r="H11" s="197"/>
      <c r="I11" s="197"/>
      <c r="J11" s="198"/>
      <c r="K11" s="199"/>
      <c r="L11" s="200"/>
      <c r="M11" s="201"/>
    </row>
    <row r="12" spans="1:14" ht="21.95" customHeight="1" thickBot="1">
      <c r="A12" s="190" t="s">
        <v>291</v>
      </c>
      <c r="B12" s="191" t="s">
        <v>289</v>
      </c>
      <c r="C12" s="192"/>
      <c r="D12" s="192"/>
      <c r="E12" s="192"/>
      <c r="F12" s="192"/>
      <c r="G12" s="192"/>
      <c r="H12" s="192"/>
      <c r="I12" s="192"/>
      <c r="J12" s="193"/>
      <c r="K12" s="191"/>
      <c r="L12" s="191"/>
      <c r="M12" s="191"/>
      <c r="N12" s="9"/>
    </row>
    <row r="13" spans="1:14" s="5" customFormat="1" ht="20.100000000000001" customHeight="1" thickBot="1">
      <c r="A13" s="185">
        <v>1</v>
      </c>
      <c r="B13" s="299" t="s">
        <v>272</v>
      </c>
      <c r="C13" s="299"/>
      <c r="D13" s="186" t="s">
        <v>66</v>
      </c>
      <c r="E13" s="296" t="s">
        <v>307</v>
      </c>
      <c r="F13" s="296"/>
      <c r="G13" s="296"/>
      <c r="H13" s="296"/>
      <c r="I13" s="296"/>
      <c r="J13" s="296"/>
      <c r="K13" s="187" t="s">
        <v>66</v>
      </c>
      <c r="L13" s="188">
        <f>20+16</f>
        <v>36</v>
      </c>
      <c r="M13" s="189" t="s">
        <v>283</v>
      </c>
      <c r="N13" s="10"/>
    </row>
    <row r="14" spans="1:14" ht="20.100000000000001" customHeight="1" thickBot="1">
      <c r="A14" s="190">
        <v>2</v>
      </c>
      <c r="B14" s="299" t="s">
        <v>272</v>
      </c>
      <c r="C14" s="299"/>
      <c r="D14" s="186" t="s">
        <v>66</v>
      </c>
      <c r="E14" s="293" t="s">
        <v>308</v>
      </c>
      <c r="F14" s="293"/>
      <c r="G14" s="293"/>
      <c r="H14" s="293"/>
      <c r="I14" s="293"/>
      <c r="J14" s="293"/>
      <c r="K14" s="187" t="s">
        <v>66</v>
      </c>
      <c r="L14" s="188">
        <f>15*2+13.3*2+13*2+11.3*2</f>
        <v>105.19999999999999</v>
      </c>
      <c r="M14" s="189" t="s">
        <v>283</v>
      </c>
    </row>
    <row r="15" spans="1:14" ht="20.100000000000001" customHeight="1" thickBot="1">
      <c r="A15" s="190">
        <v>3</v>
      </c>
      <c r="B15" s="299" t="s">
        <v>273</v>
      </c>
      <c r="C15" s="299"/>
      <c r="D15" s="186" t="s">
        <v>66</v>
      </c>
      <c r="E15" s="293" t="s">
        <v>309</v>
      </c>
      <c r="F15" s="293"/>
      <c r="G15" s="293"/>
      <c r="H15" s="293"/>
      <c r="I15" s="293"/>
      <c r="J15" s="293"/>
      <c r="K15" s="187" t="s">
        <v>66</v>
      </c>
      <c r="L15" s="188">
        <f>10*8*2+13*11.3*3*2</f>
        <v>1041.4000000000001</v>
      </c>
      <c r="M15" s="189" t="s">
        <v>67</v>
      </c>
    </row>
    <row r="16" spans="1:14" ht="20.100000000000001" customHeight="1" thickBot="1">
      <c r="A16" s="190">
        <v>4</v>
      </c>
      <c r="B16" s="299" t="s">
        <v>274</v>
      </c>
      <c r="C16" s="299"/>
      <c r="D16" s="186" t="s">
        <v>66</v>
      </c>
      <c r="E16" s="293" t="s">
        <v>310</v>
      </c>
      <c r="F16" s="293"/>
      <c r="G16" s="293"/>
      <c r="H16" s="293"/>
      <c r="I16" s="293"/>
      <c r="J16" s="293"/>
      <c r="K16" s="187" t="s">
        <v>66</v>
      </c>
      <c r="L16" s="188">
        <f>9*9*2</f>
        <v>162</v>
      </c>
      <c r="M16" s="189" t="s">
        <v>67</v>
      </c>
    </row>
    <row r="17" spans="1:14" ht="20.100000000000001" customHeight="1" thickBot="1">
      <c r="A17" s="190">
        <v>5</v>
      </c>
      <c r="B17" s="194" t="s">
        <v>311</v>
      </c>
      <c r="C17" s="195"/>
      <c r="D17" s="186" t="s">
        <v>66</v>
      </c>
      <c r="E17" s="296">
        <v>1</v>
      </c>
      <c r="F17" s="296"/>
      <c r="G17" s="296"/>
      <c r="H17" s="296"/>
      <c r="I17" s="296"/>
      <c r="J17" s="296"/>
      <c r="K17" s="187" t="s">
        <v>66</v>
      </c>
      <c r="L17" s="188">
        <v>1</v>
      </c>
      <c r="M17" s="189" t="s">
        <v>94</v>
      </c>
    </row>
    <row r="18" spans="1:14" ht="20.100000000000001" customHeight="1" thickBot="1">
      <c r="A18" s="190"/>
      <c r="B18" s="194"/>
      <c r="C18" s="195"/>
      <c r="D18" s="196"/>
      <c r="E18" s="197"/>
      <c r="F18" s="197"/>
      <c r="G18" s="197"/>
      <c r="H18" s="197"/>
      <c r="I18" s="197"/>
      <c r="J18" s="198"/>
      <c r="K18" s="199"/>
      <c r="L18" s="200"/>
      <c r="M18" s="201"/>
    </row>
    <row r="19" spans="1:14" ht="21.95" customHeight="1" thickBot="1">
      <c r="A19" s="190" t="s">
        <v>292</v>
      </c>
      <c r="B19" s="191" t="s">
        <v>295</v>
      </c>
      <c r="C19" s="192"/>
      <c r="D19" s="192"/>
      <c r="E19" s="192"/>
      <c r="F19" s="192"/>
      <c r="G19" s="192"/>
      <c r="H19" s="192"/>
      <c r="I19" s="192"/>
      <c r="J19" s="193"/>
      <c r="K19" s="191"/>
      <c r="L19" s="191"/>
      <c r="M19" s="191"/>
      <c r="N19" s="9"/>
    </row>
    <row r="20" spans="1:14" ht="21.95" customHeight="1" thickBot="1">
      <c r="A20" s="190">
        <v>1</v>
      </c>
      <c r="B20" s="191" t="s">
        <v>296</v>
      </c>
      <c r="C20" s="192"/>
      <c r="D20" s="186" t="s">
        <v>66</v>
      </c>
      <c r="E20" s="192">
        <v>1</v>
      </c>
      <c r="F20" s="192"/>
      <c r="G20" s="192"/>
      <c r="H20" s="192"/>
      <c r="I20" s="192"/>
      <c r="J20" s="193"/>
      <c r="K20" s="187" t="s">
        <v>66</v>
      </c>
      <c r="L20" s="188">
        <v>1</v>
      </c>
      <c r="M20" s="189" t="s">
        <v>30</v>
      </c>
      <c r="N20" s="9"/>
    </row>
    <row r="21" spans="1:14" ht="21.95" customHeight="1" thickBot="1">
      <c r="A21" s="190">
        <v>2</v>
      </c>
      <c r="B21" s="191" t="s">
        <v>297</v>
      </c>
      <c r="C21" s="192"/>
      <c r="D21" s="186" t="s">
        <v>66</v>
      </c>
      <c r="E21" s="192">
        <v>9</v>
      </c>
      <c r="F21" s="192"/>
      <c r="G21" s="192"/>
      <c r="H21" s="192"/>
      <c r="I21" s="192"/>
      <c r="J21" s="193"/>
      <c r="K21" s="187" t="s">
        <v>66</v>
      </c>
      <c r="L21" s="188">
        <v>9</v>
      </c>
      <c r="M21" s="189" t="s">
        <v>30</v>
      </c>
      <c r="N21" s="9"/>
    </row>
    <row r="22" spans="1:14" ht="21.95" customHeight="1" thickBot="1">
      <c r="A22" s="190">
        <v>3</v>
      </c>
      <c r="B22" s="191" t="s">
        <v>298</v>
      </c>
      <c r="C22" s="192"/>
      <c r="D22" s="186" t="s">
        <v>66</v>
      </c>
      <c r="E22" s="192" t="s">
        <v>300</v>
      </c>
      <c r="F22" s="192"/>
      <c r="G22" s="192"/>
      <c r="H22" s="192"/>
      <c r="I22" s="192"/>
      <c r="J22" s="193"/>
      <c r="K22" s="187" t="s">
        <v>66</v>
      </c>
      <c r="L22" s="188">
        <v>372</v>
      </c>
      <c r="M22" s="189" t="s">
        <v>283</v>
      </c>
      <c r="N22" s="9"/>
    </row>
    <row r="23" spans="1:14" ht="21.95" customHeight="1" thickBot="1">
      <c r="A23" s="190">
        <v>4</v>
      </c>
      <c r="B23" s="191" t="s">
        <v>299</v>
      </c>
      <c r="C23" s="192"/>
      <c r="D23" s="186" t="s">
        <v>66</v>
      </c>
      <c r="E23" s="192" t="s">
        <v>300</v>
      </c>
      <c r="F23" s="192"/>
      <c r="G23" s="192"/>
      <c r="H23" s="192"/>
      <c r="I23" s="192"/>
      <c r="J23" s="193"/>
      <c r="K23" s="187" t="s">
        <v>66</v>
      </c>
      <c r="L23" s="188">
        <v>372</v>
      </c>
      <c r="M23" s="189" t="s">
        <v>283</v>
      </c>
      <c r="N23" s="9"/>
    </row>
    <row r="24" spans="1:14" ht="21.95" customHeight="1" thickBot="1">
      <c r="A24" s="190"/>
      <c r="B24" s="191"/>
      <c r="C24" s="192"/>
      <c r="D24" s="184"/>
      <c r="E24" s="192"/>
      <c r="F24" s="192"/>
      <c r="G24" s="192"/>
      <c r="H24" s="192"/>
      <c r="I24" s="192"/>
      <c r="J24" s="193"/>
      <c r="K24" s="191"/>
      <c r="L24" s="191"/>
      <c r="M24" s="191"/>
      <c r="N24" s="9"/>
    </row>
    <row r="25" spans="1:14" ht="21.95" customHeight="1" thickBot="1">
      <c r="A25" s="190" t="s">
        <v>293</v>
      </c>
      <c r="B25" s="191" t="s">
        <v>301</v>
      </c>
      <c r="C25" s="192"/>
      <c r="D25" s="192"/>
      <c r="E25" s="192"/>
      <c r="F25" s="192"/>
      <c r="G25" s="192"/>
      <c r="H25" s="192"/>
      <c r="I25" s="192"/>
      <c r="J25" s="193"/>
      <c r="K25" s="191"/>
      <c r="L25" s="191"/>
      <c r="M25" s="191"/>
      <c r="N25" s="9"/>
    </row>
    <row r="26" spans="1:14" ht="21.95" customHeight="1" thickBot="1">
      <c r="A26" s="190">
        <v>1</v>
      </c>
      <c r="B26" s="191" t="s">
        <v>302</v>
      </c>
      <c r="C26" s="192"/>
      <c r="D26" s="186" t="s">
        <v>66</v>
      </c>
      <c r="E26" s="192">
        <v>4</v>
      </c>
      <c r="F26" s="192"/>
      <c r="G26" s="192"/>
      <c r="H26" s="192"/>
      <c r="I26" s="192"/>
      <c r="J26" s="193"/>
      <c r="K26" s="187" t="s">
        <v>66</v>
      </c>
      <c r="L26" s="188">
        <v>4</v>
      </c>
      <c r="M26" s="189" t="s">
        <v>30</v>
      </c>
      <c r="N26" s="9"/>
    </row>
    <row r="27" spans="1:14" ht="21.95" customHeight="1" thickBot="1">
      <c r="A27" s="190">
        <v>2</v>
      </c>
      <c r="B27" s="191" t="s">
        <v>303</v>
      </c>
      <c r="C27" s="192"/>
      <c r="D27" s="186" t="s">
        <v>66</v>
      </c>
      <c r="E27" s="192" t="s">
        <v>304</v>
      </c>
      <c r="F27" s="192"/>
      <c r="G27" s="192"/>
      <c r="H27" s="192"/>
      <c r="I27" s="192"/>
      <c r="J27" s="193"/>
      <c r="K27" s="187" t="s">
        <v>66</v>
      </c>
      <c r="L27" s="188">
        <v>20</v>
      </c>
      <c r="M27" s="189" t="s">
        <v>44</v>
      </c>
      <c r="N27" s="9"/>
    </row>
    <row r="28" spans="1:14" ht="21.95" customHeight="1" thickBot="1">
      <c r="A28" s="190"/>
      <c r="B28" s="191"/>
      <c r="C28" s="192"/>
      <c r="D28" s="186"/>
      <c r="E28" s="192"/>
      <c r="F28" s="192"/>
      <c r="G28" s="192"/>
      <c r="H28" s="192"/>
      <c r="I28" s="192"/>
      <c r="J28" s="193"/>
      <c r="K28" s="187"/>
      <c r="L28" s="188"/>
      <c r="M28" s="189"/>
      <c r="N28" s="9"/>
    </row>
    <row r="29" spans="1:14" ht="20.100000000000001" customHeight="1" thickBot="1">
      <c r="A29" s="190" t="s">
        <v>294</v>
      </c>
      <c r="B29" s="300" t="s">
        <v>306</v>
      </c>
      <c r="C29" s="300"/>
      <c r="D29" s="186"/>
      <c r="E29" s="301"/>
      <c r="F29" s="301"/>
      <c r="G29" s="301"/>
      <c r="H29" s="301"/>
      <c r="I29" s="301"/>
      <c r="J29" s="301"/>
      <c r="K29" s="187"/>
      <c r="L29" s="188"/>
      <c r="M29" s="189"/>
    </row>
    <row r="30" spans="1:14" s="5" customFormat="1" ht="20.100000000000001" customHeight="1" thickBot="1">
      <c r="A30" s="185">
        <v>1</v>
      </c>
      <c r="B30" s="300" t="s">
        <v>110</v>
      </c>
      <c r="C30" s="300"/>
      <c r="D30" s="186" t="s">
        <v>66</v>
      </c>
      <c r="E30" s="296" t="s">
        <v>235</v>
      </c>
      <c r="F30" s="296"/>
      <c r="G30" s="296"/>
      <c r="H30" s="296"/>
      <c r="I30" s="296"/>
      <c r="J30" s="296"/>
      <c r="K30" s="187" t="s">
        <v>66</v>
      </c>
      <c r="L30" s="188">
        <f>3+1+4+1</f>
        <v>9</v>
      </c>
      <c r="M30" s="189" t="s">
        <v>79</v>
      </c>
      <c r="N30" s="10"/>
    </row>
    <row r="31" spans="1:14" ht="20.100000000000001" customHeight="1" thickBot="1">
      <c r="A31" s="190">
        <v>2</v>
      </c>
      <c r="B31" s="300" t="s">
        <v>72</v>
      </c>
      <c r="C31" s="300"/>
      <c r="D31" s="186" t="s">
        <v>66</v>
      </c>
      <c r="E31" s="293" t="s">
        <v>234</v>
      </c>
      <c r="F31" s="293"/>
      <c r="G31" s="293"/>
      <c r="H31" s="293"/>
      <c r="I31" s="293"/>
      <c r="J31" s="293"/>
      <c r="K31" s="187" t="s">
        <v>66</v>
      </c>
      <c r="L31" s="188">
        <f>(1119.6+1098.9+902.5)*0.15</f>
        <v>468.15</v>
      </c>
      <c r="M31" s="189" t="s">
        <v>67</v>
      </c>
    </row>
    <row r="32" spans="1:14" ht="20.100000000000001" customHeight="1" thickBot="1">
      <c r="A32" s="190">
        <v>3</v>
      </c>
      <c r="B32" s="300" t="s">
        <v>124</v>
      </c>
      <c r="C32" s="300"/>
      <c r="D32" s="186" t="s">
        <v>66</v>
      </c>
      <c r="E32" s="293" t="s">
        <v>236</v>
      </c>
      <c r="F32" s="293"/>
      <c r="G32" s="293"/>
      <c r="H32" s="293"/>
      <c r="I32" s="293"/>
      <c r="J32" s="293"/>
      <c r="K32" s="187" t="s">
        <v>66</v>
      </c>
      <c r="L32" s="188">
        <f>365*0.1*2</f>
        <v>73</v>
      </c>
      <c r="M32" s="189" t="s">
        <v>67</v>
      </c>
    </row>
    <row r="33" spans="1:14" ht="20.100000000000001" customHeight="1" thickBot="1">
      <c r="A33" s="190">
        <v>4</v>
      </c>
      <c r="B33" s="300" t="s">
        <v>73</v>
      </c>
      <c r="C33" s="300"/>
      <c r="D33" s="186" t="s">
        <v>66</v>
      </c>
      <c r="E33" s="293" t="s">
        <v>237</v>
      </c>
      <c r="F33" s="293"/>
      <c r="G33" s="293"/>
      <c r="H33" s="293"/>
      <c r="I33" s="293"/>
      <c r="J33" s="293"/>
      <c r="K33" s="187" t="s">
        <v>66</v>
      </c>
      <c r="L33" s="188">
        <f>(6+1+2)*8.75</f>
        <v>78.75</v>
      </c>
      <c r="M33" s="189" t="s">
        <v>67</v>
      </c>
    </row>
    <row r="34" spans="1:14" ht="20.100000000000001" customHeight="1" thickBot="1">
      <c r="A34" s="190"/>
      <c r="B34" s="300"/>
      <c r="C34" s="300"/>
      <c r="D34" s="186"/>
      <c r="E34" s="301" t="s">
        <v>78</v>
      </c>
      <c r="F34" s="301"/>
      <c r="G34" s="301"/>
      <c r="H34" s="301"/>
      <c r="I34" s="301"/>
      <c r="J34" s="301"/>
      <c r="K34" s="187" t="s">
        <v>66</v>
      </c>
      <c r="L34" s="188">
        <f>SUM(L31:L33)</f>
        <v>619.9</v>
      </c>
      <c r="M34" s="189" t="s">
        <v>67</v>
      </c>
    </row>
    <row r="35" spans="1:14" ht="21.95" customHeight="1" thickBot="1">
      <c r="A35" s="190" t="s">
        <v>305</v>
      </c>
      <c r="B35" s="191" t="s">
        <v>289</v>
      </c>
      <c r="C35" s="192"/>
      <c r="D35" s="192"/>
      <c r="E35" s="192"/>
      <c r="F35" s="192"/>
      <c r="G35" s="192"/>
      <c r="H35" s="192"/>
      <c r="I35" s="192"/>
      <c r="J35" s="193"/>
      <c r="K35" s="191"/>
      <c r="L35" s="191"/>
      <c r="M35" s="191"/>
      <c r="N35" s="9"/>
    </row>
    <row r="36" spans="1:14" s="5" customFormat="1" ht="20.100000000000001" customHeight="1" thickBot="1">
      <c r="A36" s="185">
        <v>1</v>
      </c>
      <c r="B36" s="299" t="s">
        <v>272</v>
      </c>
      <c r="C36" s="299"/>
      <c r="D36" s="186" t="s">
        <v>66</v>
      </c>
      <c r="E36" s="296" t="s">
        <v>235</v>
      </c>
      <c r="F36" s="296"/>
      <c r="G36" s="296"/>
      <c r="H36" s="296"/>
      <c r="I36" s="296"/>
      <c r="J36" s="296"/>
      <c r="K36" s="187" t="s">
        <v>66</v>
      </c>
      <c r="L36" s="188">
        <f>3+1+4+1</f>
        <v>9</v>
      </c>
      <c r="M36" s="189" t="s">
        <v>79</v>
      </c>
      <c r="N36" s="10"/>
    </row>
    <row r="37" spans="1:14" ht="20.100000000000001" customHeight="1" thickBot="1">
      <c r="A37" s="190">
        <v>2</v>
      </c>
      <c r="B37" s="299" t="s">
        <v>272</v>
      </c>
      <c r="C37" s="299"/>
      <c r="D37" s="186" t="s">
        <v>66</v>
      </c>
      <c r="E37" s="293" t="s">
        <v>234</v>
      </c>
      <c r="F37" s="293"/>
      <c r="G37" s="293"/>
      <c r="H37" s="293"/>
      <c r="I37" s="293"/>
      <c r="J37" s="293"/>
      <c r="K37" s="187" t="s">
        <v>66</v>
      </c>
      <c r="L37" s="188">
        <f>(1119.6+1098.9+902.5)*0.15</f>
        <v>468.15</v>
      </c>
      <c r="M37" s="189" t="s">
        <v>67</v>
      </c>
    </row>
    <row r="38" spans="1:14" ht="20.100000000000001" customHeight="1" thickBot="1">
      <c r="A38" s="190">
        <v>3</v>
      </c>
      <c r="B38" s="299" t="s">
        <v>273</v>
      </c>
      <c r="C38" s="299"/>
      <c r="D38" s="186" t="s">
        <v>66</v>
      </c>
      <c r="E38" s="293" t="s">
        <v>236</v>
      </c>
      <c r="F38" s="293"/>
      <c r="G38" s="293"/>
      <c r="H38" s="293"/>
      <c r="I38" s="293"/>
      <c r="J38" s="293"/>
      <c r="K38" s="187" t="s">
        <v>66</v>
      </c>
      <c r="L38" s="188">
        <f>365*0.1*2</f>
        <v>73</v>
      </c>
      <c r="M38" s="189" t="s">
        <v>67</v>
      </c>
    </row>
    <row r="39" spans="1:14" ht="20.100000000000001" customHeight="1" thickBot="1">
      <c r="A39" s="190">
        <v>4</v>
      </c>
      <c r="B39" s="299" t="s">
        <v>274</v>
      </c>
      <c r="C39" s="299"/>
      <c r="D39" s="186" t="s">
        <v>66</v>
      </c>
      <c r="E39" s="293" t="s">
        <v>237</v>
      </c>
      <c r="F39" s="293"/>
      <c r="G39" s="293"/>
      <c r="H39" s="293"/>
      <c r="I39" s="293"/>
      <c r="J39" s="293"/>
      <c r="K39" s="187" t="s">
        <v>66</v>
      </c>
      <c r="L39" s="188">
        <f>(6+1+2)*8.75</f>
        <v>78.75</v>
      </c>
      <c r="M39" s="189" t="s">
        <v>67</v>
      </c>
    </row>
    <row r="40" spans="1:14" ht="20.100000000000001" customHeight="1">
      <c r="B40" s="297"/>
      <c r="C40" s="298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33:C33"/>
    <mergeCell ref="E33:J33"/>
    <mergeCell ref="B34:C34"/>
    <mergeCell ref="E34:J34"/>
    <mergeCell ref="B32:C32"/>
    <mergeCell ref="E32:J32"/>
    <mergeCell ref="B36:C36"/>
    <mergeCell ref="E36:J36"/>
    <mergeCell ref="B37:C37"/>
    <mergeCell ref="E37:J37"/>
    <mergeCell ref="B38:C38"/>
    <mergeCell ref="E38:J38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1:M2"/>
    <mergeCell ref="B3:M3"/>
    <mergeCell ref="B4:M4"/>
    <mergeCell ref="E7:J7"/>
    <mergeCell ref="B7:C7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13</vt:i4>
      </vt:variant>
    </vt:vector>
  </HeadingPairs>
  <TitlesOfParts>
    <vt:vector size="21" baseType="lpstr"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2023-04-17T09:23:19Z</dcterms:modified>
</cp:coreProperties>
</file>