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41F8C213-D33B-4F5D-98E0-E6E8BAA9BF4D}" xr6:coauthVersionLast="47" xr6:coauthVersionMax="47" xr10:uidLastSave="{00000000-0000-0000-0000-000000000000}"/>
  <bookViews>
    <workbookView xWindow="-120" yWindow="-120" windowWidth="29040" windowHeight="15840" tabRatio="789" activeTab="2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2359" l="1"/>
  <c r="N10" i="2359"/>
  <c r="N9" i="2359"/>
  <c r="M31" i="2359"/>
  <c r="M10" i="2359"/>
  <c r="M8" i="2359"/>
  <c r="L31" i="2359"/>
  <c r="L12" i="2359"/>
  <c r="L10" i="2359"/>
  <c r="L9" i="2359"/>
  <c r="L8" i="2359"/>
  <c r="K30" i="2359"/>
  <c r="K29" i="2359"/>
  <c r="K28" i="2359"/>
  <c r="K26" i="2359"/>
  <c r="K25" i="2359"/>
  <c r="K23" i="2359"/>
  <c r="K15" i="2359"/>
  <c r="K10" i="2359"/>
  <c r="K9" i="2359"/>
  <c r="J28" i="2359"/>
  <c r="J27" i="2359"/>
  <c r="J26" i="2359"/>
  <c r="J25" i="2359"/>
  <c r="J24" i="2359"/>
  <c r="J23" i="2359"/>
  <c r="J15" i="2359"/>
  <c r="J10" i="2359"/>
  <c r="J9" i="2359"/>
  <c r="I22" i="2359"/>
  <c r="I21" i="2359"/>
  <c r="I9" i="2359"/>
  <c r="I8" i="2359"/>
  <c r="H21" i="2359"/>
  <c r="H9" i="2359"/>
  <c r="H8" i="2359"/>
  <c r="G21" i="2359"/>
  <c r="G9" i="2359"/>
  <c r="G8" i="2359"/>
  <c r="F20" i="2359"/>
  <c r="F19" i="2359"/>
  <c r="F18" i="2359"/>
  <c r="F17" i="2359"/>
  <c r="F16" i="2359"/>
  <c r="F11" i="2359"/>
  <c r="F9" i="2359"/>
  <c r="E15" i="2359"/>
  <c r="E14" i="2359"/>
  <c r="E13" i="2359"/>
  <c r="E12" i="2359"/>
  <c r="E11" i="2359"/>
  <c r="E10" i="2359"/>
  <c r="E9" i="2359"/>
  <c r="E8" i="2359"/>
  <c r="E7" i="2359"/>
  <c r="E6" i="2359"/>
  <c r="E5" i="2359"/>
  <c r="D14" i="2359"/>
  <c r="D13" i="2359"/>
  <c r="D12" i="2359"/>
  <c r="D11" i="2359"/>
  <c r="D10" i="2359"/>
  <c r="D9" i="2359"/>
  <c r="D8" i="2359"/>
  <c r="D7" i="2359"/>
  <c r="D6" i="2359"/>
  <c r="D5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C10" i="2360"/>
  <c r="C9" i="2360"/>
  <c r="C8" i="2360"/>
  <c r="C7" i="2360"/>
  <c r="C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 s="1"/>
  <c r="E54" i="2358" a="1"/>
  <c r="E54" i="2358" s="1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 s="1"/>
  <c r="E94" i="2358" a="1"/>
  <c r="E94" i="2358" s="1"/>
  <c r="E105" i="2358" a="1"/>
  <c r="E105" i="2358" s="1"/>
  <c r="E116" i="2358" a="1"/>
  <c r="E116" i="2358" s="1"/>
  <c r="E124" i="2358" a="1"/>
  <c r="E124" i="2358" s="1"/>
  <c r="E129" i="2358" a="1"/>
  <c r="E129" i="2358" s="1"/>
  <c r="E134" i="2358" a="1"/>
  <c r="E134" i="2358" s="1"/>
  <c r="E141" i="2358" a="1"/>
  <c r="E141" i="2358" s="1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 s="1"/>
  <c r="E195" i="2358" a="1"/>
  <c r="E195" i="2358" s="1"/>
  <c r="E200" i="2358" a="1"/>
  <c r="E200" i="2358" s="1"/>
  <c r="E205" i="2358" a="1"/>
  <c r="E205" i="2358" s="1"/>
  <c r="E204" i="2358" a="1"/>
  <c r="E21" i="2358" a="1"/>
  <c r="E59" i="2358" a="1"/>
  <c r="E33" i="2358" a="1"/>
  <c r="E62" i="2358" a="1"/>
  <c r="E114" i="2358" a="1"/>
  <c r="E115" i="2358" a="1"/>
  <c r="E101" i="2358" a="1"/>
  <c r="E191" i="2358" a="1"/>
  <c r="E55" i="2358" a="1"/>
  <c r="E106" i="2358" a="1"/>
  <c r="E183" i="2358" a="1"/>
  <c r="E131" i="2358" a="1"/>
  <c r="E179" i="2358" a="1"/>
  <c r="E19" i="2358" a="1"/>
  <c r="E150" i="2358" a="1"/>
  <c r="E121" i="2358" a="1"/>
  <c r="E12" i="2358" a="1"/>
  <c r="E111" i="2358" a="1"/>
  <c r="E104" i="2358" a="1"/>
  <c r="E84" i="2358" a="1"/>
  <c r="E174" i="2358" a="1"/>
  <c r="E73" i="2358" a="1"/>
  <c r="E135" i="2358" a="1"/>
  <c r="E11" i="2358" a="1"/>
  <c r="E159" i="2358" a="1"/>
  <c r="E170" i="2358" a="1"/>
  <c r="E36" i="2358" a="1"/>
  <c r="E193" i="2358" a="1"/>
  <c r="E144" i="2358" a="1"/>
  <c r="E157" i="2358" a="1"/>
  <c r="E127" i="2358" a="1"/>
  <c r="E190" i="2358" a="1"/>
  <c r="E182" i="2358" a="1"/>
  <c r="E137" i="2358" a="1"/>
  <c r="E151" i="2358" a="1"/>
  <c r="E28" i="2358" a="1"/>
  <c r="E187" i="2358" a="1"/>
  <c r="E72" i="2358" a="1"/>
  <c r="E113" i="2358" a="1"/>
  <c r="E92" i="2358" a="1"/>
  <c r="E15" i="2358" a="1"/>
  <c r="E16" i="2358" a="1"/>
  <c r="E145" i="2358" a="1"/>
  <c r="E46" i="2358" a="1"/>
  <c r="E194" i="2358" a="1"/>
  <c r="E58" i="2358" a="1"/>
  <c r="E70" i="2358" a="1"/>
  <c r="E138" i="2358" a="1"/>
  <c r="E74" i="2358" a="1"/>
  <c r="E60" i="2358" a="1"/>
  <c r="E108" i="2358" a="1"/>
  <c r="E176" i="2358" a="1"/>
  <c r="E119" i="2358" a="1"/>
  <c r="E146" i="2358" a="1"/>
  <c r="E180" i="2358" a="1"/>
  <c r="E110" i="2358" a="1"/>
  <c r="E34" i="2358" a="1"/>
  <c r="E69" i="2358" a="1"/>
  <c r="E112" i="2358" a="1"/>
  <c r="E26" i="2358" a="1"/>
  <c r="E142" i="2358" a="1"/>
  <c r="E24" i="2358" a="1"/>
  <c r="E160" i="2358" a="1"/>
  <c r="E89" i="2358" a="1"/>
  <c r="E31" i="2358" a="1"/>
  <c r="E99" i="2358" a="1"/>
  <c r="E162" i="2358" a="1"/>
  <c r="E57" i="2358" a="1"/>
  <c r="E86" i="2358" a="1"/>
  <c r="E125" i="2358" a="1"/>
  <c r="E32" i="2358" a="1"/>
  <c r="E78" i="2358" a="1"/>
  <c r="E23" i="2358" a="1"/>
  <c r="E79" i="2358" a="1"/>
  <c r="E100" i="2358" a="1"/>
  <c r="E67" i="2358" a="1"/>
  <c r="E85" i="2358" a="1"/>
  <c r="E164" i="2358" a="1"/>
  <c r="E37" i="2358" a="1"/>
  <c r="E196" i="2358" a="1"/>
  <c r="E75" i="2358" a="1"/>
  <c r="E130" i="2358" a="1"/>
  <c r="E41" i="2358" a="1"/>
  <c r="E120" i="2358" a="1"/>
  <c r="E71" i="2358" a="1"/>
  <c r="E132" i="2358" a="1"/>
  <c r="E109" i="2358" a="1"/>
  <c r="E203" i="2358" a="1"/>
  <c r="E49" i="2358" a="1"/>
  <c r="E10" i="2358" a="1"/>
  <c r="E117" i="2358" a="1"/>
  <c r="E168" i="2358" a="1"/>
  <c r="E123" i="2358" a="1"/>
  <c r="E198" i="2358" a="1"/>
  <c r="E102" i="2358" a="1"/>
  <c r="E152" i="2358" a="1"/>
  <c r="E8" i="2358" a="1"/>
  <c r="E7" i="2358" a="1"/>
  <c r="E133" i="2358" a="1"/>
  <c r="E63" i="2358" a="1"/>
  <c r="E154" i="2358" a="1"/>
  <c r="E153" i="2358" a="1"/>
  <c r="E35" i="2358" a="1"/>
  <c r="E42" i="2358" a="1"/>
  <c r="E175" i="2358" a="1"/>
  <c r="E118" i="2358" a="1"/>
  <c r="E158" i="2358" a="1"/>
  <c r="E18" i="2358" a="1"/>
  <c r="E97" i="2358" a="1"/>
  <c r="E96" i="2358" a="1"/>
  <c r="E39" i="2358" a="1"/>
  <c r="E68" i="2358" a="1"/>
  <c r="E45" i="2358" a="1"/>
  <c r="E199" i="2358" a="1"/>
  <c r="E184" i="2358" a="1"/>
  <c r="E90" i="2358" a="1"/>
  <c r="E186" i="2358" a="1"/>
  <c r="E44" i="2358" a="1"/>
  <c r="E139" i="2358" a="1"/>
  <c r="E163" i="2358" a="1"/>
  <c r="E177" i="2358" a="1"/>
  <c r="E66" i="2358" a="1"/>
  <c r="E95" i="2358" a="1"/>
  <c r="E185" i="2358" a="1"/>
  <c r="E202" i="2358" a="1"/>
  <c r="E197" i="2358" a="1"/>
  <c r="E128" i="2358" a="1"/>
  <c r="E169" i="2358" a="1"/>
  <c r="E30" i="2358" a="1"/>
  <c r="E165" i="2358" a="1"/>
  <c r="E81" i="2358" a="1"/>
  <c r="E51" i="2358" a="1"/>
  <c r="E80" i="2358" a="1"/>
  <c r="E107" i="2358" a="1"/>
  <c r="E136" i="2358" a="1"/>
  <c r="E61" i="2358" a="1"/>
  <c r="E13" i="2358" a="1"/>
  <c r="E20" i="2358" a="1"/>
  <c r="E143" i="2358" a="1"/>
  <c r="E188" i="2358" a="1"/>
  <c r="E27" i="2358" a="1"/>
  <c r="E56" i="2358" a="1"/>
  <c r="E126" i="2358" a="1"/>
  <c r="E64" i="2358" a="1"/>
  <c r="E201" i="2358" a="1"/>
  <c r="E98" i="2358" a="1"/>
  <c r="E149" i="2358" a="1"/>
  <c r="E122" i="2358" a="1"/>
  <c r="E147" i="2358" a="1"/>
  <c r="E140" i="2358" a="1"/>
  <c r="E25" i="2358" a="1"/>
  <c r="E166" i="2358" a="1"/>
  <c r="E53" i="2358" a="1"/>
  <c r="E82" i="2358" a="1"/>
  <c r="E87" i="2358" a="1"/>
  <c r="E156" i="2358" a="1"/>
  <c r="E50" i="2358" a="1"/>
  <c r="E14" i="2358" a="1"/>
  <c r="E22" i="2358" a="1"/>
  <c r="E171" i="2358" a="1"/>
  <c r="E192" i="2358" a="1"/>
  <c r="E52" i="2358" a="1"/>
  <c r="E172" i="2358" a="1"/>
  <c r="E103" i="2358" a="1"/>
  <c r="E178" i="2358" a="1"/>
  <c r="E91" i="2358" a="1"/>
  <c r="E40" i="2358" a="1"/>
  <c r="E9" i="2358" a="1"/>
  <c r="E77" i="2358" a="1"/>
  <c r="E47" i="2358" a="1"/>
  <c r="E158" i="2358" l="1"/>
  <c r="L7" i="2360" s="1"/>
  <c r="E183" i="2358"/>
  <c r="P6" i="2360" s="1"/>
  <c r="E171" i="2358"/>
  <c r="N9" i="2360" s="1"/>
  <c r="E153" i="2358"/>
  <c r="K20" i="2360" s="1"/>
  <c r="E117" i="2358"/>
  <c r="E111" i="2358"/>
  <c r="E10" i="2360" s="1"/>
  <c r="E99" i="2358"/>
  <c r="D9" i="2360" s="1"/>
  <c r="E81" i="2358"/>
  <c r="E170" i="2358"/>
  <c r="N7" i="2360" s="1"/>
  <c r="E140" i="2358"/>
  <c r="I18" i="2360" s="1"/>
  <c r="E128" i="2358"/>
  <c r="G15" i="2360" s="1"/>
  <c r="E122" i="2358"/>
  <c r="F10" i="2360" s="1"/>
  <c r="E110" i="2358"/>
  <c r="E15" i="2360" s="1"/>
  <c r="E104" i="2358"/>
  <c r="D14" i="2360" s="1"/>
  <c r="E98" i="2358"/>
  <c r="D8" i="2360" s="1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O7" i="2360" s="1"/>
  <c r="E199" i="2358"/>
  <c r="R9" i="2360" s="1"/>
  <c r="E193" i="2358"/>
  <c r="Q9" i="2360" s="1"/>
  <c r="E187" i="2358"/>
  <c r="P10" i="2360" s="1"/>
  <c r="E175" i="2358"/>
  <c r="O6" i="2360" s="1"/>
  <c r="E169" i="2358"/>
  <c r="N6" i="2360" s="1"/>
  <c r="E163" i="2358"/>
  <c r="M6" i="2360" s="1"/>
  <c r="E157" i="2358"/>
  <c r="L6" i="2360" s="1"/>
  <c r="E151" i="2358"/>
  <c r="K7" i="2360" s="1"/>
  <c r="E145" i="2358"/>
  <c r="J8" i="2360" s="1"/>
  <c r="E139" i="2358"/>
  <c r="I10" i="2360" s="1"/>
  <c r="E133" i="2358"/>
  <c r="H15" i="2360" s="1"/>
  <c r="E127" i="2358"/>
  <c r="G8" i="2360" s="1"/>
  <c r="E121" i="2358"/>
  <c r="F15" i="2360" s="1"/>
  <c r="E115" i="2358"/>
  <c r="E17" i="2360" s="1"/>
  <c r="E109" i="2358"/>
  <c r="E8" i="2360" s="1"/>
  <c r="E103" i="2358"/>
  <c r="D13" i="2360" s="1"/>
  <c r="E97" i="2358"/>
  <c r="D7" i="2360" s="1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P23" i="2360" s="1"/>
  <c r="E164" i="2358"/>
  <c r="M7" i="2360" s="1"/>
  <c r="E204" i="2358"/>
  <c r="S9" i="2360" s="1"/>
  <c r="E198" i="2358"/>
  <c r="R7" i="2360" s="1"/>
  <c r="E186" i="2358"/>
  <c r="P9" i="2360" s="1"/>
  <c r="E174" i="2358"/>
  <c r="E162" i="2358"/>
  <c r="E150" i="2358"/>
  <c r="K19" i="2360" s="1"/>
  <c r="E138" i="2358"/>
  <c r="I9" i="2360" s="1"/>
  <c r="E126" i="2358"/>
  <c r="G6" i="2360" s="1"/>
  <c r="E120" i="2358"/>
  <c r="F8" i="2360" s="1"/>
  <c r="E108" i="2358"/>
  <c r="E7" i="2360" s="1"/>
  <c r="E102" i="2358"/>
  <c r="D12" i="2360" s="1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J9" i="2360" s="1"/>
  <c r="E192" i="2358"/>
  <c r="Q7" i="2360" s="1"/>
  <c r="E180" i="2358"/>
  <c r="O23" i="2360" s="1"/>
  <c r="E168" i="2358"/>
  <c r="E156" i="2358"/>
  <c r="E144" i="2358"/>
  <c r="J7" i="2360" s="1"/>
  <c r="E132" i="2358"/>
  <c r="H8" i="2360" s="1"/>
  <c r="E114" i="2358"/>
  <c r="E14" i="2360" s="1"/>
  <c r="E96" i="2358"/>
  <c r="D6" i="2360" s="1"/>
  <c r="E194" i="2358"/>
  <c r="Q23" i="2360" s="1"/>
  <c r="E203" i="2358"/>
  <c r="S7" i="2360" s="1"/>
  <c r="E191" i="2358"/>
  <c r="Q6" i="2360" s="1"/>
  <c r="E179" i="2358"/>
  <c r="O10" i="2360" s="1"/>
  <c r="E149" i="2358"/>
  <c r="E137" i="2358"/>
  <c r="I7" i="2360" s="1"/>
  <c r="E125" i="2358"/>
  <c r="E113" i="2358"/>
  <c r="E13" i="2360" s="1"/>
  <c r="E101" i="2358"/>
  <c r="D11" i="2360" s="1"/>
  <c r="E53" i="2358"/>
  <c r="E47" i="2358"/>
  <c r="E35" i="2358"/>
  <c r="E11" i="2358"/>
  <c r="E152" i="2358"/>
  <c r="K9" i="2360" s="1"/>
  <c r="E197" i="2358"/>
  <c r="R6" i="2360" s="1"/>
  <c r="E185" i="2358"/>
  <c r="P8" i="2360" s="1"/>
  <c r="E143" i="2358"/>
  <c r="J6" i="2360" s="1"/>
  <c r="E131" i="2358"/>
  <c r="H6" i="2360" s="1"/>
  <c r="E119" i="2358"/>
  <c r="F7" i="2360" s="1"/>
  <c r="E107" i="2358"/>
  <c r="E6" i="2360" s="1"/>
  <c r="E95" i="2358"/>
  <c r="E89" i="2358"/>
  <c r="E77" i="2358"/>
  <c r="E71" i="2358"/>
  <c r="E59" i="2358"/>
  <c r="E41" i="2358"/>
  <c r="E23" i="2358"/>
  <c r="E182" i="2358"/>
  <c r="E202" i="2358"/>
  <c r="S6" i="2360" s="1"/>
  <c r="E196" i="2358"/>
  <c r="E190" i="2358"/>
  <c r="E184" i="2358"/>
  <c r="P7" i="2360" s="1"/>
  <c r="E178" i="2358"/>
  <c r="O9" i="2360" s="1"/>
  <c r="E172" i="2358"/>
  <c r="N23" i="2360" s="1"/>
  <c r="E166" i="2358"/>
  <c r="M22" i="2360" s="1"/>
  <c r="E160" i="2358"/>
  <c r="L21" i="2360" s="1"/>
  <c r="E154" i="2358"/>
  <c r="K13" i="2360" s="1"/>
  <c r="E142" i="2358"/>
  <c r="E136" i="2358"/>
  <c r="I6" i="2360" s="1"/>
  <c r="E130" i="2358"/>
  <c r="E118" i="2358"/>
  <c r="F6" i="2360" s="1"/>
  <c r="E112" i="2358"/>
  <c r="E16" i="2360" s="1"/>
  <c r="E106" i="2358"/>
  <c r="E100" i="2358"/>
  <c r="D10" i="2360" s="1"/>
  <c r="E82" i="2358"/>
  <c r="E70" i="2358"/>
  <c r="E64" i="2358"/>
  <c r="E58" i="2358"/>
  <c r="E52" i="2358"/>
  <c r="E46" i="2358"/>
  <c r="E40" i="2358"/>
  <c r="E34" i="2358"/>
  <c r="E28" i="2358"/>
  <c r="E22" i="2358"/>
  <c r="E16" i="2358"/>
  <c r="E10" i="2358"/>
  <c r="E201" i="2358"/>
  <c r="E177" i="2358"/>
  <c r="O8" i="2360" s="1"/>
  <c r="E165" i="2358"/>
  <c r="M9" i="2360" s="1"/>
  <c r="E159" i="2358"/>
  <c r="L9" i="2360" s="1"/>
  <c r="E147" i="2358"/>
  <c r="J10" i="2360" s="1"/>
  <c r="E135" i="2358"/>
  <c r="E123" i="2358"/>
  <c r="F16" i="2360" s="1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E9" i="2358"/>
  <c r="E7" i="2358"/>
  <c r="E8" i="2358"/>
  <c r="L5" i="2360"/>
  <c r="O32" i="2359" l="1"/>
  <c r="T23" i="2360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<sst xmlns="http://schemas.openxmlformats.org/spreadsheetml/2006/main" count="1787" uniqueCount="560">
  <si>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</si>
  <si>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</si>
  <si>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</si>
  <si>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</si>
  <si>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</si>
  <si>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</si>
  <si>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</si>
  <si>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</si>
  <si>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</si>
  <si>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</si>
  <si>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</si>
  <si>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</si>
  <si>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</si>
  <si>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</si>
  <si>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</si>
  <si>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</si>
  <si>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</si>
  <si>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</si>
  <si>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</si>
  <si>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</si>
  <si>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</si>
  <si>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</si>
  <si>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</si>
  <si>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</si>
  <si>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</si>
  <si>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</si>
  <si>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</si>
  <si>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</si>
  <si>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</si>
  <si>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</si>
  <si>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</si>
  <si>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</si>
  <si>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</si>
  <si>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</si>
  <si>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</si>
  <si>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</si>
  <si>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</si>
  <si>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</si>
  <si>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</si>
  <si>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</si>
  <si>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</si>
  <si>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</si>
  <si>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</si>
  <si>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</si>
  <si>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</si>
  <si>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</si>
  <si>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</si>
  <si>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</si>
  <si>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</si>
  <si>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</si>
  <si>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</si>
  <si>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</si>
  <si>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</si>
  <si>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</si>
  <si>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</si>
  <si>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</si>
  <si>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</si>
  <si>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</si>
  <si>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</si>
  <si>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</si>
  <si>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</si>
  <si>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</si>
  <si>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</si>
  <si>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</si>
  <si>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</si>
  <si>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</si>
  <si>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</si>
  <si>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</si>
  <si>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</si>
  <si>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</si>
  <si>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</si>
  <si>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</si>
  <si>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</si>
  <si>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</si>
  <si>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</si>
  <si>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</si>
  <si>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</si>
  <si>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</si>
  <si>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</si>
  <si>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</si>
  <si>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</si>
  <si>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</si>
  <si>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</si>
  <si>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</si>
  <si>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</si>
  <si>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</si>
  <si>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</si>
  <si>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</si>
  <si>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</si>
  <si>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</si>
  <si>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</si>
  <si>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</si>
  <si>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</si>
  <si>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</si>
  <si>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</si>
  <si>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</si>
  <si>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</si>
  <si>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</si>
  <si>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</si>
  <si>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</si>
  <si>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</si>
  <si>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</si>
  <si>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</si>
  <si>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</si>
  <si>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</si>
  <si>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</si>
  <si>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</si>
  <si>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</si>
  <si>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</si>
  <si>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</si>
  <si>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</si>
  <si>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</si>
  <si>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</si>
  <si>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</si>
  <si>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</si>
  <si>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</si>
  <si>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</si>
  <si>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</si>
  <si>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</si>
  <si>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</si>
  <si>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</si>
  <si>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</si>
  <si>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</si>
  <si>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</si>
  <si>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</si>
  <si>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</si>
  <si>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</si>
  <si>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</si>
  <si>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</si>
  <si>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</si>
  <si>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</si>
  <si>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</si>
  <si>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</si>
  <si>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</si>
  <si>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</si>
  <si>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</si>
  <si>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</si>
  <si>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</si>
  <si>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</si>
  <si>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</si>
  <si>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</si>
  <si>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</si>
  <si>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</si>
  <si>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</si>
  <si>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</si>
  <si>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</si>
  <si>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</si>
  <si>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</si>
  <si>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</si>
  <si>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</si>
  <si>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</si>
  <si>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</si>
  <si>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</si>
  <si>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</si>
  <si>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</si>
  <si>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</si>
  <si>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</si>
  <si>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</si>
  <si>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</si>
  <si>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</si>
  <si>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</si>
  <si>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</si>
  <si>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</si>
  <si>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</si>
  <si>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</si>
  <si>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</si>
  <si>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</si>
  <si>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</si>
  <si>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</si>
  <si>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</si>
  <si>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</si>
  <si>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</si>
  <si>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</si>
  <si>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</si>
  <si>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</si>
  <si>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</si>
  <si>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</si>
  <si>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</si>
  <si>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</si>
  <si>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</si>
  <si>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</si>
  <si>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</si>
  <si>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</si>
  <si>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</si>
  <si>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</si>
  <si>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</si>
  <si>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</si>
  <si>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</si>
  <si>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</si>
  <si>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</si>
  <si>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</si>
  <si>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</si>
  <si>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</si>
  <si>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</si>
  <si>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</si>
  <si>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</si>
  <si>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</si>
  <si>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</si>
  <si>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</si>
  <si>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</si>
  <si>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</si>
  <si>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</si>
  <si>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</si>
  <si>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</si>
  <si>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</si>
  <si>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</si>
  <si>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</si>
  <si>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</si>
  <si>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</si>
  <si>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</si>
  <si>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</si>
  <si>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</si>
  <si>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</si>
  <si>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</si>
  <si>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</si>
  <si>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</si>
  <si>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</si>
  <si>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</si>
  <si>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</si>
  <si>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</si>
  <si>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</si>
  <si>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</si>
  <si>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</si>
  <si>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</si>
  <si>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</si>
  <si>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</si>
  <si>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</si>
  <si>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</si>
  <si>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</si>
  <si>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</si>
  <si>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</si>
  <si>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</si>
  <si>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</si>
  <si>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</si>
  <si>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</si>
  <si>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</si>
  <si>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</si>
  <si>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</si>
  <si>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</si>
  <si>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</si>
  <si>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</si>
  <si>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</si>
  <si>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</si>
  <si>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</si>
  <si>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</si>
  <si>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</si>
  <si>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</si>
  <si>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</si>
  <si>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</si>
  <si>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</si>
  <si>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</si>
  <si>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</si>
  <si>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</si>
  <si>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</si>
  <si>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</si>
  <si>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</si>
  <si>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</si>
  <si>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</si>
  <si>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</si>
  <si>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</si>
  <si>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</si>
  <si>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</si>
  <si>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</si>
  <si>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</si>
  <si>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</si>
  <si>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</si>
  <si>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</si>
  <si>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</si>
  <si>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</si>
  <si>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</si>
  <si>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</si>
  <si>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</si>
  <si>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</si>
  <si>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</si>
  <si>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</si>
  <si>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</si>
  <si>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</si>
  <si>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</si>
  <si>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</si>
  <si>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</si>
  <si>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</si>
  <si>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</si>
  <si>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</si>
  <si>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</si>
  <si>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</si>
  <si>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</si>
  <si>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</si>
  <si>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</si>
  <si>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</si>
  <si>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</si>
  <si>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</si>
  <si>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</si>
  <si>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</si>
  <si>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</si>
  <si>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</si>
  <si>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</si>
  <si>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</si>
  <si>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</si>
  <si>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</si>
  <si>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</si>
  <si>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</si>
  <si>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</si>
  <si>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</si>
  <si>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</si>
  <si>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</si>
  <si>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</si>
  <si>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</si>
  <si>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</si>
  <si>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</si>
  <si>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</si>
  <si>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</si>
  <si>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</si>
  <si>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</si>
  <si>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</si>
  <si>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</si>
  <si>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</si>
  <si>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</si>
  <si>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</si>
  <si>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</si>
  <si>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</si>
  <si>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</si>
  <si>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</si>
  <si>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</si>
  <si>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</si>
  <si>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</si>
  <si>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</si>
  <si>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</si>
  <si>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</si>
  <si>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</si>
  <si>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</si>
  <si>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</si>
  <si>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</si>
  <si>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</si>
  <si>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</si>
  <si>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</si>
  <si>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</si>
  <si>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</si>
  <si>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</si>
  <si>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</si>
  <si>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</si>
  <si>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</si>
  <si>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</si>
  <si>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</si>
  <si>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</si>
  <si>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</si>
  <si>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</si>
  <si>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</si>
  <si>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</si>
  <si>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</si>
  <si>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</si>
  <si>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</si>
  <si>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</si>
  <si>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</si>
  <si>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</si>
  <si>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</si>
  <si>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</si>
  <si>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</si>
  <si>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</si>
  <si>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</si>
  <si>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</si>
  <si>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</si>
  <si>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</si>
  <si>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</si>
  <si>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</si>
  <si>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</si>
  <si>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</si>
  <si>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</si>
  <si>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</si>
  <si>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</si>
  <si>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</si>
  <si>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</si>
  <si>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</si>
  <si>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</si>
  <si>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</si>
  <si>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</si>
  <si>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</si>
  <si>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</si>
  <si>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</si>
  <si>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</si>
  <si>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</si>
  <si>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</si>
  <si>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</si>
  <si>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</si>
  <si>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</si>
  <si>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</si>
  <si>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</si>
  <si>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</si>
  <si>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</si>
  <si>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</si>
  <si>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</si>
  <si>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</si>
  <si>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</si>
  <si>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</si>
  <si>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</si>
  <si>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</si>
  <si>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</si>
  <si>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</si>
  <si>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</si>
  <si>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</si>
  <si>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</si>
  <si>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</si>
  <si>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</si>
  <si>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</si>
  <si>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</si>
  <si>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</si>
  <si>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</si>
  <si>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</si>
  <si>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</si>
  <si>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</si>
  <si>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</si>
  <si>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</si>
  <si>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</si>
  <si>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</si>
  <si>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</si>
  <si>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</si>
  <si>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</si>
  <si>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</si>
  <si>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</si>
  <si>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</si>
  <si>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</si>
  <si>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</si>
  <si>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</si>
  <si>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</si>
  <si>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</si>
  <si>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</si>
  <si>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</si>
  <si>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</si>
  <si>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</si>
  <si>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</si>
  <si>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</si>
  <si>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</si>
  <si>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</si>
  <si>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</si>
  <si>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</si>
  <si>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</si>
  <si>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</si>
  <si>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</si>
  <si>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</si>
  <si>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</si>
  <si>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</si>
  <si>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</si>
  <si>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</si>
  <si>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</si>
  <si>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</si>
  <si>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</si>
  <si>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</si>
  <si>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</si>
  <si>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</si>
  <si>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</si>
  <si>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</si>
  <si>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</si>
  <si>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</si>
  <si>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</si>
  <si>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</si>
  <si>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</si>
  <si>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</si>
  <si>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</si>
  <si>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</si>
  <si>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</si>
  <si>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</si>
  <si>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</si>
  <si>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</si>
  <si>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</si>
  <si>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</si>
  <si>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</si>
  <si>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</si>
  <si>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</si>
  <si>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</si>
  <si>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</si>
  <si>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</si>
  <si>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</si>
  <si>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</si>
  <si>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</si>
  <si>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</si>
  <si>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</si>
  <si>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</si>
  <si>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</si>
  <si>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</si>
  <si>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</si>
  <si>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</si>
  <si>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</si>
  <si>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</si>
  <si>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</si>
  <si>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</si>
  <si>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</si>
  <si>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</si>
  <si>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</si>
  <si>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</si>
  <si>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</si>
  <si>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</si>
  <si>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</si>
  <si>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</si>
  <si>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</si>
  <si>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</si>
  <si>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</si>
  <si>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</si>
  <si>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</si>
  <si>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</si>
  <si>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</si>
  <si>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</si>
  <si>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</si>
  <si>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</si>
  <si>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</si>
  <si>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</si>
  <si>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</si>
  <si>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</si>
  <si>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</si>
  <si>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</si>
  <si>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</si>
  <si>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</si>
  <si>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</si>
  <si>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</si>
  <si>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</si>
  <si>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</si>
  <si>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</si>
  <si>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</si>
  <si>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</si>
  <si>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</si>
  <si>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</si>
  <si>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</si>
  <si>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</si>
  <si>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</si>
  <si>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</si>
  <si>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</si>
  <si>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</si>
  <si>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</si>
  <si>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</si>
  <si>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</si>
  <si>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</si>
  <si>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</si>
  <si>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</si>
  <si>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</si>
  <si>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</si>
  <si>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</si>
  <si>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</si>
  <si>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</si>
  <si>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</si>
  <si>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</si>
  <si>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</si>
  <si>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</si>
  <si>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</si>
  <si>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</si>
  <si>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</si>
  <si>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</si>
  <si>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</si>
  <si>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</si>
  <si>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</si>
  <si>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</si>
  <si>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</si>
  <si>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</si>
  <si>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</si>
  <si>
    <t>表1_橋梁工程數量統計表</t>
    <phoneticPr fontId="3" type="noConversion"/>
  </si>
  <si>
    <t>每座5個</t>
    <phoneticPr fontId="3" type="noConversion"/>
  </si>
  <si>
    <t>(1+2+3)^2+3*4</t>
    <phoneticPr fontId="3" type="noConversion"/>
  </si>
  <si>
    <r>
      <t>57*60*40cm</t>
    </r>
    <r>
      <rPr>
        <sz val="11"/>
        <rFont val="細明體"/>
        <family val="3"/>
      </rPr>
      <t>混凝土</t>
    </r>
    <r>
      <rPr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</si>
  <si>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sz val="11"/>
        <rFont val="細明體"/>
        <family val="3"/>
      </rPr>
      <t>混凝土</t>
    </r>
    <r>
      <rPr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</si>
  <si>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sz val="11"/>
        <rFont val="細明體"/>
        <family val="3"/>
      </rPr>
      <t>混凝土墊塊</t>
    </r>
    <phoneticPr fontId="3" type="noConversion"/>
  </si>
  <si>
    <r>
      <rPr>
        <sz val="11"/>
        <rFont val="新細明體"/>
        <family val="1"/>
        <charset val="136"/>
      </rPr>
      <t>預力</t>
    </r>
    <r>
      <rPr>
        <sz val="11"/>
        <rFont val="Times New Roman"/>
        <family val="1"/>
      </rPr>
      <t>I</t>
    </r>
    <r>
      <rPr>
        <sz val="11"/>
        <rFont val="新細明體"/>
        <family val="1"/>
        <charset val="136"/>
      </rPr>
      <t>型梁</t>
    </r>
    <r>
      <rPr>
        <sz val="11"/>
        <rFont val="Times New Roman"/>
        <family val="1"/>
      </rPr>
      <t>L=40M</t>
    </r>
    <phoneticPr fontId="3" type="noConversion"/>
  </si>
  <si>
    <r>
      <rPr>
        <sz val="11"/>
        <rFont val="新細明體"/>
        <family val="1"/>
        <charset val="136"/>
      </rPr>
      <t>預力</t>
    </r>
    <r>
      <rPr>
        <sz val="11"/>
        <rFont val="Times New Roman"/>
        <family val="1"/>
      </rPr>
      <t>I</t>
    </r>
    <r>
      <rPr>
        <sz val="11"/>
        <rFont val="新細明體"/>
        <family val="1"/>
        <charset val="136"/>
      </rPr>
      <t>型梁</t>
    </r>
    <r>
      <rPr>
        <sz val="11"/>
        <rFont val="Times New Roman"/>
        <family val="1"/>
      </rPr>
      <t>L=45M</t>
    </r>
    <phoneticPr fontId="3" type="noConversion"/>
  </si>
  <si>
    <r>
      <t>全套管基樁，∮</t>
    </r>
    <r>
      <rPr>
        <sz val="11"/>
        <rFont val="Times New Roman"/>
        <family val="1"/>
        <charset val="136"/>
      </rPr>
      <t>150</t>
    </r>
    <r>
      <rPr>
        <sz val="11"/>
        <rFont val="細明體"/>
        <family val="3"/>
        <charset val="136"/>
      </rPr>
      <t>㎝，</t>
    </r>
    <r>
      <rPr>
        <sz val="11"/>
        <rFont val="Times New Roman"/>
        <family val="1"/>
        <charset val="136"/>
      </rPr>
      <t>L=10m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</si>
</sst>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  <numFmt numFmtId="197" formatCode="0&quot;&quot;"/>
  </numFmts>
  <fonts count="6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Cambria Math"/>
      <family val="3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5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4" fillId="0" borderId="1" xfId="0" applyFont="1" applyBorder="1" applyAlignment="1">
      <alignment horizontal="center" vertical="center" wrapText="1"/>
    </xf>
    <xf numFmtId="197" fontId="4" fillId="3" borderId="3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35" xfId="0" applyFont="1" applyBorder="1"/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35" xfId="0" applyFont="1" applyBorder="1" applyAlignment="1">
      <alignment horizontal="left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right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638175</xdr:colOff>
      <xdr:row>10</xdr:row>
      <xdr:rowOff>38100</xdr:rowOff>
    </xdr:from>
    <xdr:to>
      <xdr:col>3</xdr:col>
      <xdr:colOff>2324005</xdr:colOff>
      <xdr:row>34</xdr:row>
      <xdr:rowOff>164814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3390900"/>
          <a:ext cx="9096280" cy="51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workbookViewId="0">
      <selection activeCell="F19" sqref="F19"/>
    </sheetView>
  </sheetViews>
  <sheetFormatPr defaultRowHeight="16.5"/>
  <cols>
    <col min="1" max="1" width="9" style="241"/>
    <col min="2" max="2" width="43.125" style="241" customWidth="1"/>
    <col min="3" max="3" width="45.125" style="241" customWidth="1"/>
    <col min="4" max="4" width="43.375" style="241" customWidth="1"/>
  </cols>
  <sheetData>
    <row r="1" spans="1:4" s="233" customFormat="1">
      <c r="A1" s="239"/>
      <c r="B1" s="239" t="s">
        <v>541</v>
      </c>
      <c r="C1" s="243" t="s">
        <v>543</v>
      </c>
      <c r="D1" s="239"/>
    </row>
    <row r="2" spans="1:4" s="233" customFormat="1">
      <c r="A2" s="239"/>
      <c r="B2" s="239" t="s">
        <v>549</v>
      </c>
      <c r="C2" s="243">
        <v>1</v>
      </c>
      <c r="D2" s="239"/>
    </row>
    <row r="3" spans="1:4" s="233" customFormat="1">
      <c r="A3" s="239"/>
      <c r="B3" s="239" t="s">
        <v>542</v>
      </c>
      <c r="C3" s="243" t="s">
        <v>551</v>
      </c>
      <c r="D3" s="239"/>
    </row>
    <row r="4" spans="1:4" s="233" customFormat="1">
      <c r="A4" s="239"/>
      <c r="B4" s="239"/>
      <c r="C4" s="239"/>
      <c r="D4" s="239"/>
    </row>
    <row r="5" spans="1:4" s="233" customFormat="1">
      <c r="A5" s="239"/>
      <c r="B5" s="239"/>
      <c r="C5" s="239"/>
      <c r="D5" s="239"/>
    </row>
    <row r="6" spans="1:4" s="233" customFormat="1">
      <c r="A6" s="239"/>
      <c r="B6" s="239"/>
      <c r="C6" s="239"/>
      <c r="D6" s="239"/>
    </row>
    <row r="7" spans="1:4" s="232" customFormat="1">
      <c r="A7" s="240" t="s">
        <v>534</v>
      </c>
      <c r="B7" s="240" t="s">
        <v>536</v>
      </c>
      <c r="C7" s="240" t="s">
        <v>537</v>
      </c>
      <c r="D7" s="240"/>
    </row>
    <row r="8" spans="1:4">
      <c r="A8" s="241">
        <v>1</v>
      </c>
      <c r="B8" s="241" t="s">
        <v>535</v>
      </c>
      <c r="C8" s="241" t="s">
        <v>538</v>
      </c>
    </row>
    <row r="9" spans="1:4" ht="66">
      <c r="A9" s="241">
        <v>2</v>
      </c>
      <c r="B9" s="241" t="s">
        <v>539</v>
      </c>
      <c r="C9" s="242" t="s">
        <v>547</v>
      </c>
      <c r="D9" s="242" t="s">
        <v>548</v>
      </c>
    </row>
    <row r="10" spans="1:4" ht="66">
      <c r="A10" s="241">
        <v>3</v>
      </c>
      <c r="B10" s="241" t="s">
        <v>540</v>
      </c>
      <c r="C10" s="242" t="s">
        <v>550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topLeftCell="A38" zoomScaleNormal="115" zoomScaleSheetLayoutView="100" workbookViewId="0">
      <selection activeCell="C52" sqref="C52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8" t="s">
        <v>481</v>
      </c>
      <c r="B1" s="248"/>
      <c r="C1" s="248"/>
      <c r="D1" s="248"/>
      <c r="E1" s="248"/>
      <c r="F1" s="248"/>
      <c r="G1" s="248"/>
    </row>
    <row r="2" spans="1:7" ht="18" customHeight="1">
      <c r="A2" s="248"/>
      <c r="B2" s="248"/>
      <c r="C2" s="248"/>
      <c r="D2" s="248"/>
      <c r="E2" s="248"/>
      <c r="F2" s="248"/>
      <c r="G2" s="248"/>
    </row>
    <row r="3" spans="1:7" ht="21.95" customHeight="1">
      <c r="A3" s="250" t="s">
        <v>81</v>
      </c>
      <c r="B3" s="250"/>
      <c r="C3" s="250"/>
      <c r="D3" s="250"/>
      <c r="E3" s="250"/>
      <c r="F3" s="250"/>
      <c r="G3" s="250"/>
    </row>
    <row r="4" spans="1:7" ht="21.95" customHeight="1">
      <c r="A4" s="251" t="s">
        <v>480</v>
      </c>
      <c r="B4" s="251"/>
      <c r="C4" s="251"/>
      <c r="D4" s="251"/>
      <c r="E4" s="251"/>
      <c r="F4" s="251"/>
      <c r="G4" s="251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9" t="s">
        <v>219</v>
      </c>
      <c r="C6" s="249"/>
      <c r="D6" s="249"/>
      <c r="E6" s="249"/>
      <c r="F6" s="249"/>
      <c r="G6" s="249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49" t="s">
        <v>405</v>
      </c>
      <c r="C36" s="249"/>
      <c r="D36" s="249"/>
      <c r="E36" s="249"/>
      <c r="F36" s="249"/>
      <c r="G36" s="249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6420.8</v>
      </c>
      <c r="E37" s="29" t="s">
        <v>5</v>
      </c>
      <c r="F37" s="27">
        <f t="shared" ref="F37:F66" si="2">ROUND(D37,0)</f>
        <v>6421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2770.8</v>
      </c>
      <c r="E38" s="29" t="s">
        <v>5</v>
      </c>
      <c r="F38" s="27">
        <f t="shared" si="2"/>
        <v>2771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3650</v>
      </c>
      <c r="E39" s="29" t="s">
        <v>5</v>
      </c>
      <c r="F39" s="27">
        <f t="shared" si="2"/>
        <v>3650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5411.38</v>
      </c>
      <c r="E41" s="29" t="s">
        <v>5</v>
      </c>
      <c r="F41" s="27">
        <f t="shared" si="2"/>
        <v>5411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263208.24</v>
      </c>
      <c r="E42" s="29" t="s">
        <v>5</v>
      </c>
      <c r="F42" s="27">
        <f t="shared" si="2"/>
        <v>263208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832751.05</v>
      </c>
      <c r="E43" s="29" t="s">
        <v>5</v>
      </c>
      <c r="F43" s="27">
        <f t="shared" si="2"/>
        <v>832751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8816.43</v>
      </c>
      <c r="E44" s="29" t="s">
        <v>5</v>
      </c>
      <c r="F44" s="27">
        <f t="shared" si="2"/>
        <v>8816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259.83</v>
      </c>
      <c r="E45" s="29" t="s">
        <v>5</v>
      </c>
      <c r="F45" s="27">
        <f t="shared" si="2"/>
        <v>260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560</v>
      </c>
      <c r="E46" s="29" t="s">
        <v>5</v>
      </c>
      <c r="F46" s="27">
        <f t="shared" si="2"/>
        <v>560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210</v>
      </c>
      <c r="E47" s="29" t="s">
        <v>5</v>
      </c>
      <c r="F47" s="27">
        <f t="shared" si="2"/>
        <v>210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3215.46</v>
      </c>
      <c r="E48" s="29" t="s">
        <v>5</v>
      </c>
      <c r="F48" s="27">
        <f t="shared" si="2"/>
        <v>3215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7243.17</v>
      </c>
      <c r="E49" s="29" t="s">
        <v>5</v>
      </c>
      <c r="F49" s="27">
        <f t="shared" si="2"/>
        <v>7243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150</v>
      </c>
      <c r="E50" s="29" t="s">
        <v>5</v>
      </c>
      <c r="F50" s="27">
        <f t="shared" si="2"/>
        <v>150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54</v>
      </c>
      <c r="E51" s="29" t="s">
        <v>5</v>
      </c>
      <c r="F51" s="27">
        <f t="shared" si="2"/>
        <v>54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6</v>
      </c>
      <c r="E53" s="29" t="s">
        <v>5</v>
      </c>
      <c r="F53" s="27">
        <f t="shared" si="2"/>
        <v>6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750</v>
      </c>
      <c r="E54" s="29" t="s">
        <v>5</v>
      </c>
      <c r="F54" s="27">
        <f t="shared" si="2"/>
        <v>750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1.47</v>
      </c>
      <c r="E55" s="29" t="s">
        <v>5</v>
      </c>
      <c r="F55" s="27">
        <f t="shared" si="2"/>
        <v>1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0.81</v>
      </c>
      <c r="E56" s="29" t="s">
        <v>5</v>
      </c>
      <c r="F56" s="27">
        <f t="shared" si="2"/>
        <v>1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300.89999999999998</v>
      </c>
      <c r="E57" s="29" t="s">
        <v>5</v>
      </c>
      <c r="F57" s="27">
        <f t="shared" si="2"/>
        <v>301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9077.52</v>
      </c>
      <c r="E58" s="29" t="s">
        <v>5</v>
      </c>
      <c r="F58" s="27">
        <f t="shared" si="2"/>
        <v>9078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1783.2</v>
      </c>
      <c r="E59" s="29" t="s">
        <v>5</v>
      </c>
      <c r="F59" s="27">
        <f t="shared" si="2"/>
        <v>1783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1804.2</v>
      </c>
      <c r="E60" s="29" t="s">
        <v>5</v>
      </c>
      <c r="F60" s="27">
        <f t="shared" si="2"/>
        <v>1804</v>
      </c>
      <c r="G60" s="53" t="str">
        <f>表1_橋梁工程數量統計表!C26</f>
        <v>M</v>
      </c>
    </row>
    <row r="61" spans="1:7" s="145" customFormat="1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42</v>
      </c>
      <c r="E61" s="29" t="s">
        <v>5</v>
      </c>
      <c r="F61" s="27">
        <f t="shared" si="2"/>
        <v>42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6</v>
      </c>
      <c r="E63" s="29" t="s">
        <v>5</v>
      </c>
      <c r="F63" s="27">
        <f t="shared" si="2"/>
        <v>6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13250.64</v>
      </c>
      <c r="E64" s="29" t="s">
        <v>5</v>
      </c>
      <c r="F64" s="27">
        <f t="shared" si="2"/>
        <v>13251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42</v>
      </c>
      <c r="E65" s="29" t="s">
        <v>5</v>
      </c>
      <c r="F65" s="27">
        <f t="shared" si="2"/>
        <v>42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323.49</v>
      </c>
      <c r="E66" s="29" t="s">
        <v>5</v>
      </c>
      <c r="F66" s="27">
        <f t="shared" si="2"/>
        <v>323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7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7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80+1642.8</v>
      </c>
      <c r="D75" s="26">
        <f>表1_橋梁工程數量統計表!E13+表1_橋梁工程數量統計表!E15</f>
        <v>1722.8</v>
      </c>
      <c r="E75" s="29" t="s">
        <v>5</v>
      </c>
      <c r="F75" s="27">
        <f t="shared" si="4"/>
        <v>1723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66</v>
      </c>
      <c r="D76" s="26">
        <f>C76</f>
        <v>66</v>
      </c>
      <c r="E76" s="29" t="s">
        <v>5</v>
      </c>
      <c r="F76" s="27">
        <f t="shared" si="4"/>
        <v>66</v>
      </c>
      <c r="G76" s="53" t="s">
        <v>473</v>
      </c>
    </row>
    <row r="77" spans="1:7" s="145" customFormat="1" ht="20.45" customHeight="1">
      <c r="A77" s="20" t="s">
        <v>76</v>
      </c>
      <c r="B77" s="255" t="s">
        <v>260</v>
      </c>
      <c r="C77" s="256"/>
      <c r="D77" s="256"/>
      <c r="E77" s="256"/>
      <c r="F77" s="256"/>
      <c r="G77" s="257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52" t="s">
        <v>432</v>
      </c>
      <c r="C80" s="253"/>
      <c r="D80" s="253"/>
      <c r="E80" s="253"/>
      <c r="F80" s="253"/>
      <c r="G80" s="254"/>
    </row>
    <row r="81" spans="1:7" s="145" customFormat="1" ht="20.45" customHeight="1">
      <c r="A81" s="20">
        <v>1</v>
      </c>
      <c r="B81" s="221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1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52" t="s">
        <v>265</v>
      </c>
      <c r="C83" s="253"/>
      <c r="D83" s="253"/>
      <c r="E83" s="253"/>
      <c r="F83" s="253"/>
      <c r="G83" s="254"/>
    </row>
    <row r="84" spans="1:7" s="145" customFormat="1" ht="20.45" customHeight="1">
      <c r="A84" s="20">
        <v>1</v>
      </c>
      <c r="B84" s="221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1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1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1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1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52" t="s">
        <v>84</v>
      </c>
      <c r="C91" s="253"/>
      <c r="D91" s="253"/>
      <c r="E91" s="253"/>
      <c r="F91" s="253"/>
      <c r="G91" s="254"/>
    </row>
    <row r="92" spans="1:7" s="145" customFormat="1" ht="20.45" customHeight="1">
      <c r="A92" s="20">
        <v>1</v>
      </c>
      <c r="B92" s="221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1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1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1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52" t="s">
        <v>111</v>
      </c>
      <c r="C96" s="253"/>
      <c r="D96" s="253"/>
      <c r="E96" s="253"/>
      <c r="F96" s="253"/>
      <c r="G96" s="254"/>
    </row>
    <row r="97" spans="1:7" s="145" customFormat="1" ht="20.45" customHeight="1">
      <c r="A97" s="20">
        <v>1</v>
      </c>
      <c r="B97" s="221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1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9" t="s">
        <v>65</v>
      </c>
      <c r="C100" s="249"/>
      <c r="D100" s="249"/>
      <c r="E100" s="249"/>
      <c r="F100" s="249"/>
      <c r="G100" s="249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9" t="s">
        <v>59</v>
      </c>
      <c r="C121" s="249"/>
      <c r="D121" s="249"/>
      <c r="E121" s="249"/>
      <c r="F121" s="249"/>
      <c r="G121" s="249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tabSelected="1" view="pageBreakPreview" zoomScaleNormal="100" zoomScaleSheetLayoutView="100" workbookViewId="0">
      <selection activeCell="H7" sqref="H7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8" t="s">
        <v>215</v>
      </c>
      <c r="B3" s="258" t="s">
        <v>216</v>
      </c>
      <c r="C3" s="258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09"/>
      <c r="Q3" s="123">
        <v>5</v>
      </c>
    </row>
    <row r="4" spans="1:18" ht="50.1" customHeight="1">
      <c r="A4" s="258"/>
      <c r="B4" s="258"/>
      <c r="C4" s="258"/>
      <c r="D4" s="246" t="s">
        <v>314</v>
      </c>
      <c r="E4" s="246" t="s">
        <v>188</v>
      </c>
      <c r="F4" s="246" t="s">
        <v>192</v>
      </c>
      <c r="G4" s="246" t="s">
        <v>554</v>
      </c>
      <c r="H4" s="246" t="s">
        <v>555</v>
      </c>
      <c r="I4" s="246" t="s">
        <v>556</v>
      </c>
      <c r="J4" s="246" t="s">
        <v>557</v>
      </c>
      <c r="K4" s="246" t="s">
        <v>558</v>
      </c>
      <c r="L4" s="246" t="s">
        <v>466</v>
      </c>
      <c r="M4" s="246" t="s">
        <v>336</v>
      </c>
      <c r="N4" s="246" t="s">
        <v>559</v>
      </c>
      <c r="O4" s="259" t="s">
        <v>24</v>
      </c>
      <c r="Q4" s="126" t="s">
        <v>479</v>
      </c>
    </row>
    <row r="5" spans="1:18" ht="19.5" customHeight="1">
      <c r="A5" s="258"/>
      <c r="B5" s="258"/>
      <c r="C5" s="258"/>
      <c r="D5" s="247">
        <f>表3_元件數量計算表!$E$7</f>
        <v>10</v>
      </c>
      <c r="E5" s="210">
        <f>表3_元件數量計算表!$E$18</f>
        <v>20</v>
      </c>
      <c r="F5" s="210">
        <v>3</v>
      </c>
      <c r="G5" s="235">
        <v>3</v>
      </c>
      <c r="H5" s="235">
        <v>3</v>
      </c>
      <c r="I5" s="235">
        <v>3</v>
      </c>
      <c r="J5" s="236">
        <v>3</v>
      </c>
      <c r="K5" s="212">
        <v>3</v>
      </c>
      <c r="L5" s="211">
        <v>33</v>
      </c>
      <c r="M5" s="211">
        <v>3</v>
      </c>
      <c r="N5" s="237">
        <v>3</v>
      </c>
      <c r="O5" s="260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1780</v>
      </c>
      <c r="E6" s="130">
        <f>$E$5*表3_元件數量計算表!$E$19</f>
        <v>4640.8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6420.8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1440</v>
      </c>
      <c r="E7" s="130">
        <f>$E$5*表3_元件數量計算表!$E$20</f>
        <v>1330.8000000000002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2770.8</v>
      </c>
      <c r="Q7" s="128"/>
    </row>
    <row r="8" spans="1:18" ht="19.5" customHeight="1">
      <c r="A8" s="129">
        <f t="shared" ref="A8:A28" si="1">A7+1</f>
        <v>3</v>
      </c>
      <c r="B8" s="213" t="s">
        <v>482</v>
      </c>
      <c r="C8" s="129" t="str">
        <f>表3_元件數量計算表!$F$10</f>
        <v>M2</v>
      </c>
      <c r="D8" s="130">
        <f>$D$5*表3_元件數量計算表!$E$10</f>
        <v>2284.6</v>
      </c>
      <c r="E8" s="130">
        <f>$E$5*表3_元件數量計算表!$E$21</f>
        <v>2529.6</v>
      </c>
      <c r="F8" s="130"/>
      <c r="G8" s="130">
        <f>$G$5*表3_元件數量計算表!$E$40</f>
        <v>2.88</v>
      </c>
      <c r="H8" s="130">
        <f>$H$5*表3_元件數量計算表!$E$45</f>
        <v>3.5999999999999996</v>
      </c>
      <c r="I8" s="130">
        <f>$I$5*表3_元件數量計算表!$E$50</f>
        <v>1.47</v>
      </c>
      <c r="J8" s="130"/>
      <c r="K8" s="130"/>
      <c r="L8" s="130">
        <f>$L$5*表3_元件數量計算表!$E$78</f>
        <v>443.52</v>
      </c>
      <c r="M8" s="130">
        <f>$M$5*表3_元件數量計算表!$E$85</f>
        <v>145.71</v>
      </c>
      <c r="N8" s="130"/>
      <c r="O8" s="131">
        <f t="shared" si="0"/>
        <v>5411.38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3" t="s">
        <v>497</v>
      </c>
      <c r="C9" s="129" t="str">
        <f>表3_元件數量計算表!$F$11</f>
        <v>KG</v>
      </c>
      <c r="D9" s="130">
        <f>$D$5*表3_元件數量計算表!$E$11</f>
        <v>38220</v>
      </c>
      <c r="E9" s="130">
        <f>$E$5*表3_元件數量計算表!$E$23</f>
        <v>69385.8</v>
      </c>
      <c r="F9" s="130">
        <f>$F$5*表3_元件數量計算表!$E$32</f>
        <v>121845.57</v>
      </c>
      <c r="G9" s="130">
        <f>$G$5*表3_元件數量計算表!$E$41</f>
        <v>84.570000000000007</v>
      </c>
      <c r="H9" s="130">
        <f>$H$5*表3_元件數量計算表!$E$46</f>
        <v>162.63</v>
      </c>
      <c r="I9" s="130">
        <f>$I$5*表3_元件數量計算表!$E$51</f>
        <v>93.78</v>
      </c>
      <c r="J9" s="130">
        <f>$J$5*表3_元件數量計算表!$E$57</f>
        <v>14454.54</v>
      </c>
      <c r="K9" s="130">
        <f>$K$5*表3_元件數量計算表!$E$68</f>
        <v>15694.380000000001</v>
      </c>
      <c r="L9" s="130">
        <f>$L$5*表3_元件數量計算表!$E$79</f>
        <v>3083.52</v>
      </c>
      <c r="M9" s="130"/>
      <c r="N9" s="130">
        <f>$N$5*表3_元件數量計算表!$E$90</f>
        <v>183.45</v>
      </c>
      <c r="O9" s="131">
        <f t="shared" si="0"/>
        <v>263208.24</v>
      </c>
      <c r="P9" s="132"/>
      <c r="Q9" s="130"/>
      <c r="R9" s="132"/>
    </row>
    <row r="10" spans="1:18" ht="19.5" customHeight="1">
      <c r="A10" s="129">
        <f t="shared" si="1"/>
        <v>5</v>
      </c>
      <c r="B10" s="214" t="s">
        <v>501</v>
      </c>
      <c r="C10" s="129" t="str">
        <f>表3_元件數量計算表!$F$12</f>
        <v>KG</v>
      </c>
      <c r="D10" s="130">
        <f>$D$5*表3_元件數量計算表!$E$12</f>
        <v>142622</v>
      </c>
      <c r="E10" s="130">
        <f>$E$5*表3_元件數量計算表!$E$24</f>
        <v>647631.80000000005</v>
      </c>
      <c r="F10" s="130"/>
      <c r="G10" s="130"/>
      <c r="H10" s="130"/>
      <c r="I10" s="130"/>
      <c r="J10" s="130">
        <f>$J$5*表3_元件數量計算表!$E$58</f>
        <v>2907.45</v>
      </c>
      <c r="K10" s="130">
        <f>$K$5*表3_元件數量計算表!$E$69</f>
        <v>3272.25</v>
      </c>
      <c r="L10" s="130">
        <f>$L$5*表3_元件數量計算表!$E$80</f>
        <v>24454.649999999998</v>
      </c>
      <c r="M10" s="130">
        <f>$M$5*表3_元件數量計算表!$E$86</f>
        <v>3349.5</v>
      </c>
      <c r="N10" s="130">
        <f>$N$5*表3_元件數量計算表!$E$91</f>
        <v>8513.4000000000015</v>
      </c>
      <c r="O10" s="131">
        <f t="shared" si="0"/>
        <v>832751.05</v>
      </c>
      <c r="P10" s="132"/>
      <c r="Q10" s="130"/>
      <c r="R10" s="132"/>
    </row>
    <row r="11" spans="1:18" ht="19.5" customHeight="1">
      <c r="A11" s="129">
        <f t="shared" si="1"/>
        <v>6</v>
      </c>
      <c r="B11" s="215" t="s">
        <v>489</v>
      </c>
      <c r="C11" s="129" t="str">
        <f>表3_元件數量計算表!$F$13</f>
        <v>M3</v>
      </c>
      <c r="D11" s="130">
        <f>$D$5*表3_元件數量計算表!$E$13</f>
        <v>2545.2000000000003</v>
      </c>
      <c r="E11" s="130">
        <f>$E$5*表3_元件數量計算表!$E$25</f>
        <v>5024.3999999999996</v>
      </c>
      <c r="F11" s="130">
        <f>$F$5*表3_元件數量計算表!$E$33</f>
        <v>1246.83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8816.43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6" t="s">
        <v>484</v>
      </c>
      <c r="C12" s="129" t="str">
        <f>表3_元件數量計算表!$F$14</f>
        <v>M3</v>
      </c>
      <c r="D12" s="130">
        <f>$D$5*表3_元件數量計算表!$E$14</f>
        <v>73.8</v>
      </c>
      <c r="E12" s="130">
        <f>$E$5*表3_元件數量計算表!$E$26</f>
        <v>169.20000000000002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16.830000000000002</v>
      </c>
      <c r="M12" s="130"/>
      <c r="N12" s="130"/>
      <c r="O12" s="131">
        <f t="shared" si="0"/>
        <v>259.83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3" t="s">
        <v>517</v>
      </c>
      <c r="C13" s="129" t="str">
        <f>表3_元件數量計算表!$F$15</f>
        <v>組</v>
      </c>
      <c r="D13" s="130">
        <f>$D$5*表3_元件數量計算表!$E$15</f>
        <v>480</v>
      </c>
      <c r="E13" s="130">
        <f>$E$5*表3_元件數量計算表!$E$27</f>
        <v>80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560</v>
      </c>
      <c r="P13" s="132"/>
      <c r="Q13" s="130"/>
      <c r="R13" s="132"/>
    </row>
    <row r="14" spans="1:18" ht="19.5" customHeight="1">
      <c r="A14" s="129">
        <f t="shared" si="1"/>
        <v>9</v>
      </c>
      <c r="B14" s="213" t="s">
        <v>518</v>
      </c>
      <c r="C14" s="129" t="str">
        <f>表3_元件數量計算表!$F$16</f>
        <v>組</v>
      </c>
      <c r="D14" s="130">
        <f>$D$5*表3_元件數量計算表!$E$16</f>
        <v>50</v>
      </c>
      <c r="E14" s="130">
        <f>$E$5*表3_元件數量計算表!$E$28</f>
        <v>160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210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3" t="s">
        <v>492</v>
      </c>
      <c r="C15" s="129" t="str">
        <f>表3_元件數量計算表!$F$22</f>
        <v>M2</v>
      </c>
      <c r="D15" s="130"/>
      <c r="E15" s="130">
        <f>$E$5*表3_元件數量計算表!$E$22</f>
        <v>1642.8</v>
      </c>
      <c r="F15" s="130"/>
      <c r="G15" s="130"/>
      <c r="H15" s="130"/>
      <c r="I15" s="130"/>
      <c r="J15" s="130">
        <f>$J$5*表3_元件數量計算表!$E$56</f>
        <v>740.73</v>
      </c>
      <c r="K15" s="130">
        <f>$K$5*表3_元件數量計算表!$E$67</f>
        <v>831.93000000000006</v>
      </c>
      <c r="L15" s="130"/>
      <c r="M15" s="130"/>
      <c r="N15" s="130"/>
      <c r="O15" s="131">
        <f t="shared" si="0"/>
        <v>3215.46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3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7243.17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7243.17</v>
      </c>
      <c r="P16" s="132"/>
      <c r="Q16" s="133"/>
      <c r="R16" s="132"/>
    </row>
    <row r="17" spans="1:18" ht="19.5" customHeight="1">
      <c r="A17" s="129">
        <f t="shared" si="1"/>
        <v>12</v>
      </c>
      <c r="B17" s="213" t="s">
        <v>520</v>
      </c>
      <c r="C17" s="129" t="str">
        <f>表3_元件數量計算表!$F$34</f>
        <v>組</v>
      </c>
      <c r="D17" s="217"/>
      <c r="E17" s="130"/>
      <c r="F17" s="130">
        <f>$F$5*表3_元件數量計算表!$E$34</f>
        <v>150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150</v>
      </c>
      <c r="P17" s="132"/>
      <c r="Q17" s="130"/>
      <c r="R17" s="132"/>
    </row>
    <row r="18" spans="1:18" ht="19.5" customHeight="1">
      <c r="A18" s="129">
        <f t="shared" si="1"/>
        <v>13</v>
      </c>
      <c r="B18" s="218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54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54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6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6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750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750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0.42000000000000004</v>
      </c>
      <c r="H21" s="133">
        <f>$H$5*表3_元件數量計算表!$E$47</f>
        <v>0.75</v>
      </c>
      <c r="I21" s="133">
        <f>$I$5*表3_元件數量計算表!$E$52</f>
        <v>0.30000000000000004</v>
      </c>
      <c r="J21" s="130"/>
      <c r="K21" s="130"/>
      <c r="L21" s="130"/>
      <c r="M21" s="130"/>
      <c r="N21" s="133"/>
      <c r="O21" s="131">
        <f t="shared" si="0"/>
        <v>1.47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0.81</v>
      </c>
      <c r="J22" s="130"/>
      <c r="K22" s="130"/>
      <c r="L22" s="130"/>
      <c r="M22" s="130"/>
      <c r="N22" s="133"/>
      <c r="O22" s="131">
        <f t="shared" si="0"/>
        <v>0.81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141.60000000000002</v>
      </c>
      <c r="K23" s="130">
        <f>$K$5*表3_元件數量計算表!$E$70</f>
        <v>159.30000000000001</v>
      </c>
      <c r="L23" s="130"/>
      <c r="M23" s="130"/>
      <c r="N23" s="133"/>
      <c r="O23" s="131">
        <f t="shared" si="0"/>
        <v>300.89999999999998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9077.52</v>
      </c>
      <c r="K24" s="130"/>
      <c r="L24" s="130"/>
      <c r="M24" s="130"/>
      <c r="N24" s="133"/>
      <c r="O24" s="131">
        <f t="shared" si="0"/>
        <v>9077.52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839.16000000000008</v>
      </c>
      <c r="K25" s="130">
        <f>$K$5*表3_元件數量計算表!$E$72</f>
        <v>944.04</v>
      </c>
      <c r="L25" s="130"/>
      <c r="M25" s="130"/>
      <c r="N25" s="133"/>
      <c r="O25" s="131">
        <f t="shared" si="0"/>
        <v>1783.2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849.66000000000008</v>
      </c>
      <c r="K26" s="133">
        <f>$K$5*表3_元件數量計算表!$E$73</f>
        <v>954.54</v>
      </c>
      <c r="L26" s="133"/>
      <c r="M26" s="133"/>
      <c r="N26" s="133"/>
      <c r="O26" s="131">
        <f t="shared" si="0"/>
        <v>1804.2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42</v>
      </c>
      <c r="K27" s="133"/>
      <c r="L27" s="133"/>
      <c r="M27" s="133"/>
      <c r="N27" s="133"/>
      <c r="O27" s="131">
        <f t="shared" si="0"/>
        <v>42</v>
      </c>
      <c r="P27" s="132"/>
      <c r="Q27" s="133"/>
      <c r="R27" s="132"/>
    </row>
    <row r="28" spans="1:18" ht="19.5" customHeight="1">
      <c r="A28" s="129">
        <f t="shared" si="1"/>
        <v>23</v>
      </c>
      <c r="B28" s="219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3</v>
      </c>
      <c r="K28" s="133">
        <f>$K$5*表3_元件數量計算表!$E$75</f>
        <v>3</v>
      </c>
      <c r="L28" s="133"/>
      <c r="M28" s="133"/>
      <c r="N28" s="133"/>
      <c r="O28" s="131">
        <f t="shared" si="0"/>
        <v>6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13250.64</v>
      </c>
      <c r="L29" s="130"/>
      <c r="M29" s="130"/>
      <c r="N29" s="130"/>
      <c r="O29" s="131">
        <f t="shared" si="0"/>
        <v>13250.64</v>
      </c>
      <c r="P29" s="132"/>
      <c r="Q29" s="130"/>
      <c r="R29" s="132"/>
    </row>
    <row r="30" spans="1:18" ht="19.5" customHeight="1">
      <c r="A30" s="129">
        <f>A29+1</f>
        <v>25</v>
      </c>
      <c r="B30" s="220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42</v>
      </c>
      <c r="L30" s="130"/>
      <c r="M30" s="130"/>
      <c r="N30" s="130"/>
      <c r="O30" s="131">
        <f t="shared" si="0"/>
        <v>42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7"/>
      <c r="E31" s="217"/>
      <c r="F31" s="217"/>
      <c r="G31" s="130"/>
      <c r="H31" s="130"/>
      <c r="I31" s="133"/>
      <c r="J31" s="217"/>
      <c r="K31" s="217"/>
      <c r="L31" s="217">
        <f>$L$5*表3_元件數量計算表!$E$82</f>
        <v>289.40999999999997</v>
      </c>
      <c r="M31" s="217">
        <f>$M$5*表3_元件數量計算表!$E$87</f>
        <v>34.08</v>
      </c>
      <c r="N31" s="217"/>
      <c r="O31" s="131">
        <f t="shared" si="0"/>
        <v>323.49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52.980000000000004</v>
      </c>
      <c r="O32" s="131">
        <f t="shared" si="0"/>
        <v>52.98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D7" sqref="D7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8" t="s">
        <v>215</v>
      </c>
      <c r="B3" s="258" t="s">
        <v>216</v>
      </c>
      <c r="C3" s="258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8"/>
      <c r="B4" s="258"/>
      <c r="C4" s="258"/>
      <c r="D4" s="227" t="s">
        <v>505</v>
      </c>
      <c r="E4" s="227" t="s">
        <v>506</v>
      </c>
      <c r="F4" s="227" t="s">
        <v>330</v>
      </c>
      <c r="G4" s="227" t="s">
        <v>298</v>
      </c>
      <c r="H4" s="227" t="s">
        <v>299</v>
      </c>
      <c r="I4" s="227" t="s">
        <v>444</v>
      </c>
      <c r="J4" s="227" t="s">
        <v>209</v>
      </c>
      <c r="K4" s="227" t="s">
        <v>129</v>
      </c>
      <c r="L4" s="227" t="s">
        <v>228</v>
      </c>
      <c r="M4" s="227" t="s">
        <v>212</v>
      </c>
      <c r="N4" s="227" t="s">
        <v>507</v>
      </c>
      <c r="O4" s="227" t="s">
        <v>508</v>
      </c>
      <c r="P4" s="227" t="s">
        <v>509</v>
      </c>
      <c r="Q4" s="227" t="s">
        <v>510</v>
      </c>
      <c r="R4" s="227" t="s">
        <v>412</v>
      </c>
      <c r="S4" s="227" t="s">
        <v>411</v>
      </c>
      <c r="T4" s="259" t="s">
        <v>24</v>
      </c>
    </row>
    <row r="5" spans="1:22" ht="19.5" customHeight="1">
      <c r="A5" s="258"/>
      <c r="B5" s="258"/>
      <c r="C5" s="258"/>
      <c r="D5" s="228">
        <v>188</v>
      </c>
      <c r="E5" s="228">
        <v>93</v>
      </c>
      <c r="F5" s="228">
        <v>12</v>
      </c>
      <c r="G5" s="137">
        <v>2</v>
      </c>
      <c r="H5" s="226">
        <v>2</v>
      </c>
      <c r="I5" s="229">
        <v>4</v>
      </c>
      <c r="J5" s="230">
        <v>4.2</v>
      </c>
      <c r="K5" s="230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1">
        <v>31</v>
      </c>
      <c r="S5" s="231">
        <v>65</v>
      </c>
      <c r="T5" s="260"/>
    </row>
    <row r="6" spans="1:22" ht="21.95" customHeight="1">
      <c r="A6" s="123">
        <v>1</v>
      </c>
      <c r="B6" s="224" t="s">
        <v>482</v>
      </c>
      <c r="C6" s="129" t="str">
        <f>表3_元件數量計算表!$F$10</f>
        <v>M2</v>
      </c>
      <c r="D6" s="222">
        <f>$D$5*表3_元件數量計算表!$E$96</f>
        <v>1128</v>
      </c>
      <c r="E6" s="222">
        <f>$E$5*表3_元件數量計算表!$E$107</f>
        <v>2512.8599999999997</v>
      </c>
      <c r="F6" s="222">
        <f>$F$5*表3_元件數量計算表!$E$118</f>
        <v>436.91999999999996</v>
      </c>
      <c r="G6" s="222">
        <f>$G$5*表3_元件數量計算表!$E$126</f>
        <v>120</v>
      </c>
      <c r="H6" s="222">
        <f>$H$5*表3_元件數量計算表!$E$131</f>
        <v>38</v>
      </c>
      <c r="I6" s="222">
        <f>$I$5*表3_元件數量計算表!$E$136</f>
        <v>53.76</v>
      </c>
      <c r="J6" s="222">
        <f>$J$5*表3_元件數量計算表!$E$143</f>
        <v>20.16</v>
      </c>
      <c r="K6" s="222"/>
      <c r="L6" s="222">
        <f>$L$5*表3_元件數量計算表!$E$157</f>
        <v>214.375</v>
      </c>
      <c r="M6" s="222">
        <f>$M$5*表3_元件數量計算表!$E$163</f>
        <v>72</v>
      </c>
      <c r="N6" s="222">
        <f>$N$5*表3_元件數量計算表!$E$169</f>
        <v>230.38000000000002</v>
      </c>
      <c r="O6" s="222">
        <f>$O$5*表3_元件數量計算表!$E$175</f>
        <v>497.42500000000001</v>
      </c>
      <c r="P6" s="222">
        <f>$P$5*表3_元件數量計算表!$E$183</f>
        <v>387.59999999999997</v>
      </c>
      <c r="Q6" s="222">
        <f>$Q$5*表3_元件數量計算表!$E$191</f>
        <v>40.86</v>
      </c>
      <c r="R6" s="222">
        <f>$R$5*表3_元件數量計算表!$E$197</f>
        <v>62</v>
      </c>
      <c r="S6" s="222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4" t="s">
        <v>497</v>
      </c>
      <c r="C7" s="129" t="str">
        <f>表3_元件數量計算表!$F$11</f>
        <v>KG</v>
      </c>
      <c r="D7" s="222">
        <f>$D$5*表3_元件數量計算表!$E$97</f>
        <v>8505.1200000000008</v>
      </c>
      <c r="E7" s="222">
        <f>$E$5*表3_元件數量計算表!$E$108</f>
        <v>41802.57</v>
      </c>
      <c r="F7" s="222">
        <f>$F$5*表3_元件數量計算表!$E$119</f>
        <v>6105.24</v>
      </c>
      <c r="G7" s="222"/>
      <c r="H7" s="222"/>
      <c r="I7" s="222">
        <f>$I$5*表3_元件數量計算表!$E$137</f>
        <v>643.28</v>
      </c>
      <c r="J7" s="222">
        <f>$J$5*表3_元件數量計算表!$E$144</f>
        <v>137.59199999999998</v>
      </c>
      <c r="K7" s="222">
        <f>$K$5*表3_元件數量計算表!$E$151</f>
        <v>1921.92</v>
      </c>
      <c r="L7" s="222">
        <f>$L$5*表3_元件數量計算表!$E$158</f>
        <v>1584.66</v>
      </c>
      <c r="M7" s="222">
        <f>$M$5*表3_元件數量計算表!$E$164</f>
        <v>49.6</v>
      </c>
      <c r="N7" s="222">
        <f>$N$5*表3_元件數量計算表!$E$170</f>
        <v>340.04999999999995</v>
      </c>
      <c r="O7" s="222">
        <f>$O$5*表3_元件數量計算表!$E$176</f>
        <v>4553.53</v>
      </c>
      <c r="P7" s="222">
        <f>$P$5*表3_元件數量計算表!$E$184</f>
        <v>3089.9250000000002</v>
      </c>
      <c r="Q7" s="222">
        <f>$Q$5*表3_元件數量計算表!$E$192</f>
        <v>84.094999999999999</v>
      </c>
      <c r="R7" s="222">
        <f>$R$5*表3_元件數量計算表!$E$198</f>
        <v>395.87</v>
      </c>
      <c r="S7" s="222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4" t="s">
        <v>501</v>
      </c>
      <c r="C8" s="129" t="str">
        <f>表3_元件數量計算表!$F$12</f>
        <v>KG</v>
      </c>
      <c r="D8" s="222">
        <f>$D$5*表3_元件數量計算表!$E$98</f>
        <v>12056.439999999999</v>
      </c>
      <c r="E8" s="222">
        <f>$E$5*表3_元件數量計算表!$E$109</f>
        <v>218828.06999999998</v>
      </c>
      <c r="F8" s="222">
        <f>$F$5*表3_元件數量計算表!$E$120</f>
        <v>32725.32</v>
      </c>
      <c r="G8" s="222">
        <f>$G$5*表3_元件數量計算表!$E$127</f>
        <v>6172.28</v>
      </c>
      <c r="H8" s="222">
        <f>$H$5*表3_元件數量計算表!$E$132</f>
        <v>1943.94</v>
      </c>
      <c r="I8" s="222"/>
      <c r="J8" s="222">
        <f>$J$5*表3_元件數量計算表!$E$145</f>
        <v>198.45000000000002</v>
      </c>
      <c r="K8" s="222"/>
      <c r="L8" s="222"/>
      <c r="M8" s="222"/>
      <c r="N8" s="222"/>
      <c r="O8" s="222">
        <f>$O$5*表3_元件數量計算表!$E$177</f>
        <v>11910.014999999999</v>
      </c>
      <c r="P8" s="222">
        <f>$P$5*表3_元件數量計算表!$E$185</f>
        <v>8515.68</v>
      </c>
      <c r="Q8" s="222"/>
      <c r="R8" s="222"/>
      <c r="S8" s="222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4" t="s">
        <v>483</v>
      </c>
      <c r="C9" s="129" t="str">
        <f>表3_元件數量計算表!$F$82</f>
        <v>M3</v>
      </c>
      <c r="D9" s="222">
        <f>$D$5*表3_元件數量計算表!$E$99</f>
        <v>172.96</v>
      </c>
      <c r="E9" s="222"/>
      <c r="F9" s="222"/>
      <c r="G9" s="222"/>
      <c r="H9" s="222"/>
      <c r="I9" s="222">
        <f>$I$5*表3_元件數量計算表!$E$138</f>
        <v>7.36</v>
      </c>
      <c r="J9" s="222">
        <f>$J$5*表3_元件數量計算表!$E$146</f>
        <v>3.3600000000000003</v>
      </c>
      <c r="K9" s="222">
        <f>$K$5*表3_元件數量計算表!$E$152</f>
        <v>45.76</v>
      </c>
      <c r="L9" s="222">
        <f>$L$5*表3_元件數量計算表!$E$159</f>
        <v>22.295000000000002</v>
      </c>
      <c r="M9" s="222">
        <f>$M$5*表3_元件數量計算表!$E$165</f>
        <v>18.72</v>
      </c>
      <c r="N9" s="222">
        <f>$N$5*表3_元件數量計算表!$E$171</f>
        <v>44.349999999999994</v>
      </c>
      <c r="O9" s="222">
        <f>$O$5*表3_元件數量計算表!$E$178</f>
        <v>274.54499999999996</v>
      </c>
      <c r="P9" s="222">
        <f>$P$5*表3_元件數量計算表!$E$186</f>
        <v>173.64499999999998</v>
      </c>
      <c r="Q9" s="222">
        <f>$Q$5*表3_元件數量計算表!$E$193</f>
        <v>6.24</v>
      </c>
      <c r="R9" s="222">
        <f>$R$5*表3_元件數量計算表!$E$199</f>
        <v>9.2999999999999989</v>
      </c>
      <c r="S9" s="222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4" t="s">
        <v>484</v>
      </c>
      <c r="C10" s="129" t="str">
        <f>表3_元件數量計算表!$F$14</f>
        <v>M3</v>
      </c>
      <c r="D10" s="222">
        <f>$D$5*表3_元件數量計算表!$E$100</f>
        <v>26.320000000000004</v>
      </c>
      <c r="E10" s="222">
        <f>$E$5*表3_元件數量計算表!$E$111</f>
        <v>83.7</v>
      </c>
      <c r="F10" s="222">
        <f>$F$5*表3_元件數量計算表!$E$122</f>
        <v>10.8</v>
      </c>
      <c r="G10" s="222"/>
      <c r="H10" s="222"/>
      <c r="I10" s="222">
        <f>$I$5*表3_元件數量計算表!$E$139</f>
        <v>1.28</v>
      </c>
      <c r="J10" s="222">
        <f>$J$5*表3_元件數量計算表!$E$147</f>
        <v>0.58800000000000008</v>
      </c>
      <c r="K10" s="222"/>
      <c r="L10" s="222"/>
      <c r="M10" s="222"/>
      <c r="N10" s="222"/>
      <c r="O10" s="222">
        <f>$O$5*表3_元件數量計算表!$E$179</f>
        <v>15.86</v>
      </c>
      <c r="P10" s="222">
        <f>$P$5*表3_元件數量計算表!$E$187</f>
        <v>13.78</v>
      </c>
      <c r="Q10" s="222"/>
      <c r="R10" s="222"/>
      <c r="S10" s="222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4" t="s">
        <v>485</v>
      </c>
      <c r="C11" s="129" t="str">
        <f>表3_元件數量計算表!$F$101</f>
        <v>處</v>
      </c>
      <c r="D11" s="222">
        <f>$D$5*表3_元件數量計算表!$E$101</f>
        <v>94</v>
      </c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4" t="s">
        <v>486</v>
      </c>
      <c r="C12" s="129" t="str">
        <f>表3_元件數量計算表!$F$102</f>
        <v>組</v>
      </c>
      <c r="D12" s="222">
        <f>$D$5*表3_元件數量計算表!$E$102</f>
        <v>1880</v>
      </c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4" t="s">
        <v>487</v>
      </c>
      <c r="C13" s="129" t="str">
        <f>表3_元件數量計算表!$F$103</f>
        <v>M2</v>
      </c>
      <c r="D13" s="222">
        <f>$D$5*表3_元件數量計算表!$E$103</f>
        <v>1880</v>
      </c>
      <c r="E13" s="222">
        <f>$E$5*表3_元件數量計算表!$E$113</f>
        <v>372</v>
      </c>
      <c r="F13" s="222"/>
      <c r="G13" s="222"/>
      <c r="H13" s="222"/>
      <c r="I13" s="222"/>
      <c r="J13" s="222"/>
      <c r="K13" s="222" t="e">
        <f>$K$5*表3_元件數量計算表!$E$154</f>
        <v>#VALUE!</v>
      </c>
      <c r="L13" s="222"/>
      <c r="M13" s="222"/>
      <c r="N13" s="222"/>
      <c r="O13" s="222"/>
      <c r="P13" s="222"/>
      <c r="Q13" s="222"/>
      <c r="R13" s="222"/>
      <c r="S13" s="222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4" t="s">
        <v>488</v>
      </c>
      <c r="C14" s="129" t="str">
        <f>表3_元件數量計算表!$F$104</f>
        <v>M</v>
      </c>
      <c r="D14" s="222">
        <f>$D$5*表3_元件數量計算表!$E$104</f>
        <v>1880</v>
      </c>
      <c r="E14" s="222">
        <f>$E$5*表3_元件數量計算表!$E$114</f>
        <v>372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4" t="s">
        <v>489</v>
      </c>
      <c r="C15" s="129" t="str">
        <f>表3_元件數量計算表!$F$110</f>
        <v>M3</v>
      </c>
      <c r="D15" s="222"/>
      <c r="E15" s="222">
        <f>$E$5*表3_元件數量計算表!$E$110</f>
        <v>1266.1949999999999</v>
      </c>
      <c r="F15" s="222">
        <f>$F$5*表3_元件數量計算表!$E$121</f>
        <v>191.52</v>
      </c>
      <c r="G15" s="222">
        <f>$G$5*表3_元件數量計算表!$E$128</f>
        <v>30</v>
      </c>
      <c r="H15" s="222">
        <f>$H$5*表3_元件數量計算表!$E$133</f>
        <v>9.5</v>
      </c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4" t="s">
        <v>221</v>
      </c>
      <c r="C16" s="129" t="str">
        <f>表3_元件數量計算表!$F$112</f>
        <v>M3</v>
      </c>
      <c r="D16" s="222"/>
      <c r="E16" s="222">
        <f>$E$5*表3_元件數量計算表!$E$112</f>
        <v>1452.66</v>
      </c>
      <c r="F16" s="222">
        <f>$F$5*表3_元件數量計算表!$E$123</f>
        <v>311.52</v>
      </c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4" t="s">
        <v>490</v>
      </c>
      <c r="C17" s="129" t="str">
        <f>表3_元件數量計算表!$F$115</f>
        <v>支</v>
      </c>
      <c r="D17" s="222"/>
      <c r="E17" s="222">
        <f>$E$5*表3_元件數量計算表!$E$115</f>
        <v>372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4" t="s">
        <v>491</v>
      </c>
      <c r="C18" s="129" t="str">
        <f>表3_元件數量計算表!$F$140</f>
        <v>組</v>
      </c>
      <c r="D18" s="222"/>
      <c r="E18" s="222"/>
      <c r="F18" s="222"/>
      <c r="G18" s="222"/>
      <c r="H18" s="222"/>
      <c r="I18" s="222">
        <f>$I$5*表3_元件數量計算表!$E$140</f>
        <v>8</v>
      </c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4" t="s">
        <v>492</v>
      </c>
      <c r="C19" s="129" t="str">
        <f>表3_元件數量計算表!$F$150</f>
        <v>M2</v>
      </c>
      <c r="D19" s="222"/>
      <c r="E19" s="222"/>
      <c r="F19" s="222"/>
      <c r="G19" s="222"/>
      <c r="H19" s="222"/>
      <c r="I19" s="222"/>
      <c r="J19" s="222"/>
      <c r="K19" s="222">
        <f>$K$5*表3_元件數量計算表!$E$150</f>
        <v>411.84</v>
      </c>
      <c r="L19" s="222"/>
      <c r="M19" s="222"/>
      <c r="N19" s="222"/>
      <c r="O19" s="222"/>
      <c r="P19" s="222"/>
      <c r="Q19" s="222"/>
      <c r="R19" s="222"/>
      <c r="S19" s="222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4" t="s">
        <v>493</v>
      </c>
      <c r="C20" s="129" t="str">
        <f>表3_元件數量計算表!$F$153</f>
        <v>處</v>
      </c>
      <c r="D20" s="222"/>
      <c r="E20" s="222"/>
      <c r="F20" s="222"/>
      <c r="G20" s="222"/>
      <c r="H20" s="222"/>
      <c r="I20" s="222"/>
      <c r="J20" s="222"/>
      <c r="K20" s="222">
        <f>$K$5*表3_元件數量計算表!$E$153</f>
        <v>41.6</v>
      </c>
      <c r="L20" s="222"/>
      <c r="M20" s="222"/>
      <c r="N20" s="222"/>
      <c r="O20" s="222"/>
      <c r="P20" s="222"/>
      <c r="Q20" s="222"/>
      <c r="R20" s="222"/>
      <c r="S20" s="222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4" t="s">
        <v>494</v>
      </c>
      <c r="C21" s="129" t="str">
        <f>表3_元件數量計算表!$F$160</f>
        <v>處</v>
      </c>
      <c r="D21" s="222"/>
      <c r="E21" s="222"/>
      <c r="F21" s="222"/>
      <c r="G21" s="222"/>
      <c r="H21" s="222"/>
      <c r="I21" s="222"/>
      <c r="J21" s="222"/>
      <c r="K21" s="222"/>
      <c r="L21" s="222">
        <f>$L$5*表3_元件數量計算表!$E$160</f>
        <v>171.5</v>
      </c>
      <c r="M21" s="222"/>
      <c r="N21" s="222"/>
      <c r="O21" s="222"/>
      <c r="P21" s="222"/>
      <c r="Q21" s="222"/>
      <c r="R21" s="222"/>
      <c r="S21" s="222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4" t="s">
        <v>495</v>
      </c>
      <c r="C22" s="129" t="str">
        <f>表3_元件數量計算表!$F$166</f>
        <v>M</v>
      </c>
      <c r="D22" s="222"/>
      <c r="E22" s="222"/>
      <c r="F22" s="222"/>
      <c r="G22" s="222"/>
      <c r="H22" s="222"/>
      <c r="I22" s="222"/>
      <c r="J22" s="222"/>
      <c r="K22" s="222"/>
      <c r="L22" s="222"/>
      <c r="M22" s="222">
        <f>$M$5*表3_元件數量計算表!$E$166</f>
        <v>28</v>
      </c>
      <c r="N22" s="222"/>
      <c r="O22" s="222"/>
      <c r="P22" s="222"/>
      <c r="Q22" s="222"/>
      <c r="R22" s="222"/>
      <c r="S22" s="222"/>
      <c r="T22" s="131">
        <f t="shared" si="0"/>
        <v>28</v>
      </c>
      <c r="U22" s="132"/>
      <c r="V22" s="132"/>
    </row>
    <row r="23" spans="1:22" ht="16.5">
      <c r="B23" s="224" t="s">
        <v>496</v>
      </c>
      <c r="C23" s="129" t="str">
        <f>表3_元件數量計算表!$F$172</f>
        <v>M</v>
      </c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>
        <f>$N$5*表3_元件數量計算表!$E$172</f>
        <v>131.35</v>
      </c>
      <c r="O23" s="222">
        <f>$O$5*表3_元件數量計算表!$E$180</f>
        <v>471.86500000000001</v>
      </c>
      <c r="P23" s="222">
        <f>$P$5*表3_元件數量計算表!$E$188</f>
        <v>297.04000000000002</v>
      </c>
      <c r="Q23" s="222">
        <f>$Q$5*表3_元件數量計算表!$E$194</f>
        <v>15.99</v>
      </c>
      <c r="R23" s="222"/>
      <c r="S23" s="222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>
      <selection activeCell="M6" sqref="M6"/>
    </sheetView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3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3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G19" sqref="G19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245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61" t="str">
        <f>數量計算總表!A1</f>
        <v>OOO單位</v>
      </c>
      <c r="B1" s="261"/>
      <c r="C1" s="261"/>
      <c r="D1" s="261"/>
      <c r="E1" s="261"/>
      <c r="F1" s="261"/>
    </row>
    <row r="2" spans="1:7">
      <c r="A2" s="261"/>
      <c r="B2" s="261"/>
      <c r="C2" s="261"/>
      <c r="D2" s="261"/>
      <c r="E2" s="261"/>
      <c r="F2" s="261"/>
    </row>
    <row r="3" spans="1:7" ht="24.95" customHeight="1">
      <c r="A3" s="262" t="s">
        <v>173</v>
      </c>
      <c r="B3" s="262"/>
      <c r="C3" s="262"/>
      <c r="D3" s="262"/>
      <c r="E3" s="262"/>
      <c r="F3" s="262"/>
    </row>
    <row r="4" spans="1:7" s="84" customFormat="1" ht="24.95" customHeight="1">
      <c r="A4" s="263" t="str">
        <f>數量計算總表!A4</f>
        <v>工程名稱：OOOO工程</v>
      </c>
      <c r="B4" s="263"/>
      <c r="C4" s="263"/>
      <c r="D4" s="263"/>
      <c r="E4" s="263"/>
      <c r="F4" s="264"/>
      <c r="G4" s="112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8" t="s">
        <v>546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cm="1">
        <f t="array" ref="E7">IF(ISBLANK(C7),"",IFERROR(eValue(C7),IF(ISBLANK(G7),"",G7)))</f>
        <v>10</v>
      </c>
      <c r="F7" s="225"/>
      <c r="G7" s="245">
        <v>10</v>
      </c>
    </row>
    <row r="8" spans="1:7" ht="19.5" customHeight="1">
      <c r="A8" s="94" t="s">
        <v>9</v>
      </c>
      <c r="B8" s="100" t="s">
        <v>230</v>
      </c>
      <c r="C8" s="96">
        <v>178</v>
      </c>
      <c r="D8" s="244" t="s">
        <v>5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 t="s">
        <v>553</v>
      </c>
      <c r="D15" s="97" t="s">
        <v>180</v>
      </c>
      <c r="E15" s="98" cm="1">
        <f t="array" ref="E15">IF(ISBLANK(C15),"",IFERROR(eValue(C15),IF(ISBLANK(G15),"",G15)))</f>
        <v>48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 t="s">
        <v>552</v>
      </c>
      <c r="D16" s="97" t="s">
        <v>180</v>
      </c>
      <c r="E16" s="98" cm="1">
        <f t="array" ref="E16">IF(ISBLANK(C16),"",IFERROR(eValue(C16),IF(ISBLANK(G16),"",G16)))</f>
        <v>5</v>
      </c>
      <c r="F16" s="103" t="s">
        <v>183</v>
      </c>
      <c r="G16" s="245">
        <v>5</v>
      </c>
    </row>
    <row r="17" spans="1:7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7" ht="24.75" customHeight="1">
      <c r="A18" s="88">
        <v>2</v>
      </c>
      <c r="B18" s="89" t="s">
        <v>188</v>
      </c>
      <c r="C18" s="90" t="s">
        <v>189</v>
      </c>
      <c r="D18" s="91"/>
      <c r="E18" s="92" cm="1">
        <f t="array" ref="E18">IF(ISBLANK(C18),"",IFERROR(eValue(C18),IF(ISBLANK(G18),"",G18)))</f>
        <v>20</v>
      </c>
      <c r="F18" s="225" t="s">
        <v>142</v>
      </c>
      <c r="G18" s="245">
        <v>20</v>
      </c>
    </row>
    <row r="19" spans="1:7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7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7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7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7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7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7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7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7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7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7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7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4" t="s">
        <v>142</v>
      </c>
    </row>
    <row r="31" spans="1:7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7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8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4" t="s">
        <v>544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4" t="s">
        <v>544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4" t="s">
        <v>544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234" t="s">
        <v>545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4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234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4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245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245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245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245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245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245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25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5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5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25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25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25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5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25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5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25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78" t="str">
        <f>數量計算總表!A1</f>
        <v>OOO單位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</row>
    <row r="2" spans="1:14" s="56" customFormat="1" ht="30" customHeight="1">
      <c r="A2" s="280" t="s">
        <v>158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</row>
    <row r="3" spans="1:14" s="58" customFormat="1" ht="34.15" customHeight="1" thickBot="1">
      <c r="A3" s="57"/>
      <c r="B3" s="57"/>
      <c r="C3" s="282" t="str">
        <f>數量計算總表!A4</f>
        <v>工程名稱：OOOO工程</v>
      </c>
      <c r="D3" s="283"/>
      <c r="E3" s="283"/>
      <c r="F3" s="283"/>
      <c r="G3" s="283"/>
      <c r="H3" s="283"/>
      <c r="I3" s="283"/>
      <c r="J3" s="283"/>
      <c r="K3" s="283"/>
      <c r="L3" s="284"/>
      <c r="M3" s="284"/>
      <c r="N3" s="57"/>
    </row>
    <row r="4" spans="1:14" ht="24.95" customHeight="1">
      <c r="A4" s="59"/>
      <c r="B4" s="285" t="s">
        <v>159</v>
      </c>
      <c r="C4" s="286"/>
      <c r="D4" s="286"/>
      <c r="E4" s="287"/>
      <c r="F4" s="294" t="s">
        <v>160</v>
      </c>
      <c r="G4" s="287"/>
      <c r="H4" s="296" t="s">
        <v>161</v>
      </c>
      <c r="I4" s="297"/>
      <c r="J4" s="298"/>
      <c r="K4" s="296" t="s">
        <v>162</v>
      </c>
      <c r="L4" s="297"/>
      <c r="M4" s="299"/>
      <c r="N4" s="59"/>
    </row>
    <row r="5" spans="1:14" ht="24.95" customHeight="1">
      <c r="A5" s="59"/>
      <c r="B5" s="288"/>
      <c r="C5" s="289"/>
      <c r="D5" s="289"/>
      <c r="E5" s="290"/>
      <c r="F5" s="295"/>
      <c r="G5" s="290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91"/>
      <c r="C6" s="292"/>
      <c r="D6" s="292"/>
      <c r="E6" s="293"/>
      <c r="F6" s="300" t="s">
        <v>11</v>
      </c>
      <c r="G6" s="293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75" t="s">
        <v>169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7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8"/>
      <c r="G8" s="269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68">
        <f t="shared" ref="F9:F14" si="1">D9-D8</f>
        <v>20</v>
      </c>
      <c r="G9" s="269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8">
        <f t="shared" si="1"/>
        <v>20</v>
      </c>
      <c r="G10" s="269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8">
        <f t="shared" si="1"/>
        <v>3</v>
      </c>
      <c r="G11" s="269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8">
        <f t="shared" si="1"/>
        <v>0</v>
      </c>
      <c r="G12" s="269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68">
        <f t="shared" si="1"/>
        <v>17</v>
      </c>
      <c r="G13" s="269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8">
        <f t="shared" si="1"/>
        <v>20</v>
      </c>
      <c r="G14" s="269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68">
        <f>D15-D14</f>
        <v>20</v>
      </c>
      <c r="G15" s="269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68">
        <f t="shared" ref="F16:F22" si="5">D16-D15</f>
        <v>1</v>
      </c>
      <c r="G16" s="269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68">
        <f t="shared" si="5"/>
        <v>0</v>
      </c>
      <c r="G17" s="269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68">
        <f t="shared" si="5"/>
        <v>125</v>
      </c>
      <c r="G18" s="269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68">
        <f t="shared" si="5"/>
        <v>0</v>
      </c>
      <c r="G19" s="269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68">
        <f t="shared" si="5"/>
        <v>14</v>
      </c>
      <c r="G20" s="269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68">
        <f t="shared" si="5"/>
        <v>20</v>
      </c>
      <c r="G21" s="269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68">
        <f t="shared" si="5"/>
        <v>14</v>
      </c>
      <c r="G22" s="269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68">
        <f>D23-D22</f>
        <v>0</v>
      </c>
      <c r="G23" s="269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68">
        <f>D24-D23</f>
        <v>6</v>
      </c>
      <c r="G24" s="269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68">
        <f>D25-D24</f>
        <v>20</v>
      </c>
      <c r="G25" s="269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68">
        <f>D26-D25</f>
        <v>20</v>
      </c>
      <c r="G26" s="269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68">
        <f>D27-D26</f>
        <v>5</v>
      </c>
      <c r="G27" s="269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68"/>
      <c r="G28" s="269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68"/>
      <c r="G29" s="269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8"/>
      <c r="G30" s="269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68"/>
      <c r="G31" s="269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68"/>
      <c r="G32" s="269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68"/>
      <c r="G33" s="269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70" t="s">
        <v>223</v>
      </c>
      <c r="C34" s="271"/>
      <c r="D34" s="271"/>
      <c r="E34" s="272"/>
      <c r="F34" s="273"/>
      <c r="G34" s="274"/>
      <c r="H34" s="265">
        <f>ROUND(SUM(J9:J33),2)</f>
        <v>2434.42</v>
      </c>
      <c r="I34" s="266"/>
      <c r="J34" s="267"/>
      <c r="K34" s="265">
        <f>ROUND(SUM(M9:M33),2)</f>
        <v>680.1</v>
      </c>
      <c r="L34" s="266"/>
      <c r="M34" s="267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A1:N1"/>
    <mergeCell ref="A2:N2"/>
    <mergeCell ref="C3:M3"/>
    <mergeCell ref="B4:E6"/>
    <mergeCell ref="F4:G5"/>
    <mergeCell ref="H4:J4"/>
    <mergeCell ref="K4:M4"/>
    <mergeCell ref="F6:G6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K34:M34"/>
    <mergeCell ref="H34:J34"/>
    <mergeCell ref="F31:G31"/>
    <mergeCell ref="F32:G32"/>
    <mergeCell ref="F33:G33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78" t="str">
        <f>數量計算總表!A1</f>
        <v>OOO單位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</row>
    <row r="2" spans="1:14" s="56" customFormat="1" ht="30" customHeight="1">
      <c r="A2" s="280" t="s">
        <v>103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</row>
    <row r="3" spans="1:14" s="58" customFormat="1" ht="34.15" customHeight="1" thickBot="1">
      <c r="A3" s="57"/>
      <c r="B3" s="57"/>
      <c r="C3" s="282" t="str">
        <f>數量計算總表!A4</f>
        <v>工程名稱：OOOO工程</v>
      </c>
      <c r="D3" s="283"/>
      <c r="E3" s="283"/>
      <c r="F3" s="283"/>
      <c r="G3" s="283"/>
      <c r="H3" s="283"/>
      <c r="I3" s="283"/>
      <c r="J3" s="283"/>
      <c r="K3" s="283"/>
      <c r="L3" s="284"/>
      <c r="M3" s="284"/>
      <c r="N3" s="57"/>
    </row>
    <row r="4" spans="1:14" ht="24.95" customHeight="1">
      <c r="A4" s="59"/>
      <c r="B4" s="285" t="s">
        <v>159</v>
      </c>
      <c r="C4" s="286"/>
      <c r="D4" s="286"/>
      <c r="E4" s="287"/>
      <c r="F4" s="294" t="s">
        <v>160</v>
      </c>
      <c r="G4" s="287"/>
      <c r="H4" s="302" t="s">
        <v>373</v>
      </c>
      <c r="I4" s="303"/>
      <c r="J4" s="304"/>
      <c r="K4" s="302" t="s">
        <v>374</v>
      </c>
      <c r="L4" s="303"/>
      <c r="M4" s="304"/>
      <c r="N4" s="59"/>
    </row>
    <row r="5" spans="1:14" ht="24.95" customHeight="1">
      <c r="A5" s="59"/>
      <c r="B5" s="288"/>
      <c r="C5" s="289"/>
      <c r="D5" s="289"/>
      <c r="E5" s="290"/>
      <c r="F5" s="295"/>
      <c r="G5" s="290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91"/>
      <c r="C6" s="292"/>
      <c r="D6" s="292"/>
      <c r="E6" s="293"/>
      <c r="F6" s="300" t="s">
        <v>11</v>
      </c>
      <c r="G6" s="293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301" t="s">
        <v>375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7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68"/>
      <c r="G8" s="269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68">
        <f>D9-D8</f>
        <v>20</v>
      </c>
      <c r="G9" s="269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68">
        <f>D10-D9</f>
        <v>20</v>
      </c>
      <c r="G10" s="269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68">
        <f t="shared" ref="F11:F25" si="0">D11-D10</f>
        <v>3</v>
      </c>
      <c r="G11" s="269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68">
        <f t="shared" si="0"/>
        <v>0</v>
      </c>
      <c r="G12" s="269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68">
        <f t="shared" si="0"/>
        <v>17</v>
      </c>
      <c r="G13" s="269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68">
        <f t="shared" si="0"/>
        <v>20</v>
      </c>
      <c r="G14" s="269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68">
        <f t="shared" si="0"/>
        <v>20</v>
      </c>
      <c r="G15" s="269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68">
        <f t="shared" si="0"/>
        <v>0</v>
      </c>
      <c r="G16" s="269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68">
        <f t="shared" si="0"/>
        <v>126</v>
      </c>
      <c r="G17" s="269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68">
        <f t="shared" si="0"/>
        <v>0</v>
      </c>
      <c r="G18" s="269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68">
        <f t="shared" si="0"/>
        <v>14</v>
      </c>
      <c r="G19" s="269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68">
        <f t="shared" si="0"/>
        <v>20</v>
      </c>
      <c r="G20" s="269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68">
        <f t="shared" si="0"/>
        <v>14</v>
      </c>
      <c r="G21" s="269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68">
        <f t="shared" si="0"/>
        <v>0</v>
      </c>
      <c r="G22" s="269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68">
        <f t="shared" si="0"/>
        <v>26</v>
      </c>
      <c r="G23" s="269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68">
        <f t="shared" si="0"/>
        <v>20</v>
      </c>
      <c r="G24" s="269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68">
        <f t="shared" si="0"/>
        <v>5</v>
      </c>
      <c r="G25" s="269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68"/>
      <c r="G26" s="269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68"/>
      <c r="G27" s="269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68"/>
      <c r="G28" s="269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68"/>
      <c r="G29" s="269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68"/>
      <c r="G30" s="269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70" t="s">
        <v>223</v>
      </c>
      <c r="C31" s="271"/>
      <c r="D31" s="271"/>
      <c r="E31" s="272"/>
      <c r="F31" s="273"/>
      <c r="G31" s="274"/>
      <c r="H31" s="265">
        <f>ROUND(SUM(J9:J30),2)</f>
        <v>2145</v>
      </c>
      <c r="I31" s="266"/>
      <c r="J31" s="267"/>
      <c r="K31" s="265">
        <f>ROUND(SUM(M9:M30),2)</f>
        <v>2145</v>
      </c>
      <c r="L31" s="266"/>
      <c r="M31" s="267"/>
      <c r="N31" s="59"/>
    </row>
    <row r="32" spans="1:14" ht="24.95" customHeight="1">
      <c r="A32" s="59"/>
      <c r="B32" s="285" t="s">
        <v>159</v>
      </c>
      <c r="C32" s="286"/>
      <c r="D32" s="286"/>
      <c r="E32" s="287"/>
      <c r="F32" s="294" t="s">
        <v>160</v>
      </c>
      <c r="G32" s="287"/>
      <c r="H32" s="302" t="s">
        <v>376</v>
      </c>
      <c r="I32" s="303"/>
      <c r="J32" s="304"/>
      <c r="K32" s="302"/>
      <c r="L32" s="303"/>
      <c r="M32" s="304"/>
      <c r="N32" s="59"/>
    </row>
    <row r="33" spans="1:14" ht="24.95" customHeight="1">
      <c r="A33" s="59"/>
      <c r="B33" s="288"/>
      <c r="C33" s="289"/>
      <c r="D33" s="289"/>
      <c r="E33" s="290"/>
      <c r="F33" s="295"/>
      <c r="G33" s="290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91"/>
      <c r="C34" s="292"/>
      <c r="D34" s="292"/>
      <c r="E34" s="293"/>
      <c r="F34" s="300" t="s">
        <v>11</v>
      </c>
      <c r="G34" s="293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301" t="s">
        <v>377</v>
      </c>
      <c r="C35" s="276"/>
      <c r="D35" s="276"/>
      <c r="E35" s="276"/>
      <c r="F35" s="276"/>
      <c r="G35" s="276"/>
      <c r="H35" s="276"/>
      <c r="I35" s="276"/>
      <c r="J35" s="276"/>
      <c r="K35" s="276"/>
      <c r="L35" s="276"/>
      <c r="M35" s="277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68"/>
      <c r="G36" s="269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68">
        <f>D37-D36</f>
        <v>20</v>
      </c>
      <c r="G37" s="269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68">
        <f>D38-D37</f>
        <v>20</v>
      </c>
      <c r="G38" s="269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68">
        <f t="shared" ref="F39:F53" si="6">D39-D38</f>
        <v>3</v>
      </c>
      <c r="G39" s="269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68">
        <f t="shared" si="6"/>
        <v>0</v>
      </c>
      <c r="G40" s="269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68">
        <f t="shared" si="6"/>
        <v>17</v>
      </c>
      <c r="G41" s="269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68">
        <f t="shared" si="6"/>
        <v>20</v>
      </c>
      <c r="G42" s="269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68">
        <f t="shared" si="6"/>
        <v>20</v>
      </c>
      <c r="G43" s="269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68">
        <f t="shared" si="6"/>
        <v>0</v>
      </c>
      <c r="G44" s="269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68">
        <f t="shared" si="6"/>
        <v>126</v>
      </c>
      <c r="G45" s="269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68">
        <f t="shared" si="6"/>
        <v>0</v>
      </c>
      <c r="G46" s="269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68">
        <f t="shared" si="6"/>
        <v>14</v>
      </c>
      <c r="G47" s="269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68">
        <f t="shared" si="6"/>
        <v>20</v>
      </c>
      <c r="G48" s="269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68">
        <f t="shared" si="6"/>
        <v>14</v>
      </c>
      <c r="G49" s="269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68">
        <f t="shared" si="6"/>
        <v>0</v>
      </c>
      <c r="G50" s="269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68">
        <f t="shared" si="6"/>
        <v>26</v>
      </c>
      <c r="G51" s="269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68">
        <f t="shared" si="6"/>
        <v>20</v>
      </c>
      <c r="G52" s="269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68">
        <f t="shared" si="6"/>
        <v>5</v>
      </c>
      <c r="G53" s="269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68"/>
      <c r="G54" s="269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68"/>
      <c r="G55" s="269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68"/>
      <c r="G56" s="269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68"/>
      <c r="G57" s="269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68"/>
      <c r="G58" s="269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70" t="s">
        <v>223</v>
      </c>
      <c r="C59" s="271"/>
      <c r="D59" s="271"/>
      <c r="E59" s="272"/>
      <c r="F59" s="273"/>
      <c r="G59" s="274"/>
      <c r="H59" s="265">
        <f>ROUND(SUM(J37:J58),2)</f>
        <v>620.4</v>
      </c>
      <c r="I59" s="266"/>
      <c r="J59" s="267"/>
      <c r="K59" s="265"/>
      <c r="L59" s="266"/>
      <c r="M59" s="267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  <mergeCell ref="F11:G11"/>
    <mergeCell ref="F12:G12"/>
    <mergeCell ref="F14:G14"/>
    <mergeCell ref="F13:G13"/>
    <mergeCell ref="F15:G15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28:G28"/>
    <mergeCell ref="F29:G29"/>
    <mergeCell ref="F30:G30"/>
    <mergeCell ref="B32:E34"/>
    <mergeCell ref="F32:G33"/>
    <mergeCell ref="F34:G34"/>
    <mergeCell ref="B31:E31"/>
    <mergeCell ref="F31:G31"/>
    <mergeCell ref="B35:M35"/>
    <mergeCell ref="F36:G36"/>
    <mergeCell ref="F37:G37"/>
    <mergeCell ref="F38:G38"/>
    <mergeCell ref="K31:M31"/>
    <mergeCell ref="H32:J32"/>
    <mergeCell ref="K32:M32"/>
    <mergeCell ref="H31:J31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8" t="str">
        <f>數量計算總表!A1</f>
        <v>OOO單位</v>
      </c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7"/>
    </row>
    <row r="2" spans="1:14" s="2" customFormat="1" ht="15" customHeight="1"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8"/>
    </row>
    <row r="3" spans="1:14" ht="21.95" customHeight="1">
      <c r="B3" s="250" t="s">
        <v>81</v>
      </c>
      <c r="C3" s="305"/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9"/>
    </row>
    <row r="4" spans="1:14" s="4" customFormat="1" ht="20.100000000000001" customHeight="1" thickBot="1">
      <c r="B4" s="251" t="str">
        <f>數量計算總表!A4</f>
        <v>工程名稱：OOOO工程</v>
      </c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307" t="s">
        <v>263</v>
      </c>
      <c r="C6" s="308"/>
      <c r="D6" s="183" t="s">
        <v>66</v>
      </c>
      <c r="E6" s="309" t="s">
        <v>270</v>
      </c>
      <c r="F6" s="309"/>
      <c r="G6" s="309"/>
      <c r="H6" s="309"/>
      <c r="I6" s="309"/>
      <c r="J6" s="309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307" t="s">
        <v>264</v>
      </c>
      <c r="C7" s="308"/>
      <c r="D7" s="183" t="s">
        <v>66</v>
      </c>
      <c r="E7" s="306" t="s">
        <v>267</v>
      </c>
      <c r="F7" s="306"/>
      <c r="G7" s="306"/>
      <c r="H7" s="306"/>
      <c r="I7" s="306"/>
      <c r="J7" s="306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307" t="s">
        <v>261</v>
      </c>
      <c r="C8" s="308"/>
      <c r="D8" s="183" t="s">
        <v>66</v>
      </c>
      <c r="E8" s="306" t="s">
        <v>271</v>
      </c>
      <c r="F8" s="306"/>
      <c r="G8" s="306"/>
      <c r="H8" s="306"/>
      <c r="I8" s="306"/>
      <c r="J8" s="306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307" t="s">
        <v>262</v>
      </c>
      <c r="C9" s="308"/>
      <c r="D9" s="183" t="s">
        <v>66</v>
      </c>
      <c r="E9" s="306" t="s">
        <v>272</v>
      </c>
      <c r="F9" s="306"/>
      <c r="G9" s="306"/>
      <c r="H9" s="306"/>
      <c r="I9" s="306"/>
      <c r="J9" s="306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307" t="s">
        <v>273</v>
      </c>
      <c r="C10" s="308"/>
      <c r="D10" s="183" t="s">
        <v>66</v>
      </c>
      <c r="E10" s="306" t="s">
        <v>272</v>
      </c>
      <c r="F10" s="306"/>
      <c r="G10" s="306"/>
      <c r="H10" s="306"/>
      <c r="I10" s="306"/>
      <c r="J10" s="306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12" t="s">
        <v>257</v>
      </c>
      <c r="C13" s="312"/>
      <c r="D13" s="183" t="s">
        <v>66</v>
      </c>
      <c r="E13" s="309" t="s">
        <v>292</v>
      </c>
      <c r="F13" s="309"/>
      <c r="G13" s="309"/>
      <c r="H13" s="309"/>
      <c r="I13" s="309"/>
      <c r="J13" s="309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312" t="s">
        <v>257</v>
      </c>
      <c r="C14" s="312"/>
      <c r="D14" s="183" t="s">
        <v>66</v>
      </c>
      <c r="E14" s="306" t="s">
        <v>293</v>
      </c>
      <c r="F14" s="306"/>
      <c r="G14" s="306"/>
      <c r="H14" s="306"/>
      <c r="I14" s="306"/>
      <c r="J14" s="306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312" t="s">
        <v>258</v>
      </c>
      <c r="C15" s="312"/>
      <c r="D15" s="183" t="s">
        <v>66</v>
      </c>
      <c r="E15" s="306" t="s">
        <v>294</v>
      </c>
      <c r="F15" s="306"/>
      <c r="G15" s="306"/>
      <c r="H15" s="306"/>
      <c r="I15" s="306"/>
      <c r="J15" s="306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12" t="s">
        <v>259</v>
      </c>
      <c r="C16" s="312"/>
      <c r="D16" s="183" t="s">
        <v>66</v>
      </c>
      <c r="E16" s="306" t="s">
        <v>295</v>
      </c>
      <c r="F16" s="306"/>
      <c r="G16" s="306"/>
      <c r="H16" s="306"/>
      <c r="I16" s="306"/>
      <c r="J16" s="306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309">
        <v>1</v>
      </c>
      <c r="F17" s="309"/>
      <c r="G17" s="309"/>
      <c r="H17" s="309"/>
      <c r="I17" s="309"/>
      <c r="J17" s="309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313" t="s">
        <v>291</v>
      </c>
      <c r="C29" s="313"/>
      <c r="D29" s="183"/>
      <c r="E29" s="314"/>
      <c r="F29" s="314"/>
      <c r="G29" s="314"/>
      <c r="H29" s="314"/>
      <c r="I29" s="314"/>
      <c r="J29" s="314"/>
      <c r="K29" s="184"/>
      <c r="L29" s="185"/>
      <c r="M29" s="186"/>
    </row>
    <row r="30" spans="1:14" s="5" customFormat="1" ht="20.100000000000001" customHeight="1" thickBot="1">
      <c r="A30" s="182">
        <v>1</v>
      </c>
      <c r="B30" s="313" t="s">
        <v>110</v>
      </c>
      <c r="C30" s="313"/>
      <c r="D30" s="183" t="s">
        <v>66</v>
      </c>
      <c r="E30" s="309" t="s">
        <v>225</v>
      </c>
      <c r="F30" s="309"/>
      <c r="G30" s="309"/>
      <c r="H30" s="309"/>
      <c r="I30" s="309"/>
      <c r="J30" s="309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13" t="s">
        <v>72</v>
      </c>
      <c r="C31" s="313"/>
      <c r="D31" s="183" t="s">
        <v>66</v>
      </c>
      <c r="E31" s="306" t="s">
        <v>224</v>
      </c>
      <c r="F31" s="306"/>
      <c r="G31" s="306"/>
      <c r="H31" s="306"/>
      <c r="I31" s="306"/>
      <c r="J31" s="306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13" t="s">
        <v>124</v>
      </c>
      <c r="C32" s="313"/>
      <c r="D32" s="183" t="s">
        <v>66</v>
      </c>
      <c r="E32" s="306" t="s">
        <v>226</v>
      </c>
      <c r="F32" s="306"/>
      <c r="G32" s="306"/>
      <c r="H32" s="306"/>
      <c r="I32" s="306"/>
      <c r="J32" s="306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13" t="s">
        <v>73</v>
      </c>
      <c r="C33" s="313"/>
      <c r="D33" s="183" t="s">
        <v>66</v>
      </c>
      <c r="E33" s="306" t="s">
        <v>227</v>
      </c>
      <c r="F33" s="306"/>
      <c r="G33" s="306"/>
      <c r="H33" s="306"/>
      <c r="I33" s="306"/>
      <c r="J33" s="306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13"/>
      <c r="C34" s="313"/>
      <c r="D34" s="183"/>
      <c r="E34" s="314" t="s">
        <v>78</v>
      </c>
      <c r="F34" s="314"/>
      <c r="G34" s="314"/>
      <c r="H34" s="314"/>
      <c r="I34" s="314"/>
      <c r="J34" s="314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12" t="s">
        <v>257</v>
      </c>
      <c r="C36" s="312"/>
      <c r="D36" s="183" t="s">
        <v>66</v>
      </c>
      <c r="E36" s="309" t="s">
        <v>225</v>
      </c>
      <c r="F36" s="309"/>
      <c r="G36" s="309"/>
      <c r="H36" s="309"/>
      <c r="I36" s="309"/>
      <c r="J36" s="309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12" t="s">
        <v>257</v>
      </c>
      <c r="C37" s="312"/>
      <c r="D37" s="183" t="s">
        <v>66</v>
      </c>
      <c r="E37" s="306" t="s">
        <v>224</v>
      </c>
      <c r="F37" s="306"/>
      <c r="G37" s="306"/>
      <c r="H37" s="306"/>
      <c r="I37" s="306"/>
      <c r="J37" s="306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12" t="s">
        <v>258</v>
      </c>
      <c r="C38" s="312"/>
      <c r="D38" s="183" t="s">
        <v>66</v>
      </c>
      <c r="E38" s="306" t="s">
        <v>226</v>
      </c>
      <c r="F38" s="306"/>
      <c r="G38" s="306"/>
      <c r="H38" s="306"/>
      <c r="I38" s="306"/>
      <c r="J38" s="306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12" t="s">
        <v>259</v>
      </c>
      <c r="C39" s="312"/>
      <c r="D39" s="183" t="s">
        <v>66</v>
      </c>
      <c r="E39" s="306" t="s">
        <v>227</v>
      </c>
      <c r="F39" s="306"/>
      <c r="G39" s="306"/>
      <c r="H39" s="306"/>
      <c r="I39" s="306"/>
      <c r="J39" s="306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10"/>
      <c r="C40" s="311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33:C33"/>
    <mergeCell ref="E33:J33"/>
    <mergeCell ref="B34:C34"/>
    <mergeCell ref="E34:J34"/>
    <mergeCell ref="B32:C32"/>
    <mergeCell ref="E32:J32"/>
    <mergeCell ref="B36:C36"/>
    <mergeCell ref="E36:J36"/>
    <mergeCell ref="B37:C37"/>
    <mergeCell ref="E37:J37"/>
    <mergeCell ref="B38:C38"/>
    <mergeCell ref="E38:J38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1:M2"/>
    <mergeCell ref="B3:M3"/>
    <mergeCell ref="B4:M4"/>
    <mergeCell ref="E7:J7"/>
    <mergeCell ref="B7:C7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2023-04-25T08:26:23Z</dcterms:modified>
</cp:coreProperties>
</file>